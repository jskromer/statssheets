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worksheets/sheet7.xml" ContentType="application/vnd.openxmlformats-officedocument.spreadsheetml.worksheet+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3811"/>
  <workbookPr defaultThemeVersion="124226"/>
  <mc:AlternateContent xmlns:mc="http://schemas.openxmlformats.org/markup-compatibility/2006">
    <mc:Choice Requires="x15">
      <x15ac:absPath xmlns:x15ac="http://schemas.microsoft.com/office/spreadsheetml/2010/11/ac" url="D:\TempUserProfiles\NetworkService\AppData\Local\Packages\oice_16_974fa576_32c1d314_36c3\AC\Temp\"/>
    </mc:Choice>
  </mc:AlternateContent>
  <xr:revisionPtr revIDLastSave="0" documentId="8_{270873CD-4649-4C90-B427-C1C6D83D90F8}" xr6:coauthVersionLast="46" xr6:coauthVersionMax="46" xr10:uidLastSave="{00000000-0000-0000-0000-000000000000}"/>
  <bookViews>
    <workbookView xWindow="-120" yWindow="-120" windowWidth="15600" windowHeight="11760"/>
  </bookViews>
  <sheets>
    <sheet name="Introduction" sheetId="13" r:id="rId1"/>
    <sheet name="M&amp;V Planning Process" sheetId="12" r:id="rId2"/>
    <sheet name="ECM Project Background" sheetId="7" r:id="rId3"/>
    <sheet name="M&amp;V Requirements" sheetId="8" r:id="rId4"/>
    <sheet name="M&amp;V Design" sheetId="6" r:id="rId5"/>
    <sheet name="M&amp;V Budget" sheetId="1" r:id="rId6"/>
    <sheet name="M&amp;V Tasks" sheetId="9" r:id="rId7"/>
    <sheet name="M&amp;V Timing" sheetId="2" r:id="rId8"/>
    <sheet name="M&amp;V Results" sheetId="10" r:id="rId9"/>
  </sheets>
  <definedNames>
    <definedName name="_ftn1" localSheetId="5">'M&amp;V Budget'!#REF!</definedName>
    <definedName name="_ftnref1" localSheetId="5">'M&amp;V Budget'!#REF!</definedName>
    <definedName name="_xlnm.Print_Titles" localSheetId="2">'ECM Project Background'!$1:$1</definedName>
    <definedName name="_xlnm.Print_Titles" localSheetId="5">'M&amp;V Budget'!$1:$1</definedName>
    <definedName name="_xlnm.Print_Titles" localSheetId="4">'M&amp;V Design'!$1:$1</definedName>
    <definedName name="_xlnm.Print_Titles" localSheetId="3">'M&amp;V Requirements'!$1:$1</definedName>
    <definedName name="_xlnm.Print_Titles" localSheetId="8">'M&amp;V Results'!$1:$1</definedName>
    <definedName name="_xlnm.Print_Titles" localSheetId="6">'M&amp;V Tasks'!$1:$1</definedName>
  </definedNames>
  <calcPr calcId="171027" fullCalcOnLoad="1" concurrentCalc="0"/>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E27" i="10" l="1"/>
  <c r="E28" i="10"/>
  <c r="E29" i="10"/>
  <c r="E30" i="10"/>
  <c r="E31" i="10"/>
  <c r="E17" i="10"/>
  <c r="A15" i="1"/>
  <c r="A14" i="1"/>
  <c r="A13" i="1"/>
  <c r="F7" i="9"/>
  <c r="A12" i="1"/>
  <c r="A11" i="1"/>
  <c r="D7" i="9"/>
  <c r="A10" i="1"/>
  <c r="C7" i="9"/>
  <c r="D4" i="6"/>
  <c r="E4" i="1"/>
  <c r="D3" i="6"/>
  <c r="E3" i="2"/>
  <c r="B3" i="6"/>
  <c r="B4" i="6"/>
  <c r="B4" i="10"/>
  <c r="D10" i="10"/>
  <c r="B3" i="10"/>
  <c r="B3" i="2"/>
  <c r="B3" i="9"/>
  <c r="B3" i="1"/>
  <c r="H20" i="10"/>
  <c r="H19" i="10"/>
  <c r="E36" i="1"/>
  <c r="C10" i="10"/>
  <c r="D35" i="10"/>
  <c r="C35" i="10"/>
  <c r="A38" i="10"/>
  <c r="A37" i="10"/>
  <c r="A30" i="10"/>
  <c r="A29" i="10"/>
  <c r="E32" i="10"/>
  <c r="F32" i="10"/>
  <c r="F28" i="10"/>
  <c r="E24" i="10"/>
  <c r="E23" i="10"/>
  <c r="D36" i="10"/>
  <c r="D34" i="10"/>
  <c r="D12" i="10"/>
  <c r="C36" i="10"/>
  <c r="F38" i="10"/>
  <c r="G38" i="10"/>
  <c r="H38" i="10"/>
  <c r="F37" i="10"/>
  <c r="G37" i="10"/>
  <c r="H37" i="10"/>
  <c r="F30" i="10"/>
  <c r="H30" i="10"/>
  <c r="F29" i="10"/>
  <c r="H29" i="10"/>
  <c r="F24" i="10"/>
  <c r="F20" i="10"/>
  <c r="F19" i="10"/>
  <c r="E18" i="10"/>
  <c r="F18" i="10"/>
  <c r="C16" i="10"/>
  <c r="C9" i="10"/>
  <c r="C65" i="2"/>
  <c r="C64" i="2"/>
  <c r="C63" i="2"/>
  <c r="I47" i="9"/>
  <c r="C46" i="2"/>
  <c r="C38" i="2"/>
  <c r="C37" i="2"/>
  <c r="C36" i="2"/>
  <c r="C35" i="2"/>
  <c r="I19" i="9"/>
  <c r="C18" i="2"/>
  <c r="B11" i="2"/>
  <c r="D29" i="1"/>
  <c r="D28" i="1"/>
  <c r="D27" i="1"/>
  <c r="B65" i="2"/>
  <c r="A65" i="2"/>
  <c r="B64" i="2"/>
  <c r="A64" i="2"/>
  <c r="B63" i="2"/>
  <c r="A63" i="2"/>
  <c r="B62" i="2"/>
  <c r="A62" i="2"/>
  <c r="B61" i="2"/>
  <c r="A61" i="2"/>
  <c r="B60" i="2"/>
  <c r="A60" i="2"/>
  <c r="B59" i="2"/>
  <c r="A59" i="2"/>
  <c r="B58" i="2"/>
  <c r="A58" i="2"/>
  <c r="B57" i="2"/>
  <c r="A57" i="2"/>
  <c r="B56" i="2"/>
  <c r="A56" i="2"/>
  <c r="B55" i="2"/>
  <c r="A55" i="2"/>
  <c r="B54" i="2"/>
  <c r="A54" i="2"/>
  <c r="B53" i="2"/>
  <c r="A53" i="2"/>
  <c r="B52" i="2"/>
  <c r="A52" i="2"/>
  <c r="B51" i="2"/>
  <c r="A51" i="2"/>
  <c r="B50" i="2"/>
  <c r="A50" i="2"/>
  <c r="B49" i="2"/>
  <c r="A49" i="2"/>
  <c r="B48" i="2"/>
  <c r="A48" i="2"/>
  <c r="B47" i="2"/>
  <c r="A47" i="2"/>
  <c r="B46" i="2"/>
  <c r="A46" i="2"/>
  <c r="B45" i="2"/>
  <c r="A45" i="2"/>
  <c r="B44" i="2"/>
  <c r="A44" i="2"/>
  <c r="B43" i="2"/>
  <c r="A43" i="2"/>
  <c r="B42" i="2"/>
  <c r="A42" i="2"/>
  <c r="B41" i="2"/>
  <c r="A41" i="2"/>
  <c r="B40" i="2"/>
  <c r="A40" i="2"/>
  <c r="B39" i="2"/>
  <c r="A39" i="2"/>
  <c r="B38" i="2"/>
  <c r="A38" i="2"/>
  <c r="B37" i="2"/>
  <c r="A37" i="2"/>
  <c r="B36" i="2"/>
  <c r="A36" i="2"/>
  <c r="B35" i="2"/>
  <c r="A35" i="2"/>
  <c r="B34" i="2"/>
  <c r="A34" i="2"/>
  <c r="B33" i="2"/>
  <c r="A33" i="2"/>
  <c r="B32" i="2"/>
  <c r="A32" i="2"/>
  <c r="B31" i="2"/>
  <c r="A31" i="2"/>
  <c r="B30" i="2"/>
  <c r="A30" i="2"/>
  <c r="B29" i="2"/>
  <c r="A29" i="2"/>
  <c r="B28" i="2"/>
  <c r="A28" i="2"/>
  <c r="B27" i="2"/>
  <c r="A27" i="2"/>
  <c r="B26" i="2"/>
  <c r="A26" i="2"/>
  <c r="B25" i="2"/>
  <c r="A25" i="2"/>
  <c r="B24" i="2"/>
  <c r="A24" i="2"/>
  <c r="B23" i="2"/>
  <c r="A23" i="2"/>
  <c r="B22" i="2"/>
  <c r="A22" i="2"/>
  <c r="B21" i="2"/>
  <c r="A21" i="2"/>
  <c r="B20" i="2"/>
  <c r="A20" i="2"/>
  <c r="B19" i="2"/>
  <c r="A19" i="2"/>
  <c r="B18" i="2"/>
  <c r="A18" i="2"/>
  <c r="B17" i="2"/>
  <c r="A17" i="2"/>
  <c r="B16" i="2"/>
  <c r="A16" i="2"/>
  <c r="B15" i="2"/>
  <c r="A15" i="2"/>
  <c r="B14" i="2"/>
  <c r="A14" i="2"/>
  <c r="B13" i="2"/>
  <c r="A13" i="2"/>
  <c r="B12" i="2"/>
  <c r="A12" i="2"/>
  <c r="A11" i="2"/>
  <c r="B10" i="2"/>
  <c r="A10" i="2"/>
  <c r="I63" i="9"/>
  <c r="C62" i="2"/>
  <c r="I62" i="9"/>
  <c r="C61" i="2"/>
  <c r="I61" i="9"/>
  <c r="C60" i="2"/>
  <c r="I60" i="9"/>
  <c r="C59" i="2"/>
  <c r="I59" i="9"/>
  <c r="C58" i="2"/>
  <c r="I58" i="9"/>
  <c r="C57" i="2"/>
  <c r="I56" i="9"/>
  <c r="C55" i="2"/>
  <c r="I55" i="9"/>
  <c r="C54" i="2"/>
  <c r="I54" i="9"/>
  <c r="C53" i="2"/>
  <c r="I53" i="9"/>
  <c r="C52" i="2"/>
  <c r="I52" i="9"/>
  <c r="C51" i="2"/>
  <c r="I51" i="9"/>
  <c r="C50" i="2"/>
  <c r="I50" i="9"/>
  <c r="C49" i="2"/>
  <c r="I49" i="9"/>
  <c r="C48" i="2"/>
  <c r="I48" i="9"/>
  <c r="C47" i="2"/>
  <c r="I45" i="9"/>
  <c r="C44" i="2"/>
  <c r="I44" i="9"/>
  <c r="C43" i="2"/>
  <c r="I43" i="9"/>
  <c r="C42" i="2"/>
  <c r="I42" i="9"/>
  <c r="C41" i="2"/>
  <c r="I41" i="9"/>
  <c r="C40" i="2"/>
  <c r="I40" i="9"/>
  <c r="C39" i="2"/>
  <c r="I34" i="9"/>
  <c r="C33" i="2"/>
  <c r="I33" i="9"/>
  <c r="C32" i="2"/>
  <c r="I31" i="9"/>
  <c r="C30" i="2"/>
  <c r="I30" i="9"/>
  <c r="C29" i="2"/>
  <c r="I29" i="9"/>
  <c r="C28" i="2"/>
  <c r="I28" i="9"/>
  <c r="C27" i="2"/>
  <c r="I27" i="9"/>
  <c r="C26" i="2"/>
  <c r="I26" i="9"/>
  <c r="C25" i="2"/>
  <c r="I24" i="9"/>
  <c r="C23" i="2"/>
  <c r="I23" i="9"/>
  <c r="C22" i="2"/>
  <c r="I22" i="9"/>
  <c r="C21" i="2"/>
  <c r="I21" i="9"/>
  <c r="C20" i="2"/>
  <c r="I20" i="9"/>
  <c r="C19" i="2"/>
  <c r="I17" i="9"/>
  <c r="C16" i="2"/>
  <c r="I16" i="9"/>
  <c r="C15" i="2"/>
  <c r="I15" i="9"/>
  <c r="C14" i="2"/>
  <c r="I14" i="9"/>
  <c r="C13" i="2"/>
  <c r="I13" i="9"/>
  <c r="C12" i="2"/>
  <c r="I12" i="9"/>
  <c r="C11" i="2"/>
  <c r="H8" i="9"/>
  <c r="C15" i="1"/>
  <c r="D15" i="1"/>
  <c r="D8" i="9"/>
  <c r="C11" i="1"/>
  <c r="D11" i="1"/>
  <c r="E8" i="9"/>
  <c r="C12" i="1"/>
  <c r="D12" i="1"/>
  <c r="F8" i="9"/>
  <c r="C13" i="1"/>
  <c r="D13" i="1"/>
  <c r="G8" i="9"/>
  <c r="C14" i="1"/>
  <c r="D14" i="1"/>
  <c r="C8" i="9"/>
  <c r="C10" i="1"/>
  <c r="D10" i="1"/>
  <c r="H7" i="9"/>
  <c r="G7" i="9"/>
  <c r="E7" i="9"/>
  <c r="F17" i="10"/>
  <c r="G16" i="10"/>
  <c r="G9" i="10"/>
  <c r="E35" i="10"/>
  <c r="F35" i="10"/>
  <c r="I46" i="9"/>
  <c r="C45" i="2"/>
  <c r="E4" i="2"/>
  <c r="J4" i="9"/>
  <c r="E3" i="1"/>
  <c r="G3" i="10"/>
  <c r="J3" i="9"/>
  <c r="G4" i="10"/>
  <c r="B4" i="1"/>
  <c r="B4" i="9"/>
  <c r="B4" i="2"/>
  <c r="I35" i="9"/>
  <c r="C34" i="2"/>
  <c r="I32" i="9"/>
  <c r="C31" i="2"/>
  <c r="I11" i="9"/>
  <c r="C10" i="2"/>
  <c r="E10" i="10"/>
  <c r="F10" i="10"/>
  <c r="F23" i="10"/>
  <c r="G10" i="10"/>
  <c r="D16" i="10"/>
  <c r="D9" i="10"/>
  <c r="F27" i="10"/>
  <c r="E36" i="10"/>
  <c r="F36" i="10"/>
  <c r="E35" i="1"/>
  <c r="E9" i="10"/>
  <c r="F9" i="10"/>
  <c r="C26" i="10"/>
  <c r="C11" i="10"/>
  <c r="D26" i="10"/>
  <c r="D11" i="10"/>
  <c r="F31" i="10"/>
  <c r="C34" i="10"/>
  <c r="C12" i="10"/>
  <c r="E12" i="10"/>
  <c r="F12" i="10"/>
  <c r="E16" i="10"/>
  <c r="F16" i="10"/>
  <c r="E30" i="1"/>
  <c r="I57" i="9"/>
  <c r="C56" i="2"/>
  <c r="I25" i="9"/>
  <c r="C24" i="2"/>
  <c r="I18" i="9"/>
  <c r="C17" i="2"/>
  <c r="I8" i="9"/>
  <c r="E20" i="1"/>
  <c r="E34" i="10"/>
  <c r="E11" i="10"/>
  <c r="F11" i="10"/>
  <c r="E26" i="10"/>
  <c r="F26" i="10"/>
  <c r="F34" i="10"/>
  <c r="E31" i="1"/>
  <c r="J46" i="9"/>
  <c r="J11" i="9"/>
  <c r="J35" i="9"/>
  <c r="J18" i="9"/>
  <c r="J25" i="9"/>
  <c r="J32" i="9"/>
  <c r="J57" i="9"/>
  <c r="F35" i="1"/>
  <c r="F36" i="1"/>
  <c r="F8" i="2"/>
  <c r="F9" i="2"/>
  <c r="F35" i="2"/>
  <c r="K8" i="2"/>
  <c r="P8" i="2"/>
  <c r="U8" i="2"/>
  <c r="Z8" i="2"/>
  <c r="AE8" i="2"/>
  <c r="AJ8" i="2"/>
  <c r="AO8" i="2"/>
  <c r="AT8" i="2"/>
  <c r="AY8" i="2"/>
  <c r="BD8" i="2"/>
  <c r="BI8" i="2"/>
  <c r="BN8" i="2"/>
  <c r="BS8" i="2"/>
  <c r="BX8" i="2"/>
  <c r="CC8" i="2"/>
  <c r="CH8" i="2"/>
  <c r="CM8" i="2"/>
  <c r="CR8" i="2"/>
  <c r="CW8" i="2"/>
  <c r="DB8" i="2"/>
  <c r="DG8" i="2"/>
  <c r="DL8" i="2"/>
  <c r="DQ8" i="2"/>
  <c r="DV8" i="2"/>
  <c r="EA8" i="2"/>
  <c r="EF8" i="2"/>
  <c r="EK8" i="2"/>
  <c r="EP8" i="2"/>
  <c r="F39" i="2"/>
  <c r="F34" i="2"/>
  <c r="F36" i="2"/>
  <c r="F64" i="2"/>
  <c r="F65" i="2"/>
  <c r="F63" i="2"/>
  <c r="F61" i="2"/>
  <c r="F62" i="2"/>
  <c r="F60" i="2"/>
  <c r="F59" i="2"/>
  <c r="F58" i="2"/>
  <c r="G9" i="2"/>
  <c r="G39" i="2"/>
  <c r="F56" i="2"/>
  <c r="F57" i="2"/>
  <c r="F53" i="2"/>
  <c r="F55" i="2"/>
  <c r="F54" i="2"/>
  <c r="F52" i="2"/>
  <c r="F50" i="2"/>
  <c r="F48" i="2"/>
  <c r="F46" i="2"/>
  <c r="F51" i="2"/>
  <c r="F49" i="2"/>
  <c r="F47" i="2"/>
  <c r="F45" i="2"/>
  <c r="F44" i="2"/>
  <c r="F43" i="2"/>
  <c r="F21" i="2"/>
  <c r="F20" i="2"/>
  <c r="F25" i="2"/>
  <c r="K9" i="2"/>
  <c r="K34" i="2"/>
  <c r="F22" i="2"/>
  <c r="F37" i="2"/>
  <c r="F31" i="2"/>
  <c r="F40" i="2"/>
  <c r="F11" i="2"/>
  <c r="F14" i="2"/>
  <c r="F16" i="2"/>
  <c r="F12" i="2"/>
  <c r="F17" i="2"/>
  <c r="F23" i="2"/>
  <c r="F32" i="2"/>
  <c r="F42" i="2"/>
  <c r="F27" i="2"/>
  <c r="F41" i="2"/>
  <c r="F26" i="2"/>
  <c r="F29" i="2"/>
  <c r="F24" i="2"/>
  <c r="F15" i="2"/>
  <c r="F19" i="2"/>
  <c r="F30" i="2"/>
  <c r="F10" i="2"/>
  <c r="F13" i="2"/>
  <c r="F18" i="2"/>
  <c r="F38" i="2"/>
  <c r="F33" i="2"/>
  <c r="F28" i="2"/>
  <c r="K18" i="2"/>
  <c r="K14" i="2"/>
  <c r="K35" i="2"/>
  <c r="K42" i="2"/>
  <c r="K17" i="2"/>
  <c r="K37" i="2"/>
  <c r="K36" i="2"/>
  <c r="K30" i="2"/>
  <c r="P9" i="2"/>
  <c r="P63" i="2"/>
  <c r="K32" i="2"/>
  <c r="K31" i="2"/>
  <c r="L9" i="2"/>
  <c r="L17" i="2"/>
  <c r="K24" i="2"/>
  <c r="G34" i="2"/>
  <c r="K21" i="2"/>
  <c r="K16" i="2"/>
  <c r="K15" i="2"/>
  <c r="K39" i="2"/>
  <c r="G25" i="2"/>
  <c r="G41" i="2"/>
  <c r="G35" i="2"/>
  <c r="K23" i="2"/>
  <c r="K28" i="2"/>
  <c r="K33" i="2"/>
  <c r="K38" i="2"/>
  <c r="K27" i="2"/>
  <c r="K41" i="2"/>
  <c r="K40" i="2"/>
  <c r="K25" i="2"/>
  <c r="K12" i="2"/>
  <c r="K20" i="2"/>
  <c r="K19" i="2"/>
  <c r="K10" i="2"/>
  <c r="K11" i="2"/>
  <c r="K29" i="2"/>
  <c r="K13" i="2"/>
  <c r="K26" i="2"/>
  <c r="G32" i="2"/>
  <c r="G36" i="2"/>
  <c r="G10" i="2"/>
  <c r="G24" i="2"/>
  <c r="G17" i="2"/>
  <c r="G42" i="2"/>
  <c r="G33" i="2"/>
  <c r="G27" i="2"/>
  <c r="G15" i="2"/>
  <c r="G13" i="2"/>
  <c r="G19" i="2"/>
  <c r="G12" i="2"/>
  <c r="G30" i="2"/>
  <c r="G28" i="2"/>
  <c r="G22" i="2"/>
  <c r="G37" i="2"/>
  <c r="G38" i="2"/>
  <c r="G21" i="2"/>
  <c r="G31" i="2"/>
  <c r="G20" i="2"/>
  <c r="G11" i="2"/>
  <c r="G18" i="2"/>
  <c r="H9" i="2"/>
  <c r="H17" i="2"/>
  <c r="G14" i="2"/>
  <c r="G26" i="2"/>
  <c r="G29" i="2"/>
  <c r="G16" i="2"/>
  <c r="G40" i="2"/>
  <c r="G65" i="2"/>
  <c r="G63" i="2"/>
  <c r="G64" i="2"/>
  <c r="G62" i="2"/>
  <c r="G60" i="2"/>
  <c r="G61" i="2"/>
  <c r="G58" i="2"/>
  <c r="G59" i="2"/>
  <c r="L64" i="2"/>
  <c r="L65" i="2"/>
  <c r="L62" i="2"/>
  <c r="L60" i="2"/>
  <c r="P61" i="2"/>
  <c r="P58" i="2"/>
  <c r="K65" i="2"/>
  <c r="K63" i="2"/>
  <c r="K64" i="2"/>
  <c r="K62" i="2"/>
  <c r="K60" i="2"/>
  <c r="K61" i="2"/>
  <c r="K58" i="2"/>
  <c r="K59" i="2"/>
  <c r="G23" i="2"/>
  <c r="G57" i="2"/>
  <c r="G55" i="2"/>
  <c r="G56" i="2"/>
  <c r="G54" i="2"/>
  <c r="G52" i="2"/>
  <c r="G53" i="2"/>
  <c r="G51" i="2"/>
  <c r="G49" i="2"/>
  <c r="G47" i="2"/>
  <c r="G45" i="2"/>
  <c r="G50" i="2"/>
  <c r="G48" i="2"/>
  <c r="G46" i="2"/>
  <c r="G43" i="2"/>
  <c r="G44" i="2"/>
  <c r="H56" i="2"/>
  <c r="H54" i="2"/>
  <c r="L56" i="2"/>
  <c r="L57" i="2"/>
  <c r="L54" i="2"/>
  <c r="L52" i="2"/>
  <c r="L46" i="2"/>
  <c r="L51" i="2"/>
  <c r="L45" i="2"/>
  <c r="L44" i="2"/>
  <c r="P56" i="2"/>
  <c r="P54" i="2"/>
  <c r="P46" i="2"/>
  <c r="P45" i="2"/>
  <c r="K22" i="2"/>
  <c r="K57" i="2"/>
  <c r="K55" i="2"/>
  <c r="K56" i="2"/>
  <c r="K54" i="2"/>
  <c r="K52" i="2"/>
  <c r="K53" i="2"/>
  <c r="K51" i="2"/>
  <c r="K49" i="2"/>
  <c r="K47" i="2"/>
  <c r="K45" i="2"/>
  <c r="K50" i="2"/>
  <c r="K48" i="2"/>
  <c r="K46" i="2"/>
  <c r="K43" i="2"/>
  <c r="K44" i="2"/>
  <c r="H13" i="2"/>
  <c r="H15" i="2"/>
  <c r="H27" i="2"/>
  <c r="H32" i="2"/>
  <c r="L29" i="2"/>
  <c r="L30" i="2"/>
  <c r="L25" i="2"/>
  <c r="L18" i="2"/>
  <c r="L14" i="2"/>
  <c r="L12" i="2"/>
  <c r="L35" i="2"/>
  <c r="L26" i="2"/>
  <c r="L19" i="2"/>
  <c r="L15" i="2"/>
  <c r="L36" i="2"/>
  <c r="L41" i="2"/>
  <c r="L37" i="2"/>
  <c r="L32" i="2"/>
  <c r="L33" i="2"/>
  <c r="L28" i="2"/>
  <c r="P26" i="2"/>
  <c r="Q9" i="2"/>
  <c r="P39" i="2"/>
  <c r="P40" i="2"/>
  <c r="P20" i="2"/>
  <c r="P11" i="2"/>
  <c r="P42" i="2"/>
  <c r="P38" i="2"/>
  <c r="P23" i="2"/>
  <c r="P33" i="2"/>
  <c r="P37" i="2"/>
  <c r="P41" i="2"/>
  <c r="U9" i="2"/>
  <c r="U64" i="2"/>
  <c r="P27" i="2"/>
  <c r="P29" i="2"/>
  <c r="P14" i="2"/>
  <c r="P24" i="2"/>
  <c r="P44" i="2"/>
  <c r="P51" i="2"/>
  <c r="P52" i="2"/>
  <c r="P57" i="2"/>
  <c r="P62" i="2"/>
  <c r="P64" i="2"/>
  <c r="P28" i="2"/>
  <c r="P32" i="2"/>
  <c r="P31" i="2"/>
  <c r="P15" i="2"/>
  <c r="P25" i="2"/>
  <c r="P30" i="2"/>
  <c r="P12" i="2"/>
  <c r="P16" i="2"/>
  <c r="P43" i="2"/>
  <c r="P49" i="2"/>
  <c r="P50" i="2"/>
  <c r="P55" i="2"/>
  <c r="P60" i="2"/>
  <c r="P65" i="2"/>
  <c r="P22" i="2"/>
  <c r="P21" i="2"/>
  <c r="P36" i="2"/>
  <c r="P13" i="2"/>
  <c r="P18" i="2"/>
  <c r="P35" i="2"/>
  <c r="P10" i="2"/>
  <c r="P19" i="2"/>
  <c r="P34" i="2"/>
  <c r="P47" i="2"/>
  <c r="P48" i="2"/>
  <c r="P53" i="2"/>
  <c r="P17" i="2"/>
  <c r="P59" i="2"/>
  <c r="L22" i="2"/>
  <c r="L21" i="2"/>
  <c r="L31" i="2"/>
  <c r="L13" i="2"/>
  <c r="L24" i="2"/>
  <c r="L20" i="2"/>
  <c r="L40" i="2"/>
  <c r="H28" i="2"/>
  <c r="H20" i="2"/>
  <c r="L43" i="2"/>
  <c r="L49" i="2"/>
  <c r="L55" i="2"/>
  <c r="H46" i="2"/>
  <c r="L23" i="2"/>
  <c r="L38" i="2"/>
  <c r="L42" i="2"/>
  <c r="L11" i="2"/>
  <c r="L16" i="2"/>
  <c r="L34" i="2"/>
  <c r="M9" i="2"/>
  <c r="M64" i="2"/>
  <c r="L27" i="2"/>
  <c r="L39" i="2"/>
  <c r="H31" i="2"/>
  <c r="H35" i="2"/>
  <c r="L47" i="2"/>
  <c r="L48" i="2"/>
  <c r="L53" i="2"/>
  <c r="H45" i="2"/>
  <c r="L58" i="2"/>
  <c r="L61" i="2"/>
  <c r="H64" i="2"/>
  <c r="L10" i="2"/>
  <c r="L50" i="2"/>
  <c r="L59" i="2"/>
  <c r="L63" i="2"/>
  <c r="H62" i="2"/>
  <c r="H23" i="2"/>
  <c r="H38" i="2"/>
  <c r="H42" i="2"/>
  <c r="I9" i="2"/>
  <c r="I65" i="2"/>
  <c r="H29" i="2"/>
  <c r="H10" i="2"/>
  <c r="H26" i="2"/>
  <c r="H24" i="2"/>
  <c r="H39" i="2"/>
  <c r="H43" i="2"/>
  <c r="H49" i="2"/>
  <c r="H50" i="2"/>
  <c r="H55" i="2"/>
  <c r="H59" i="2"/>
  <c r="H63" i="2"/>
  <c r="H22" i="2"/>
  <c r="H33" i="2"/>
  <c r="H21" i="2"/>
  <c r="H37" i="2"/>
  <c r="H36" i="2"/>
  <c r="H18" i="2"/>
  <c r="H12" i="2"/>
  <c r="H41" i="2"/>
  <c r="H25" i="2"/>
  <c r="H14" i="2"/>
  <c r="H11" i="2"/>
  <c r="H16" i="2"/>
  <c r="H34" i="2"/>
  <c r="H19" i="2"/>
  <c r="H40" i="2"/>
  <c r="H30" i="2"/>
  <c r="H44" i="2"/>
  <c r="H47" i="2"/>
  <c r="H51" i="2"/>
  <c r="H48" i="2"/>
  <c r="H52" i="2"/>
  <c r="H53" i="2"/>
  <c r="H57" i="2"/>
  <c r="H58" i="2"/>
  <c r="H60" i="2"/>
  <c r="H61" i="2"/>
  <c r="H65" i="2"/>
  <c r="U62" i="2"/>
  <c r="U59" i="2"/>
  <c r="Q65" i="2"/>
  <c r="Q63" i="2"/>
  <c r="Q64" i="2"/>
  <c r="Q62" i="2"/>
  <c r="Q60" i="2"/>
  <c r="Q61" i="2"/>
  <c r="Q58" i="2"/>
  <c r="Q59" i="2"/>
  <c r="M65" i="2"/>
  <c r="M63" i="2"/>
  <c r="M60" i="2"/>
  <c r="M61" i="2"/>
  <c r="M59" i="2"/>
  <c r="U55" i="2"/>
  <c r="U53" i="2"/>
  <c r="U45" i="2"/>
  <c r="U43" i="2"/>
  <c r="I52" i="2"/>
  <c r="Q57" i="2"/>
  <c r="Q55" i="2"/>
  <c r="Q56" i="2"/>
  <c r="Q54" i="2"/>
  <c r="Q52" i="2"/>
  <c r="Q53" i="2"/>
  <c r="Q51" i="2"/>
  <c r="Q49" i="2"/>
  <c r="Q47" i="2"/>
  <c r="Q45" i="2"/>
  <c r="Q50" i="2"/>
  <c r="Q48" i="2"/>
  <c r="Q46" i="2"/>
  <c r="Q43" i="2"/>
  <c r="Q44" i="2"/>
  <c r="M55" i="2"/>
  <c r="M56" i="2"/>
  <c r="M54" i="2"/>
  <c r="M53" i="2"/>
  <c r="M51" i="2"/>
  <c r="M49" i="2"/>
  <c r="M45" i="2"/>
  <c r="M50" i="2"/>
  <c r="M48" i="2"/>
  <c r="M43" i="2"/>
  <c r="M44" i="2"/>
  <c r="U30" i="2"/>
  <c r="U20" i="2"/>
  <c r="U11" i="2"/>
  <c r="U35" i="2"/>
  <c r="U25" i="2"/>
  <c r="U14" i="2"/>
  <c r="U32" i="2"/>
  <c r="U33" i="2"/>
  <c r="U17" i="2"/>
  <c r="I30" i="2"/>
  <c r="I13" i="2"/>
  <c r="I37" i="2"/>
  <c r="Q39" i="2"/>
  <c r="Q29" i="2"/>
  <c r="Q35" i="2"/>
  <c r="Q41" i="2"/>
  <c r="Q31" i="2"/>
  <c r="Q27" i="2"/>
  <c r="Q25" i="2"/>
  <c r="Q21" i="2"/>
  <c r="Q19" i="2"/>
  <c r="Q16" i="2"/>
  <c r="Q14" i="2"/>
  <c r="Q12" i="2"/>
  <c r="Q10" i="2"/>
  <c r="Q34" i="2"/>
  <c r="Q40" i="2"/>
  <c r="Q30" i="2"/>
  <c r="Q36" i="2"/>
  <c r="Q26" i="2"/>
  <c r="Q24" i="2"/>
  <c r="Q20" i="2"/>
  <c r="Q18" i="2"/>
  <c r="Q15" i="2"/>
  <c r="Q13" i="2"/>
  <c r="Q11" i="2"/>
  <c r="R9" i="2"/>
  <c r="Q42" i="2"/>
  <c r="Q37" i="2"/>
  <c r="Q28" i="2"/>
  <c r="Q38" i="2"/>
  <c r="Q33" i="2"/>
  <c r="Q32" i="2"/>
  <c r="Q22" i="2"/>
  <c r="Q23" i="2"/>
  <c r="Q17" i="2"/>
  <c r="M29" i="2"/>
  <c r="M35" i="2"/>
  <c r="M36" i="2"/>
  <c r="M25" i="2"/>
  <c r="M21" i="2"/>
  <c r="M19" i="2"/>
  <c r="M14" i="2"/>
  <c r="M12" i="2"/>
  <c r="M10" i="2"/>
  <c r="M40" i="2"/>
  <c r="M30" i="2"/>
  <c r="M41" i="2"/>
  <c r="M26" i="2"/>
  <c r="M24" i="2"/>
  <c r="M20" i="2"/>
  <c r="M15" i="2"/>
  <c r="M13" i="2"/>
  <c r="M11" i="2"/>
  <c r="M33" i="2"/>
  <c r="M32" i="2"/>
  <c r="M28" i="2"/>
  <c r="M42" i="2"/>
  <c r="M37" i="2"/>
  <c r="M23" i="2"/>
  <c r="M17" i="2"/>
  <c r="U37" i="2"/>
  <c r="U28" i="2"/>
  <c r="U12" i="2"/>
  <c r="U21" i="2"/>
  <c r="U41" i="2"/>
  <c r="Z9" i="2"/>
  <c r="Z65" i="2"/>
  <c r="U18" i="2"/>
  <c r="U36" i="2"/>
  <c r="U44" i="2"/>
  <c r="U50" i="2"/>
  <c r="U51" i="2"/>
  <c r="U56" i="2"/>
  <c r="U60" i="2"/>
  <c r="U65" i="2"/>
  <c r="U22" i="2"/>
  <c r="U38" i="2"/>
  <c r="U10" i="2"/>
  <c r="U19" i="2"/>
  <c r="U31" i="2"/>
  <c r="U39" i="2"/>
  <c r="U15" i="2"/>
  <c r="U26" i="2"/>
  <c r="U34" i="2"/>
  <c r="U48" i="2"/>
  <c r="U49" i="2"/>
  <c r="U54" i="2"/>
  <c r="U61" i="2"/>
  <c r="U63" i="2"/>
  <c r="M22" i="2"/>
  <c r="M38" i="2"/>
  <c r="N9" i="2"/>
  <c r="M18" i="2"/>
  <c r="M31" i="2"/>
  <c r="M34" i="2"/>
  <c r="M16" i="2"/>
  <c r="M27" i="2"/>
  <c r="M39" i="2"/>
  <c r="I25" i="2"/>
  <c r="U23" i="2"/>
  <c r="U42" i="2"/>
  <c r="V9" i="2"/>
  <c r="V65" i="2"/>
  <c r="U16" i="2"/>
  <c r="U27" i="2"/>
  <c r="U29" i="2"/>
  <c r="U13" i="2"/>
  <c r="U24" i="2"/>
  <c r="U40" i="2"/>
  <c r="M46" i="2"/>
  <c r="M47" i="2"/>
  <c r="M52" i="2"/>
  <c r="M57" i="2"/>
  <c r="I46" i="2"/>
  <c r="U46" i="2"/>
  <c r="U47" i="2"/>
  <c r="U52" i="2"/>
  <c r="U57" i="2"/>
  <c r="M62" i="2"/>
  <c r="U58" i="2"/>
  <c r="M58" i="2"/>
  <c r="I33" i="2"/>
  <c r="I14" i="2"/>
  <c r="I29" i="2"/>
  <c r="I24" i="2"/>
  <c r="I47" i="2"/>
  <c r="I57" i="2"/>
  <c r="I59" i="2"/>
  <c r="I23" i="2"/>
  <c r="I22" i="2"/>
  <c r="I10" i="2"/>
  <c r="I19" i="2"/>
  <c r="I36" i="2"/>
  <c r="J9" i="2"/>
  <c r="J65" i="2"/>
  <c r="I18" i="2"/>
  <c r="I31" i="2"/>
  <c r="I34" i="2"/>
  <c r="I44" i="2"/>
  <c r="I50" i="2"/>
  <c r="I51" i="2"/>
  <c r="I56" i="2"/>
  <c r="I62" i="2"/>
  <c r="I61" i="2"/>
  <c r="I63" i="2"/>
  <c r="I17" i="2"/>
  <c r="I32" i="2"/>
  <c r="I38" i="2"/>
  <c r="I28" i="2"/>
  <c r="I42" i="2"/>
  <c r="I12" i="2"/>
  <c r="I16" i="2"/>
  <c r="I21" i="2"/>
  <c r="I27" i="2"/>
  <c r="I35" i="2"/>
  <c r="I39" i="2"/>
  <c r="I11" i="2"/>
  <c r="I15" i="2"/>
  <c r="I20" i="2"/>
  <c r="I26" i="2"/>
  <c r="I41" i="2"/>
  <c r="I40" i="2"/>
  <c r="I43" i="2"/>
  <c r="I48" i="2"/>
  <c r="I45" i="2"/>
  <c r="I49" i="2"/>
  <c r="I53" i="2"/>
  <c r="I54" i="2"/>
  <c r="I55" i="2"/>
  <c r="I58" i="2"/>
  <c r="I60" i="2"/>
  <c r="I64" i="2"/>
  <c r="N64" i="2"/>
  <c r="N65" i="2"/>
  <c r="N63" i="2"/>
  <c r="N61" i="2"/>
  <c r="N62" i="2"/>
  <c r="N60" i="2"/>
  <c r="N59" i="2"/>
  <c r="N58" i="2"/>
  <c r="R64" i="2"/>
  <c r="R65" i="2"/>
  <c r="R63" i="2"/>
  <c r="R61" i="2"/>
  <c r="R62" i="2"/>
  <c r="R60" i="2"/>
  <c r="R59" i="2"/>
  <c r="R58" i="2"/>
  <c r="V63" i="2"/>
  <c r="V61" i="2"/>
  <c r="V59" i="2"/>
  <c r="V58" i="2"/>
  <c r="Z64" i="2"/>
  <c r="Z63" i="2"/>
  <c r="Z61" i="2"/>
  <c r="Z59" i="2"/>
  <c r="Z60" i="2"/>
  <c r="Z58" i="2"/>
  <c r="N56" i="2"/>
  <c r="N57" i="2"/>
  <c r="N53" i="2"/>
  <c r="N55" i="2"/>
  <c r="N54" i="2"/>
  <c r="N52" i="2"/>
  <c r="N50" i="2"/>
  <c r="N48" i="2"/>
  <c r="N46" i="2"/>
  <c r="N51" i="2"/>
  <c r="N49" i="2"/>
  <c r="N47" i="2"/>
  <c r="N45" i="2"/>
  <c r="N44" i="2"/>
  <c r="N43" i="2"/>
  <c r="R56" i="2"/>
  <c r="R57" i="2"/>
  <c r="R53" i="2"/>
  <c r="R55" i="2"/>
  <c r="R54" i="2"/>
  <c r="R52" i="2"/>
  <c r="R50" i="2"/>
  <c r="R48" i="2"/>
  <c r="R46" i="2"/>
  <c r="R51" i="2"/>
  <c r="R49" i="2"/>
  <c r="R47" i="2"/>
  <c r="R45" i="2"/>
  <c r="R44" i="2"/>
  <c r="R43" i="2"/>
  <c r="V56" i="2"/>
  <c r="V57" i="2"/>
  <c r="V54" i="2"/>
  <c r="V52" i="2"/>
  <c r="V46" i="2"/>
  <c r="V51" i="2"/>
  <c r="V45" i="2"/>
  <c r="V44" i="2"/>
  <c r="Z57" i="2"/>
  <c r="Z53" i="2"/>
  <c r="Z55" i="2"/>
  <c r="Z52" i="2"/>
  <c r="Z50" i="2"/>
  <c r="Z48" i="2"/>
  <c r="Z51" i="2"/>
  <c r="Z49" i="2"/>
  <c r="Z47" i="2"/>
  <c r="Z44" i="2"/>
  <c r="Z43" i="2"/>
  <c r="N39" i="2"/>
  <c r="N29" i="2"/>
  <c r="N40" i="2"/>
  <c r="N36" i="2"/>
  <c r="N31" i="2"/>
  <c r="N27" i="2"/>
  <c r="N25" i="2"/>
  <c r="N21" i="2"/>
  <c r="N16" i="2"/>
  <c r="N19" i="2"/>
  <c r="N15" i="2"/>
  <c r="N13" i="2"/>
  <c r="N11" i="2"/>
  <c r="N34" i="2"/>
  <c r="N30" i="2"/>
  <c r="N35" i="2"/>
  <c r="N41" i="2"/>
  <c r="N42" i="2"/>
  <c r="N37" i="2"/>
  <c r="N32" i="2"/>
  <c r="N26" i="2"/>
  <c r="N24" i="2"/>
  <c r="N18" i="2"/>
  <c r="N20" i="2"/>
  <c r="O9" i="2"/>
  <c r="N14" i="2"/>
  <c r="N12" i="2"/>
  <c r="N10" i="2"/>
  <c r="N33" i="2"/>
  <c r="N28" i="2"/>
  <c r="N38" i="2"/>
  <c r="N23" i="2"/>
  <c r="N22" i="2"/>
  <c r="N17" i="2"/>
  <c r="R34" i="2"/>
  <c r="R40" i="2"/>
  <c r="R30" i="2"/>
  <c r="R31" i="2"/>
  <c r="R27" i="2"/>
  <c r="R25" i="2"/>
  <c r="R21" i="2"/>
  <c r="R16" i="2"/>
  <c r="R19" i="2"/>
  <c r="R15" i="2"/>
  <c r="R13" i="2"/>
  <c r="R11" i="2"/>
  <c r="R39" i="2"/>
  <c r="R29" i="2"/>
  <c r="R35" i="2"/>
  <c r="R41" i="2"/>
  <c r="R36" i="2"/>
  <c r="R42" i="2"/>
  <c r="R32" i="2"/>
  <c r="R26" i="2"/>
  <c r="R24" i="2"/>
  <c r="R18" i="2"/>
  <c r="R20" i="2"/>
  <c r="S9" i="2"/>
  <c r="R14" i="2"/>
  <c r="R12" i="2"/>
  <c r="R10" i="2"/>
  <c r="R33" i="2"/>
  <c r="R28" i="2"/>
  <c r="R38" i="2"/>
  <c r="R37" i="2"/>
  <c r="R23" i="2"/>
  <c r="R22" i="2"/>
  <c r="R17" i="2"/>
  <c r="J38" i="2"/>
  <c r="V34" i="2"/>
  <c r="V41" i="2"/>
  <c r="V42" i="2"/>
  <c r="V25" i="2"/>
  <c r="V21" i="2"/>
  <c r="V15" i="2"/>
  <c r="V13" i="2"/>
  <c r="V29" i="2"/>
  <c r="V40" i="2"/>
  <c r="V26" i="2"/>
  <c r="V24" i="2"/>
  <c r="W9" i="2"/>
  <c r="V14" i="2"/>
  <c r="V38" i="2"/>
  <c r="V37" i="2"/>
  <c r="V23" i="2"/>
  <c r="V22" i="2"/>
  <c r="Z40" i="2"/>
  <c r="Z30" i="2"/>
  <c r="Z31" i="2"/>
  <c r="Z20" i="2"/>
  <c r="Z15" i="2"/>
  <c r="Z11" i="2"/>
  <c r="Z29" i="2"/>
  <c r="Z35" i="2"/>
  <c r="Z41" i="2"/>
  <c r="Z42" i="2"/>
  <c r="Z32" i="2"/>
  <c r="Z27" i="2"/>
  <c r="Z21" i="2"/>
  <c r="Z16" i="2"/>
  <c r="Z19" i="2"/>
  <c r="Z14" i="2"/>
  <c r="Z12" i="2"/>
  <c r="Z10" i="2"/>
  <c r="Z18" i="2"/>
  <c r="AE9" i="2"/>
  <c r="Z13" i="2"/>
  <c r="Z28" i="2"/>
  <c r="Z38" i="2"/>
  <c r="Z37" i="2"/>
  <c r="Z22" i="2"/>
  <c r="Z17" i="2"/>
  <c r="V17" i="2"/>
  <c r="V33" i="2"/>
  <c r="V12" i="2"/>
  <c r="V18" i="2"/>
  <c r="V36" i="2"/>
  <c r="V11" i="2"/>
  <c r="V16" i="2"/>
  <c r="V32" i="2"/>
  <c r="V30" i="2"/>
  <c r="J31" i="2"/>
  <c r="V43" i="2"/>
  <c r="V49" i="2"/>
  <c r="V50" i="2"/>
  <c r="V53" i="2"/>
  <c r="V62" i="2"/>
  <c r="V64" i="2"/>
  <c r="Z23" i="2"/>
  <c r="Z33" i="2"/>
  <c r="Z26" i="2"/>
  <c r="AA9" i="2"/>
  <c r="AA62" i="2"/>
  <c r="Z25" i="2"/>
  <c r="Z36" i="2"/>
  <c r="Z39" i="2"/>
  <c r="Z24" i="2"/>
  <c r="Z34" i="2"/>
  <c r="V28" i="2"/>
  <c r="V10" i="2"/>
  <c r="V20" i="2"/>
  <c r="V31" i="2"/>
  <c r="V39" i="2"/>
  <c r="V19" i="2"/>
  <c r="V27" i="2"/>
  <c r="V35" i="2"/>
  <c r="J15" i="2"/>
  <c r="Z45" i="2"/>
  <c r="Z46" i="2"/>
  <c r="Z54" i="2"/>
  <c r="Z56" i="2"/>
  <c r="V47" i="2"/>
  <c r="V48" i="2"/>
  <c r="V55" i="2"/>
  <c r="Z62" i="2"/>
  <c r="V60" i="2"/>
  <c r="J27" i="2"/>
  <c r="J56" i="2"/>
  <c r="J46" i="2"/>
  <c r="J62" i="2"/>
  <c r="J11" i="2"/>
  <c r="J37" i="2"/>
  <c r="J16" i="2"/>
  <c r="J33" i="2"/>
  <c r="J18" i="2"/>
  <c r="J40" i="2"/>
  <c r="J41" i="2"/>
  <c r="J43" i="2"/>
  <c r="J50" i="2"/>
  <c r="J63" i="2"/>
  <c r="J23" i="2"/>
  <c r="J49" i="2"/>
  <c r="J53" i="2"/>
  <c r="J59" i="2"/>
  <c r="J19" i="2"/>
  <c r="J26" i="2"/>
  <c r="J10" i="2"/>
  <c r="J29" i="2"/>
  <c r="J45" i="2"/>
  <c r="J54" i="2"/>
  <c r="J64" i="2"/>
  <c r="J17" i="2"/>
  <c r="J22" i="2"/>
  <c r="J28" i="2"/>
  <c r="J12" i="2"/>
  <c r="J21" i="2"/>
  <c r="J13" i="2"/>
  <c r="J20" i="2"/>
  <c r="J24" i="2"/>
  <c r="J32" i="2"/>
  <c r="J42" i="2"/>
  <c r="J30" i="2"/>
  <c r="J34" i="2"/>
  <c r="J14" i="2"/>
  <c r="J25" i="2"/>
  <c r="J36" i="2"/>
  <c r="J35" i="2"/>
  <c r="J39" i="2"/>
  <c r="J44" i="2"/>
  <c r="J47" i="2"/>
  <c r="J51" i="2"/>
  <c r="J48" i="2"/>
  <c r="J52" i="2"/>
  <c r="J55" i="2"/>
  <c r="J57" i="2"/>
  <c r="J58" i="2"/>
  <c r="J60" i="2"/>
  <c r="J61" i="2"/>
  <c r="S65" i="2"/>
  <c r="S63" i="2"/>
  <c r="S64" i="2"/>
  <c r="S62" i="2"/>
  <c r="S60" i="2"/>
  <c r="S61" i="2"/>
  <c r="S58" i="2"/>
  <c r="S59" i="2"/>
  <c r="AE65" i="2"/>
  <c r="AE63" i="2"/>
  <c r="AE64" i="2"/>
  <c r="AE62" i="2"/>
  <c r="AE60" i="2"/>
  <c r="AE61" i="2"/>
  <c r="AE59" i="2"/>
  <c r="AE58" i="2"/>
  <c r="AA65" i="2"/>
  <c r="AA60" i="2"/>
  <c r="W65" i="2"/>
  <c r="W63" i="2"/>
  <c r="W64" i="2"/>
  <c r="W62" i="2"/>
  <c r="W60" i="2"/>
  <c r="W61" i="2"/>
  <c r="W58" i="2"/>
  <c r="W59" i="2"/>
  <c r="O65" i="2"/>
  <c r="O63" i="2"/>
  <c r="O64" i="2"/>
  <c r="O62" i="2"/>
  <c r="O60" i="2"/>
  <c r="O61" i="2"/>
  <c r="O58" i="2"/>
  <c r="O59" i="2"/>
  <c r="AE57" i="2"/>
  <c r="AE55" i="2"/>
  <c r="AE56" i="2"/>
  <c r="AE54" i="2"/>
  <c r="AE52" i="2"/>
  <c r="AE53" i="2"/>
  <c r="AE51" i="2"/>
  <c r="AE49" i="2"/>
  <c r="AE47" i="2"/>
  <c r="AE45" i="2"/>
  <c r="AE50" i="2"/>
  <c r="AE48" i="2"/>
  <c r="AE46" i="2"/>
  <c r="AE43" i="2"/>
  <c r="AE44" i="2"/>
  <c r="AA55" i="2"/>
  <c r="AA53" i="2"/>
  <c r="AA45" i="2"/>
  <c r="AA43" i="2"/>
  <c r="S57" i="2"/>
  <c r="S55" i="2"/>
  <c r="S56" i="2"/>
  <c r="S54" i="2"/>
  <c r="S52" i="2"/>
  <c r="S53" i="2"/>
  <c r="S51" i="2"/>
  <c r="S49" i="2"/>
  <c r="S47" i="2"/>
  <c r="S45" i="2"/>
  <c r="S50" i="2"/>
  <c r="S48" i="2"/>
  <c r="S46" i="2"/>
  <c r="S43" i="2"/>
  <c r="S44" i="2"/>
  <c r="W57" i="2"/>
  <c r="W55" i="2"/>
  <c r="W56" i="2"/>
  <c r="W54" i="2"/>
  <c r="W52" i="2"/>
  <c r="W53" i="2"/>
  <c r="W51" i="2"/>
  <c r="W49" i="2"/>
  <c r="W47" i="2"/>
  <c r="W45" i="2"/>
  <c r="W50" i="2"/>
  <c r="W48" i="2"/>
  <c r="W46" i="2"/>
  <c r="W43" i="2"/>
  <c r="W44" i="2"/>
  <c r="O57" i="2"/>
  <c r="O55" i="2"/>
  <c r="O56" i="2"/>
  <c r="O54" i="2"/>
  <c r="O52" i="2"/>
  <c r="O53" i="2"/>
  <c r="O51" i="2"/>
  <c r="O49" i="2"/>
  <c r="O47" i="2"/>
  <c r="O45" i="2"/>
  <c r="O50" i="2"/>
  <c r="O48" i="2"/>
  <c r="O46" i="2"/>
  <c r="O43" i="2"/>
  <c r="O44" i="2"/>
  <c r="W34" i="2"/>
  <c r="W30" i="2"/>
  <c r="W35" i="2"/>
  <c r="W41" i="2"/>
  <c r="W38" i="2"/>
  <c r="W37" i="2"/>
  <c r="W32" i="2"/>
  <c r="W26" i="2"/>
  <c r="W24" i="2"/>
  <c r="W22" i="2"/>
  <c r="W20" i="2"/>
  <c r="W18" i="2"/>
  <c r="W15" i="2"/>
  <c r="W13" i="2"/>
  <c r="W11" i="2"/>
  <c r="X9" i="2"/>
  <c r="W39" i="2"/>
  <c r="W29" i="2"/>
  <c r="W40" i="2"/>
  <c r="W36" i="2"/>
  <c r="W31" i="2"/>
  <c r="W42" i="2"/>
  <c r="W33" i="2"/>
  <c r="W28" i="2"/>
  <c r="W27" i="2"/>
  <c r="W25" i="2"/>
  <c r="W23" i="2"/>
  <c r="W21" i="2"/>
  <c r="W19" i="2"/>
  <c r="W16" i="2"/>
  <c r="W14" i="2"/>
  <c r="W12" i="2"/>
  <c r="W10" i="2"/>
  <c r="W17" i="2"/>
  <c r="O39" i="2"/>
  <c r="O29" i="2"/>
  <c r="O40" i="2"/>
  <c r="O41" i="2"/>
  <c r="O31" i="2"/>
  <c r="O38" i="2"/>
  <c r="O33" i="2"/>
  <c r="O37" i="2"/>
  <c r="O32" i="2"/>
  <c r="O27" i="2"/>
  <c r="O25" i="2"/>
  <c r="O23" i="2"/>
  <c r="O21" i="2"/>
  <c r="O19" i="2"/>
  <c r="O16" i="2"/>
  <c r="O14" i="2"/>
  <c r="O10" i="2"/>
  <c r="O34" i="2"/>
  <c r="O30" i="2"/>
  <c r="O35" i="2"/>
  <c r="O36" i="2"/>
  <c r="O42" i="2"/>
  <c r="O28" i="2"/>
  <c r="O26" i="2"/>
  <c r="O24" i="2"/>
  <c r="O22" i="2"/>
  <c r="O20" i="2"/>
  <c r="O18" i="2"/>
  <c r="O15" i="2"/>
  <c r="O13" i="2"/>
  <c r="O11" i="2"/>
  <c r="O12" i="2"/>
  <c r="O17" i="2"/>
  <c r="AE34" i="2"/>
  <c r="AE30" i="2"/>
  <c r="AE35" i="2"/>
  <c r="AE41" i="2"/>
  <c r="AE38" i="2"/>
  <c r="AE37" i="2"/>
  <c r="AE32" i="2"/>
  <c r="AE26" i="2"/>
  <c r="AE24" i="2"/>
  <c r="AE22" i="2"/>
  <c r="AE20" i="2"/>
  <c r="AE18" i="2"/>
  <c r="AE15" i="2"/>
  <c r="AE13" i="2"/>
  <c r="AE11" i="2"/>
  <c r="AJ9" i="2"/>
  <c r="AE39" i="2"/>
  <c r="AE29" i="2"/>
  <c r="AE40" i="2"/>
  <c r="AE36" i="2"/>
  <c r="AE31" i="2"/>
  <c r="AE42" i="2"/>
  <c r="AE33" i="2"/>
  <c r="AE28" i="2"/>
  <c r="AE27" i="2"/>
  <c r="AE25" i="2"/>
  <c r="AE23" i="2"/>
  <c r="AE21" i="2"/>
  <c r="AE19" i="2"/>
  <c r="AE16" i="2"/>
  <c r="AE14" i="2"/>
  <c r="AE12" i="2"/>
  <c r="AE10" i="2"/>
  <c r="AF9" i="2"/>
  <c r="AE17" i="2"/>
  <c r="AA36" i="2"/>
  <c r="AA28" i="2"/>
  <c r="AA20" i="2"/>
  <c r="AA11" i="2"/>
  <c r="AA35" i="2"/>
  <c r="AA32" i="2"/>
  <c r="AA19" i="2"/>
  <c r="AA10" i="2"/>
  <c r="S34" i="2"/>
  <c r="S30" i="2"/>
  <c r="S35" i="2"/>
  <c r="S41" i="2"/>
  <c r="S38" i="2"/>
  <c r="S42" i="2"/>
  <c r="S33" i="2"/>
  <c r="S26" i="2"/>
  <c r="S24" i="2"/>
  <c r="S22" i="2"/>
  <c r="S20" i="2"/>
  <c r="S18" i="2"/>
  <c r="S15" i="2"/>
  <c r="S13" i="2"/>
  <c r="S11" i="2"/>
  <c r="T9" i="2"/>
  <c r="S39" i="2"/>
  <c r="S29" i="2"/>
  <c r="S40" i="2"/>
  <c r="S36" i="2"/>
  <c r="S31" i="2"/>
  <c r="S37" i="2"/>
  <c r="S28" i="2"/>
  <c r="S32" i="2"/>
  <c r="S27" i="2"/>
  <c r="S25" i="2"/>
  <c r="S23" i="2"/>
  <c r="S21" i="2"/>
  <c r="S19" i="2"/>
  <c r="S16" i="2"/>
  <c r="S14" i="2"/>
  <c r="S12" i="2"/>
  <c r="S10" i="2"/>
  <c r="S17" i="2"/>
  <c r="AA22" i="2"/>
  <c r="AA16" i="2"/>
  <c r="AA26" i="2"/>
  <c r="AA41" i="2"/>
  <c r="AB9" i="2"/>
  <c r="AB65" i="2"/>
  <c r="AA18" i="2"/>
  <c r="AA27" i="2"/>
  <c r="AA31" i="2"/>
  <c r="AA39" i="2"/>
  <c r="AA44" i="2"/>
  <c r="AA50" i="2"/>
  <c r="AA51" i="2"/>
  <c r="AA56" i="2"/>
  <c r="AA61" i="2"/>
  <c r="AA63" i="2"/>
  <c r="AA17" i="2"/>
  <c r="AA14" i="2"/>
  <c r="AA24" i="2"/>
  <c r="AA38" i="2"/>
  <c r="AA34" i="2"/>
  <c r="AA15" i="2"/>
  <c r="AA25" i="2"/>
  <c r="AA42" i="2"/>
  <c r="AA29" i="2"/>
  <c r="AA48" i="2"/>
  <c r="AA49" i="2"/>
  <c r="AA54" i="2"/>
  <c r="AA59" i="2"/>
  <c r="AA64" i="2"/>
  <c r="AA12" i="2"/>
  <c r="AA21" i="2"/>
  <c r="AA37" i="2"/>
  <c r="AA30" i="2"/>
  <c r="AA13" i="2"/>
  <c r="AA23" i="2"/>
  <c r="AA33" i="2"/>
  <c r="AA40" i="2"/>
  <c r="AA46" i="2"/>
  <c r="AA47" i="2"/>
  <c r="AA52" i="2"/>
  <c r="AA57" i="2"/>
  <c r="AA58" i="2"/>
  <c r="T64" i="2"/>
  <c r="T65" i="2"/>
  <c r="T63" i="2"/>
  <c r="T61" i="2"/>
  <c r="T62" i="2"/>
  <c r="T60" i="2"/>
  <c r="T59" i="2"/>
  <c r="T58" i="2"/>
  <c r="X64" i="2"/>
  <c r="X65" i="2"/>
  <c r="X63" i="2"/>
  <c r="X61" i="2"/>
  <c r="X59" i="2"/>
  <c r="X62" i="2"/>
  <c r="X60" i="2"/>
  <c r="X58" i="2"/>
  <c r="AB63" i="2"/>
  <c r="AB60" i="2"/>
  <c r="AF64" i="2"/>
  <c r="AF65" i="2"/>
  <c r="AF63" i="2"/>
  <c r="AF61" i="2"/>
  <c r="AF59" i="2"/>
  <c r="AF62" i="2"/>
  <c r="AF60" i="2"/>
  <c r="AF58" i="2"/>
  <c r="AJ64" i="2"/>
  <c r="AJ65" i="2"/>
  <c r="AJ63" i="2"/>
  <c r="AJ61" i="2"/>
  <c r="AJ59" i="2"/>
  <c r="AJ62" i="2"/>
  <c r="AJ60" i="2"/>
  <c r="AJ58" i="2"/>
  <c r="T56" i="2"/>
  <c r="T57" i="2"/>
  <c r="T55" i="2"/>
  <c r="T53" i="2"/>
  <c r="T54" i="2"/>
  <c r="T52" i="2"/>
  <c r="T50" i="2"/>
  <c r="T48" i="2"/>
  <c r="T46" i="2"/>
  <c r="T51" i="2"/>
  <c r="T49" i="2"/>
  <c r="T47" i="2"/>
  <c r="T45" i="2"/>
  <c r="T44" i="2"/>
  <c r="T43" i="2"/>
  <c r="X56" i="2"/>
  <c r="X57" i="2"/>
  <c r="X55" i="2"/>
  <c r="X53" i="2"/>
  <c r="X54" i="2"/>
  <c r="X52" i="2"/>
  <c r="X50" i="2"/>
  <c r="X48" i="2"/>
  <c r="X46" i="2"/>
  <c r="X51" i="2"/>
  <c r="X49" i="2"/>
  <c r="X47" i="2"/>
  <c r="X45" i="2"/>
  <c r="X44" i="2"/>
  <c r="X43" i="2"/>
  <c r="AB56" i="2"/>
  <c r="AB54" i="2"/>
  <c r="AB46" i="2"/>
  <c r="AB45" i="2"/>
  <c r="AF56" i="2"/>
  <c r="AF57" i="2"/>
  <c r="AF55" i="2"/>
  <c r="AF53" i="2"/>
  <c r="AF54" i="2"/>
  <c r="AF52" i="2"/>
  <c r="AF50" i="2"/>
  <c r="AF48" i="2"/>
  <c r="AF46" i="2"/>
  <c r="AF51" i="2"/>
  <c r="AF49" i="2"/>
  <c r="AF47" i="2"/>
  <c r="AF45" i="2"/>
  <c r="AF44" i="2"/>
  <c r="AF43" i="2"/>
  <c r="AJ56" i="2"/>
  <c r="AJ57" i="2"/>
  <c r="AJ55" i="2"/>
  <c r="AJ53" i="2"/>
  <c r="AJ54" i="2"/>
  <c r="AJ52" i="2"/>
  <c r="AJ50" i="2"/>
  <c r="AJ48" i="2"/>
  <c r="AJ46" i="2"/>
  <c r="AJ51" i="2"/>
  <c r="AJ49" i="2"/>
  <c r="AJ47" i="2"/>
  <c r="AJ45" i="2"/>
  <c r="AJ44" i="2"/>
  <c r="AJ43" i="2"/>
  <c r="AB36" i="2"/>
  <c r="AB38" i="2"/>
  <c r="AB18" i="2"/>
  <c r="AB12" i="2"/>
  <c r="AB30" i="2"/>
  <c r="AB33" i="2"/>
  <c r="AB21" i="2"/>
  <c r="AB13" i="2"/>
  <c r="AF39" i="2"/>
  <c r="AF29" i="2"/>
  <c r="AF35" i="2"/>
  <c r="AF41" i="2"/>
  <c r="AF36" i="2"/>
  <c r="AF37" i="2"/>
  <c r="AF33" i="2"/>
  <c r="AF26" i="2"/>
  <c r="AF24" i="2"/>
  <c r="AF22" i="2"/>
  <c r="AF18" i="2"/>
  <c r="AF16" i="2"/>
  <c r="AF19" i="2"/>
  <c r="AF15" i="2"/>
  <c r="AF13" i="2"/>
  <c r="AF11" i="2"/>
  <c r="AF34" i="2"/>
  <c r="AF40" i="2"/>
  <c r="AF30" i="2"/>
  <c r="AF31" i="2"/>
  <c r="AF42" i="2"/>
  <c r="AF32" i="2"/>
  <c r="AF28" i="2"/>
  <c r="AF38" i="2"/>
  <c r="AF27" i="2"/>
  <c r="AF25" i="2"/>
  <c r="AF23" i="2"/>
  <c r="AF21" i="2"/>
  <c r="AF17" i="2"/>
  <c r="AF20" i="2"/>
  <c r="AG9" i="2"/>
  <c r="AF14" i="2"/>
  <c r="AF12" i="2"/>
  <c r="AF10" i="2"/>
  <c r="AJ39" i="2"/>
  <c r="AJ29" i="2"/>
  <c r="AJ35" i="2"/>
  <c r="AJ36" i="2"/>
  <c r="AJ31" i="2"/>
  <c r="AJ37" i="2"/>
  <c r="AJ28" i="2"/>
  <c r="AJ38" i="2"/>
  <c r="AJ26" i="2"/>
  <c r="AJ24" i="2"/>
  <c r="AJ22" i="2"/>
  <c r="AJ18" i="2"/>
  <c r="AJ16" i="2"/>
  <c r="AJ19" i="2"/>
  <c r="AK9" i="2"/>
  <c r="AJ14" i="2"/>
  <c r="AJ12" i="2"/>
  <c r="AJ10" i="2"/>
  <c r="AJ34" i="2"/>
  <c r="AJ40" i="2"/>
  <c r="AJ30" i="2"/>
  <c r="AJ41" i="2"/>
  <c r="AJ42" i="2"/>
  <c r="AJ32" i="2"/>
  <c r="AJ33" i="2"/>
  <c r="AJ27" i="2"/>
  <c r="AJ25" i="2"/>
  <c r="AJ23" i="2"/>
  <c r="AJ21" i="2"/>
  <c r="AJ17" i="2"/>
  <c r="AJ20" i="2"/>
  <c r="AO9" i="2"/>
  <c r="AJ15" i="2"/>
  <c r="AJ13" i="2"/>
  <c r="AJ11" i="2"/>
  <c r="T39" i="2"/>
  <c r="T29" i="2"/>
  <c r="T35" i="2"/>
  <c r="T36" i="2"/>
  <c r="T31" i="2"/>
  <c r="T37" i="2"/>
  <c r="T28" i="2"/>
  <c r="T38" i="2"/>
  <c r="T27" i="2"/>
  <c r="T25" i="2"/>
  <c r="T23" i="2"/>
  <c r="T21" i="2"/>
  <c r="T16" i="2"/>
  <c r="T19" i="2"/>
  <c r="T14" i="2"/>
  <c r="T12" i="2"/>
  <c r="T10" i="2"/>
  <c r="T34" i="2"/>
  <c r="T40" i="2"/>
  <c r="T30" i="2"/>
  <c r="T41" i="2"/>
  <c r="T42" i="2"/>
  <c r="T32" i="2"/>
  <c r="T33" i="2"/>
  <c r="T26" i="2"/>
  <c r="T24" i="2"/>
  <c r="T22" i="2"/>
  <c r="T18" i="2"/>
  <c r="T20" i="2"/>
  <c r="T15" i="2"/>
  <c r="T13" i="2"/>
  <c r="T11" i="2"/>
  <c r="T17" i="2"/>
  <c r="X39" i="2"/>
  <c r="X29" i="2"/>
  <c r="X35" i="2"/>
  <c r="X41" i="2"/>
  <c r="X36" i="2"/>
  <c r="X37" i="2"/>
  <c r="X33" i="2"/>
  <c r="X26" i="2"/>
  <c r="X24" i="2"/>
  <c r="X22" i="2"/>
  <c r="X18" i="2"/>
  <c r="X16" i="2"/>
  <c r="X19" i="2"/>
  <c r="X15" i="2"/>
  <c r="X13" i="2"/>
  <c r="X11" i="2"/>
  <c r="X34" i="2"/>
  <c r="X40" i="2"/>
  <c r="X30" i="2"/>
  <c r="X31" i="2"/>
  <c r="X42" i="2"/>
  <c r="X32" i="2"/>
  <c r="X28" i="2"/>
  <c r="X38" i="2"/>
  <c r="X27" i="2"/>
  <c r="X25" i="2"/>
  <c r="X23" i="2"/>
  <c r="X21" i="2"/>
  <c r="X17" i="2"/>
  <c r="X20" i="2"/>
  <c r="Y9" i="2"/>
  <c r="X14" i="2"/>
  <c r="X12" i="2"/>
  <c r="X10" i="2"/>
  <c r="AB11" i="2"/>
  <c r="AB16" i="2"/>
  <c r="AB27" i="2"/>
  <c r="AB41" i="2"/>
  <c r="AB10" i="2"/>
  <c r="AB20" i="2"/>
  <c r="AB26" i="2"/>
  <c r="AB31" i="2"/>
  <c r="AB39" i="2"/>
  <c r="AB44" i="2"/>
  <c r="AB51" i="2"/>
  <c r="AB52" i="2"/>
  <c r="AB57" i="2"/>
  <c r="AB58" i="2"/>
  <c r="AB61" i="2"/>
  <c r="AB17" i="2"/>
  <c r="AB19" i="2"/>
  <c r="AB25" i="2"/>
  <c r="AB42" i="2"/>
  <c r="AB34" i="2"/>
  <c r="AC9" i="2"/>
  <c r="AC63" i="2"/>
  <c r="AB24" i="2"/>
  <c r="AB37" i="2"/>
  <c r="AB29" i="2"/>
  <c r="AB43" i="2"/>
  <c r="AB49" i="2"/>
  <c r="AB50" i="2"/>
  <c r="AB55" i="2"/>
  <c r="AB59" i="2"/>
  <c r="AB64" i="2"/>
  <c r="AB15" i="2"/>
  <c r="AB23" i="2"/>
  <c r="AB32" i="2"/>
  <c r="AB40" i="2"/>
  <c r="AB14" i="2"/>
  <c r="AB22" i="2"/>
  <c r="AB28" i="2"/>
  <c r="AB35" i="2"/>
  <c r="AB47" i="2"/>
  <c r="AB48" i="2"/>
  <c r="AB53" i="2"/>
  <c r="AB62" i="2"/>
  <c r="AO65" i="2"/>
  <c r="AO63" i="2"/>
  <c r="AO64" i="2"/>
  <c r="AO62" i="2"/>
  <c r="AO60" i="2"/>
  <c r="AO61" i="2"/>
  <c r="AO59" i="2"/>
  <c r="AO58" i="2"/>
  <c r="AC64" i="2"/>
  <c r="AC59" i="2"/>
  <c r="Y65" i="2"/>
  <c r="Y63" i="2"/>
  <c r="Y64" i="2"/>
  <c r="Y62" i="2"/>
  <c r="Y60" i="2"/>
  <c r="Y61" i="2"/>
  <c r="Y59" i="2"/>
  <c r="Y58" i="2"/>
  <c r="AK65" i="2"/>
  <c r="AK63" i="2"/>
  <c r="AK64" i="2"/>
  <c r="AK62" i="2"/>
  <c r="AK60" i="2"/>
  <c r="AK61" i="2"/>
  <c r="AK59" i="2"/>
  <c r="AK58" i="2"/>
  <c r="AG65" i="2"/>
  <c r="AG63" i="2"/>
  <c r="AG64" i="2"/>
  <c r="AG62" i="2"/>
  <c r="AG60" i="2"/>
  <c r="AG61" i="2"/>
  <c r="AG59" i="2"/>
  <c r="AG58" i="2"/>
  <c r="AO57" i="2"/>
  <c r="AO55" i="2"/>
  <c r="AO56" i="2"/>
  <c r="AO54" i="2"/>
  <c r="AO52" i="2"/>
  <c r="AO53" i="2"/>
  <c r="AO51" i="2"/>
  <c r="AO49" i="2"/>
  <c r="AO47" i="2"/>
  <c r="AO45" i="2"/>
  <c r="AO50" i="2"/>
  <c r="AO48" i="2"/>
  <c r="AO46" i="2"/>
  <c r="AO43" i="2"/>
  <c r="AO44" i="2"/>
  <c r="AC54" i="2"/>
  <c r="AC49" i="2"/>
  <c r="AC48" i="2"/>
  <c r="Y57" i="2"/>
  <c r="Y55" i="2"/>
  <c r="Y56" i="2"/>
  <c r="Y54" i="2"/>
  <c r="Y52" i="2"/>
  <c r="Y53" i="2"/>
  <c r="Y51" i="2"/>
  <c r="Y49" i="2"/>
  <c r="Y47" i="2"/>
  <c r="Y45" i="2"/>
  <c r="Y50" i="2"/>
  <c r="Y48" i="2"/>
  <c r="Y46" i="2"/>
  <c r="Y43" i="2"/>
  <c r="Y44" i="2"/>
  <c r="AK57" i="2"/>
  <c r="AK55" i="2"/>
  <c r="AK56" i="2"/>
  <c r="AK54" i="2"/>
  <c r="AK52" i="2"/>
  <c r="AK53" i="2"/>
  <c r="AK51" i="2"/>
  <c r="AK49" i="2"/>
  <c r="AK47" i="2"/>
  <c r="AK45" i="2"/>
  <c r="AK50" i="2"/>
  <c r="AK48" i="2"/>
  <c r="AK46" i="2"/>
  <c r="AK43" i="2"/>
  <c r="AK44" i="2"/>
  <c r="AG57" i="2"/>
  <c r="AG55" i="2"/>
  <c r="AG56" i="2"/>
  <c r="AG54" i="2"/>
  <c r="AG52" i="2"/>
  <c r="AG53" i="2"/>
  <c r="AG51" i="2"/>
  <c r="AG49" i="2"/>
  <c r="AG47" i="2"/>
  <c r="AG45" i="2"/>
  <c r="AG50" i="2"/>
  <c r="AG48" i="2"/>
  <c r="AG46" i="2"/>
  <c r="AG43" i="2"/>
  <c r="AG44" i="2"/>
  <c r="Y39" i="2"/>
  <c r="Y29" i="2"/>
  <c r="Y35" i="2"/>
  <c r="Y41" i="2"/>
  <c r="Y36" i="2"/>
  <c r="Y32" i="2"/>
  <c r="Y33" i="2"/>
  <c r="Y28" i="2"/>
  <c r="Y27" i="2"/>
  <c r="Y25" i="2"/>
  <c r="Y23" i="2"/>
  <c r="Y21" i="2"/>
  <c r="Y19" i="2"/>
  <c r="Y17" i="2"/>
  <c r="Y15" i="2"/>
  <c r="Y13" i="2"/>
  <c r="Y11" i="2"/>
  <c r="Y34" i="2"/>
  <c r="Y40" i="2"/>
  <c r="Y30" i="2"/>
  <c r="Y31" i="2"/>
  <c r="Y38" i="2"/>
  <c r="Y42" i="2"/>
  <c r="Y37" i="2"/>
  <c r="Y26" i="2"/>
  <c r="Y24" i="2"/>
  <c r="Y22" i="2"/>
  <c r="Y20" i="2"/>
  <c r="Y18" i="2"/>
  <c r="Y16" i="2"/>
  <c r="Y14" i="2"/>
  <c r="Y12" i="2"/>
  <c r="Y10" i="2"/>
  <c r="AK34" i="2"/>
  <c r="AK40" i="2"/>
  <c r="AK30" i="2"/>
  <c r="AK41" i="2"/>
  <c r="AK38" i="2"/>
  <c r="AK37" i="2"/>
  <c r="AK32" i="2"/>
  <c r="AK27" i="2"/>
  <c r="AK25" i="2"/>
  <c r="AK23" i="2"/>
  <c r="AK21" i="2"/>
  <c r="AK19" i="2"/>
  <c r="AK17" i="2"/>
  <c r="AK15" i="2"/>
  <c r="AK13" i="2"/>
  <c r="AK11" i="2"/>
  <c r="AL9" i="2"/>
  <c r="AK39" i="2"/>
  <c r="AK29" i="2"/>
  <c r="AK35" i="2"/>
  <c r="AK36" i="2"/>
  <c r="AK31" i="2"/>
  <c r="AK42" i="2"/>
  <c r="AK33" i="2"/>
  <c r="AK28" i="2"/>
  <c r="AK26" i="2"/>
  <c r="AK24" i="2"/>
  <c r="AK22" i="2"/>
  <c r="AK20" i="2"/>
  <c r="AK18" i="2"/>
  <c r="AK16" i="2"/>
  <c r="AK14" i="2"/>
  <c r="AK12" i="2"/>
  <c r="AK10" i="2"/>
  <c r="AG34" i="2"/>
  <c r="AG40" i="2"/>
  <c r="AG30" i="2"/>
  <c r="AG31" i="2"/>
  <c r="AG38" i="2"/>
  <c r="AG42" i="2"/>
  <c r="AG37" i="2"/>
  <c r="AG27" i="2"/>
  <c r="AG25" i="2"/>
  <c r="AG23" i="2"/>
  <c r="AG21" i="2"/>
  <c r="AG19" i="2"/>
  <c r="AG17" i="2"/>
  <c r="AG15" i="2"/>
  <c r="AG13" i="2"/>
  <c r="AG11" i="2"/>
  <c r="AH9" i="2"/>
  <c r="AG39" i="2"/>
  <c r="AG29" i="2"/>
  <c r="AG35" i="2"/>
  <c r="AG41" i="2"/>
  <c r="AG36" i="2"/>
  <c r="AG32" i="2"/>
  <c r="AG33" i="2"/>
  <c r="AG28" i="2"/>
  <c r="AG26" i="2"/>
  <c r="AG24" i="2"/>
  <c r="AG22" i="2"/>
  <c r="AG20" i="2"/>
  <c r="AG18" i="2"/>
  <c r="AG16" i="2"/>
  <c r="AG14" i="2"/>
  <c r="AG12" i="2"/>
  <c r="AG10" i="2"/>
  <c r="AO39" i="2"/>
  <c r="AO29" i="2"/>
  <c r="AO35" i="2"/>
  <c r="AO41" i="2"/>
  <c r="AO36" i="2"/>
  <c r="AO32" i="2"/>
  <c r="AO33" i="2"/>
  <c r="AO28" i="2"/>
  <c r="AO26" i="2"/>
  <c r="AO24" i="2"/>
  <c r="AO22" i="2"/>
  <c r="AO20" i="2"/>
  <c r="AO18" i="2"/>
  <c r="AO16" i="2"/>
  <c r="AO14" i="2"/>
  <c r="AO12" i="2"/>
  <c r="AO10" i="2"/>
  <c r="AP9" i="2"/>
  <c r="AO34" i="2"/>
  <c r="AO40" i="2"/>
  <c r="AO30" i="2"/>
  <c r="AO31" i="2"/>
  <c r="AO38" i="2"/>
  <c r="AO42" i="2"/>
  <c r="AO37" i="2"/>
  <c r="AO27" i="2"/>
  <c r="AO25" i="2"/>
  <c r="AO23" i="2"/>
  <c r="AO21" i="2"/>
  <c r="AO19" i="2"/>
  <c r="AO17" i="2"/>
  <c r="AO15" i="2"/>
  <c r="AO13" i="2"/>
  <c r="AO11" i="2"/>
  <c r="AT9" i="2"/>
  <c r="AC36" i="2"/>
  <c r="AC28" i="2"/>
  <c r="AC20" i="2"/>
  <c r="AC12" i="2"/>
  <c r="AC30" i="2"/>
  <c r="AC32" i="2"/>
  <c r="AC21" i="2"/>
  <c r="AC13" i="2"/>
  <c r="AC11" i="2"/>
  <c r="AC27" i="2"/>
  <c r="AC10" i="2"/>
  <c r="AC18" i="2"/>
  <c r="AC31" i="2"/>
  <c r="AC39" i="2"/>
  <c r="AC46" i="2"/>
  <c r="AC47" i="2"/>
  <c r="AC57" i="2"/>
  <c r="AC58" i="2"/>
  <c r="AC62" i="2"/>
  <c r="AD9" i="2"/>
  <c r="AC17" i="2"/>
  <c r="AC25" i="2"/>
  <c r="AC38" i="2"/>
  <c r="AC34" i="2"/>
  <c r="AC16" i="2"/>
  <c r="AC24" i="2"/>
  <c r="AC42" i="2"/>
  <c r="AC29" i="2"/>
  <c r="AC43" i="2"/>
  <c r="AC45" i="2"/>
  <c r="AC53" i="2"/>
  <c r="AC55" i="2"/>
  <c r="AC60" i="2"/>
  <c r="AC65" i="2"/>
  <c r="AC19" i="2"/>
  <c r="AC41" i="2"/>
  <c r="AC26" i="2"/>
  <c r="AC52" i="2"/>
  <c r="AC15" i="2"/>
  <c r="AC23" i="2"/>
  <c r="AC37" i="2"/>
  <c r="AC40" i="2"/>
  <c r="AC14" i="2"/>
  <c r="AC22" i="2"/>
  <c r="AC33" i="2"/>
  <c r="AC35" i="2"/>
  <c r="AC44" i="2"/>
  <c r="AC50" i="2"/>
  <c r="AC51" i="2"/>
  <c r="AC56" i="2"/>
  <c r="AC61" i="2"/>
  <c r="AT64" i="2"/>
  <c r="AT65" i="2"/>
  <c r="AT63" i="2"/>
  <c r="AT61" i="2"/>
  <c r="AT59" i="2"/>
  <c r="AT62" i="2"/>
  <c r="AT60" i="2"/>
  <c r="AT58" i="2"/>
  <c r="AH64" i="2"/>
  <c r="AH65" i="2"/>
  <c r="AH63" i="2"/>
  <c r="AH61" i="2"/>
  <c r="AH59" i="2"/>
  <c r="AH62" i="2"/>
  <c r="AH60" i="2"/>
  <c r="AH58" i="2"/>
  <c r="AL64" i="2"/>
  <c r="AL65" i="2"/>
  <c r="AL63" i="2"/>
  <c r="AL61" i="2"/>
  <c r="AL59" i="2"/>
  <c r="AL62" i="2"/>
  <c r="AL60" i="2"/>
  <c r="AL58" i="2"/>
  <c r="AD64" i="2"/>
  <c r="AD65" i="2"/>
  <c r="AD63" i="2"/>
  <c r="AD61" i="2"/>
  <c r="AD59" i="2"/>
  <c r="AD62" i="2"/>
  <c r="AD60" i="2"/>
  <c r="AD58" i="2"/>
  <c r="AP64" i="2"/>
  <c r="AP65" i="2"/>
  <c r="AP63" i="2"/>
  <c r="AP61" i="2"/>
  <c r="AP59" i="2"/>
  <c r="AP62" i="2"/>
  <c r="AP60" i="2"/>
  <c r="AP58" i="2"/>
  <c r="AD56" i="2"/>
  <c r="AD57" i="2"/>
  <c r="AD53" i="2"/>
  <c r="AD55" i="2"/>
  <c r="AD54" i="2"/>
  <c r="AD52" i="2"/>
  <c r="AD50" i="2"/>
  <c r="AD48" i="2"/>
  <c r="AD46" i="2"/>
  <c r="AD51" i="2"/>
  <c r="AD49" i="2"/>
  <c r="AD47" i="2"/>
  <c r="AD45" i="2"/>
  <c r="AD44" i="2"/>
  <c r="AD43" i="2"/>
  <c r="AT56" i="2"/>
  <c r="AT57" i="2"/>
  <c r="AT53" i="2"/>
  <c r="AT55" i="2"/>
  <c r="AT54" i="2"/>
  <c r="AT52" i="2"/>
  <c r="AT50" i="2"/>
  <c r="AT48" i="2"/>
  <c r="AT46" i="2"/>
  <c r="AT51" i="2"/>
  <c r="AT49" i="2"/>
  <c r="AT47" i="2"/>
  <c r="AT45" i="2"/>
  <c r="AT44" i="2"/>
  <c r="AT43" i="2"/>
  <c r="AH56" i="2"/>
  <c r="AH57" i="2"/>
  <c r="AH53" i="2"/>
  <c r="AH55" i="2"/>
  <c r="AH54" i="2"/>
  <c r="AH52" i="2"/>
  <c r="AH50" i="2"/>
  <c r="AH48" i="2"/>
  <c r="AH46" i="2"/>
  <c r="AH51" i="2"/>
  <c r="AH49" i="2"/>
  <c r="AH47" i="2"/>
  <c r="AH45" i="2"/>
  <c r="AH44" i="2"/>
  <c r="AH43" i="2"/>
  <c r="AL56" i="2"/>
  <c r="AL57" i="2"/>
  <c r="AL53" i="2"/>
  <c r="AL55" i="2"/>
  <c r="AL54" i="2"/>
  <c r="AL52" i="2"/>
  <c r="AL50" i="2"/>
  <c r="AL48" i="2"/>
  <c r="AL46" i="2"/>
  <c r="AL51" i="2"/>
  <c r="AL49" i="2"/>
  <c r="AL47" i="2"/>
  <c r="AL45" i="2"/>
  <c r="AL44" i="2"/>
  <c r="AL43" i="2"/>
  <c r="AP56" i="2"/>
  <c r="AP57" i="2"/>
  <c r="AP53" i="2"/>
  <c r="AP55" i="2"/>
  <c r="AP54" i="2"/>
  <c r="AP52" i="2"/>
  <c r="AP50" i="2"/>
  <c r="AP48" i="2"/>
  <c r="AP46" i="2"/>
  <c r="AP51" i="2"/>
  <c r="AP49" i="2"/>
  <c r="AP47" i="2"/>
  <c r="AP45" i="2"/>
  <c r="AP44" i="2"/>
  <c r="AP43" i="2"/>
  <c r="AP39" i="2"/>
  <c r="AP29" i="2"/>
  <c r="AP35" i="2"/>
  <c r="AP41" i="2"/>
  <c r="AP36" i="2"/>
  <c r="AP38" i="2"/>
  <c r="AP37" i="2"/>
  <c r="AP32" i="2"/>
  <c r="AP27" i="2"/>
  <c r="AP25" i="2"/>
  <c r="AP23" i="2"/>
  <c r="AP21" i="2"/>
  <c r="AP17" i="2"/>
  <c r="AP20" i="2"/>
  <c r="AQ9" i="2"/>
  <c r="AP14" i="2"/>
  <c r="AP12" i="2"/>
  <c r="AP10" i="2"/>
  <c r="AP34" i="2"/>
  <c r="AP40" i="2"/>
  <c r="AP30" i="2"/>
  <c r="AP31" i="2"/>
  <c r="AP42" i="2"/>
  <c r="AP33" i="2"/>
  <c r="AP28" i="2"/>
  <c r="AP26" i="2"/>
  <c r="AP24" i="2"/>
  <c r="AP22" i="2"/>
  <c r="AP18" i="2"/>
  <c r="AP16" i="2"/>
  <c r="AP19" i="2"/>
  <c r="AP15" i="2"/>
  <c r="AP13" i="2"/>
  <c r="AP11" i="2"/>
  <c r="AD39" i="2"/>
  <c r="AD29" i="2"/>
  <c r="AD40" i="2"/>
  <c r="AD36" i="2"/>
  <c r="AD31" i="2"/>
  <c r="AD42" i="2"/>
  <c r="AD33" i="2"/>
  <c r="AD37" i="2"/>
  <c r="AD27" i="2"/>
  <c r="AD25" i="2"/>
  <c r="AD23" i="2"/>
  <c r="AD21" i="2"/>
  <c r="AD17" i="2"/>
  <c r="AD20" i="2"/>
  <c r="AD15" i="2"/>
  <c r="AD13" i="2"/>
  <c r="AD11" i="2"/>
  <c r="AD34" i="2"/>
  <c r="AD30" i="2"/>
  <c r="AD35" i="2"/>
  <c r="AD41" i="2"/>
  <c r="AD32" i="2"/>
  <c r="AD38" i="2"/>
  <c r="AD28" i="2"/>
  <c r="AD26" i="2"/>
  <c r="AD24" i="2"/>
  <c r="AD22" i="2"/>
  <c r="AD18" i="2"/>
  <c r="AD16" i="2"/>
  <c r="AD19" i="2"/>
  <c r="AD14" i="2"/>
  <c r="AD12" i="2"/>
  <c r="AD10" i="2"/>
  <c r="AT34" i="2"/>
  <c r="AT30" i="2"/>
  <c r="AT35" i="2"/>
  <c r="AT41" i="2"/>
  <c r="AT42" i="2"/>
  <c r="AT33" i="2"/>
  <c r="AT37" i="2"/>
  <c r="AT26" i="2"/>
  <c r="AT24" i="2"/>
  <c r="AT22" i="2"/>
  <c r="AT18" i="2"/>
  <c r="AT16" i="2"/>
  <c r="AT19" i="2"/>
  <c r="AU9" i="2"/>
  <c r="AT14" i="2"/>
  <c r="AT12" i="2"/>
  <c r="AT10" i="2"/>
  <c r="AT39" i="2"/>
  <c r="AT29" i="2"/>
  <c r="AT40" i="2"/>
  <c r="AT36" i="2"/>
  <c r="AT31" i="2"/>
  <c r="AT38" i="2"/>
  <c r="AT28" i="2"/>
  <c r="AT32" i="2"/>
  <c r="AT27" i="2"/>
  <c r="AT25" i="2"/>
  <c r="AT23" i="2"/>
  <c r="AT21" i="2"/>
  <c r="AT17" i="2"/>
  <c r="AT20" i="2"/>
  <c r="AY9" i="2"/>
  <c r="AT15" i="2"/>
  <c r="AT13" i="2"/>
  <c r="AT11" i="2"/>
  <c r="AH34" i="2"/>
  <c r="AH40" i="2"/>
  <c r="AH30" i="2"/>
  <c r="AH31" i="2"/>
  <c r="AH32" i="2"/>
  <c r="AH38" i="2"/>
  <c r="AH37" i="2"/>
  <c r="AH26" i="2"/>
  <c r="AH24" i="2"/>
  <c r="AH22" i="2"/>
  <c r="AH18" i="2"/>
  <c r="AH16" i="2"/>
  <c r="AH19" i="2"/>
  <c r="AH15" i="2"/>
  <c r="AH13" i="2"/>
  <c r="AH11" i="2"/>
  <c r="AH39" i="2"/>
  <c r="AH29" i="2"/>
  <c r="AH35" i="2"/>
  <c r="AH41" i="2"/>
  <c r="AH36" i="2"/>
  <c r="AH42" i="2"/>
  <c r="AH33" i="2"/>
  <c r="AH28" i="2"/>
  <c r="AH27" i="2"/>
  <c r="AH25" i="2"/>
  <c r="AH23" i="2"/>
  <c r="AH21" i="2"/>
  <c r="AH17" i="2"/>
  <c r="AH20" i="2"/>
  <c r="AI9" i="2"/>
  <c r="AH14" i="2"/>
  <c r="AH12" i="2"/>
  <c r="AH10" i="2"/>
  <c r="AL34" i="2"/>
  <c r="AL30" i="2"/>
  <c r="AL35" i="2"/>
  <c r="AL41" i="2"/>
  <c r="AL32" i="2"/>
  <c r="AL38" i="2"/>
  <c r="AL28" i="2"/>
  <c r="AL27" i="2"/>
  <c r="AL25" i="2"/>
  <c r="AL23" i="2"/>
  <c r="AL21" i="2"/>
  <c r="AL17" i="2"/>
  <c r="AL20" i="2"/>
  <c r="AM9" i="2"/>
  <c r="AL14" i="2"/>
  <c r="AL12" i="2"/>
  <c r="AL10" i="2"/>
  <c r="AL39" i="2"/>
  <c r="AL29" i="2"/>
  <c r="AL40" i="2"/>
  <c r="AL36" i="2"/>
  <c r="AL31" i="2"/>
  <c r="AL42" i="2"/>
  <c r="AL33" i="2"/>
  <c r="AL37" i="2"/>
  <c r="AL26" i="2"/>
  <c r="AL24" i="2"/>
  <c r="AL22" i="2"/>
  <c r="AL18" i="2"/>
  <c r="AL16" i="2"/>
  <c r="AL19" i="2"/>
  <c r="AL15" i="2"/>
  <c r="AL13" i="2"/>
  <c r="AL11" i="2"/>
  <c r="AM65" i="2"/>
  <c r="AM63" i="2"/>
  <c r="AM64" i="2"/>
  <c r="AM62" i="2"/>
  <c r="AM60" i="2"/>
  <c r="AM61" i="2"/>
  <c r="AM59" i="2"/>
  <c r="AM58" i="2"/>
  <c r="AI65" i="2"/>
  <c r="AI63" i="2"/>
  <c r="AI64" i="2"/>
  <c r="AI62" i="2"/>
  <c r="AI60" i="2"/>
  <c r="AI61" i="2"/>
  <c r="AI59" i="2"/>
  <c r="AI58" i="2"/>
  <c r="AY65" i="2"/>
  <c r="AY63" i="2"/>
  <c r="AY64" i="2"/>
  <c r="AY62" i="2"/>
  <c r="AY60" i="2"/>
  <c r="AY61" i="2"/>
  <c r="AY59" i="2"/>
  <c r="AY58" i="2"/>
  <c r="AU65" i="2"/>
  <c r="AU63" i="2"/>
  <c r="AU64" i="2"/>
  <c r="AU62" i="2"/>
  <c r="AU60" i="2"/>
  <c r="AU61" i="2"/>
  <c r="AU59" i="2"/>
  <c r="AU58" i="2"/>
  <c r="AQ65" i="2"/>
  <c r="AQ63" i="2"/>
  <c r="AQ64" i="2"/>
  <c r="AQ62" i="2"/>
  <c r="AQ60" i="2"/>
  <c r="AQ61" i="2"/>
  <c r="AQ59" i="2"/>
  <c r="AQ58" i="2"/>
  <c r="AM57" i="2"/>
  <c r="AM55" i="2"/>
  <c r="AM56" i="2"/>
  <c r="AM54" i="2"/>
  <c r="AM52" i="2"/>
  <c r="AM53" i="2"/>
  <c r="AM51" i="2"/>
  <c r="AM49" i="2"/>
  <c r="AM47" i="2"/>
  <c r="AM45" i="2"/>
  <c r="AM50" i="2"/>
  <c r="AM48" i="2"/>
  <c r="AM46" i="2"/>
  <c r="AM43" i="2"/>
  <c r="AM44" i="2"/>
  <c r="AI57" i="2"/>
  <c r="AI55" i="2"/>
  <c r="AI56" i="2"/>
  <c r="AI54" i="2"/>
  <c r="AI52" i="2"/>
  <c r="AI53" i="2"/>
  <c r="AI51" i="2"/>
  <c r="AI49" i="2"/>
  <c r="AI47" i="2"/>
  <c r="AI45" i="2"/>
  <c r="AI50" i="2"/>
  <c r="AI48" i="2"/>
  <c r="AI46" i="2"/>
  <c r="AI43" i="2"/>
  <c r="AI44" i="2"/>
  <c r="AY57" i="2"/>
  <c r="AY55" i="2"/>
  <c r="AY56" i="2"/>
  <c r="AY54" i="2"/>
  <c r="AY52" i="2"/>
  <c r="AY53" i="2"/>
  <c r="AY51" i="2"/>
  <c r="AY49" i="2"/>
  <c r="AY47" i="2"/>
  <c r="AY45" i="2"/>
  <c r="AY50" i="2"/>
  <c r="AY48" i="2"/>
  <c r="AY46" i="2"/>
  <c r="AY43" i="2"/>
  <c r="AY44" i="2"/>
  <c r="AU57" i="2"/>
  <c r="AU55" i="2"/>
  <c r="AU56" i="2"/>
  <c r="AU54" i="2"/>
  <c r="AU52" i="2"/>
  <c r="AU53" i="2"/>
  <c r="AU51" i="2"/>
  <c r="AU49" i="2"/>
  <c r="AU47" i="2"/>
  <c r="AU45" i="2"/>
  <c r="AU50" i="2"/>
  <c r="AU48" i="2"/>
  <c r="AU46" i="2"/>
  <c r="AU43" i="2"/>
  <c r="AU44" i="2"/>
  <c r="AQ57" i="2"/>
  <c r="AQ55" i="2"/>
  <c r="AQ56" i="2"/>
  <c r="AQ54" i="2"/>
  <c r="AQ52" i="2"/>
  <c r="AQ53" i="2"/>
  <c r="AQ51" i="2"/>
  <c r="AQ49" i="2"/>
  <c r="AQ47" i="2"/>
  <c r="AQ45" i="2"/>
  <c r="AQ50" i="2"/>
  <c r="AQ48" i="2"/>
  <c r="AQ46" i="2"/>
  <c r="AQ43" i="2"/>
  <c r="AQ44" i="2"/>
  <c r="AI34" i="2"/>
  <c r="AI30" i="2"/>
  <c r="AI35" i="2"/>
  <c r="AI41" i="2"/>
  <c r="AI33" i="2"/>
  <c r="AI38" i="2"/>
  <c r="AI37" i="2"/>
  <c r="AI27" i="2"/>
  <c r="AI25" i="2"/>
  <c r="AI23" i="2"/>
  <c r="AI21" i="2"/>
  <c r="AI19" i="2"/>
  <c r="AI17" i="2"/>
  <c r="AI15" i="2"/>
  <c r="AI13" i="2"/>
  <c r="AI11" i="2"/>
  <c r="AI39" i="2"/>
  <c r="AI29" i="2"/>
  <c r="AI40" i="2"/>
  <c r="AI36" i="2"/>
  <c r="AI31" i="2"/>
  <c r="AI28" i="2"/>
  <c r="AI42" i="2"/>
  <c r="AI32" i="2"/>
  <c r="AI26" i="2"/>
  <c r="AI24" i="2"/>
  <c r="AI22" i="2"/>
  <c r="AI20" i="2"/>
  <c r="AI18" i="2"/>
  <c r="AI16" i="2"/>
  <c r="AI14" i="2"/>
  <c r="AI12" i="2"/>
  <c r="AI10" i="2"/>
  <c r="AY39" i="2"/>
  <c r="AY29" i="2"/>
  <c r="AY40" i="2"/>
  <c r="AY36" i="2"/>
  <c r="AY31" i="2"/>
  <c r="AY28" i="2"/>
  <c r="AY42" i="2"/>
  <c r="AY32" i="2"/>
  <c r="AY27" i="2"/>
  <c r="AY25" i="2"/>
  <c r="AY23" i="2"/>
  <c r="AY21" i="2"/>
  <c r="AY19" i="2"/>
  <c r="AY17" i="2"/>
  <c r="AY15" i="2"/>
  <c r="AY13" i="2"/>
  <c r="AY11" i="2"/>
  <c r="BD9" i="2"/>
  <c r="AY34" i="2"/>
  <c r="AY30" i="2"/>
  <c r="AY35" i="2"/>
  <c r="AY41" i="2"/>
  <c r="AY33" i="2"/>
  <c r="AY38" i="2"/>
  <c r="AY37" i="2"/>
  <c r="AY26" i="2"/>
  <c r="AY24" i="2"/>
  <c r="AY22" i="2"/>
  <c r="AY20" i="2"/>
  <c r="AY18" i="2"/>
  <c r="AY16" i="2"/>
  <c r="AY14" i="2"/>
  <c r="AY12" i="2"/>
  <c r="AY10" i="2"/>
  <c r="AZ9" i="2"/>
  <c r="AU39" i="2"/>
  <c r="AU29" i="2"/>
  <c r="AU40" i="2"/>
  <c r="AU36" i="2"/>
  <c r="AU31" i="2"/>
  <c r="AU33" i="2"/>
  <c r="AU28" i="2"/>
  <c r="AU38" i="2"/>
  <c r="AU26" i="2"/>
  <c r="AU24" i="2"/>
  <c r="AU22" i="2"/>
  <c r="AU20" i="2"/>
  <c r="AU18" i="2"/>
  <c r="AU16" i="2"/>
  <c r="AU14" i="2"/>
  <c r="AU12" i="2"/>
  <c r="AU10" i="2"/>
  <c r="AU34" i="2"/>
  <c r="AU30" i="2"/>
  <c r="AU35" i="2"/>
  <c r="AU41" i="2"/>
  <c r="AU42" i="2"/>
  <c r="AU37" i="2"/>
  <c r="AU32" i="2"/>
  <c r="AU27" i="2"/>
  <c r="AU25" i="2"/>
  <c r="AU23" i="2"/>
  <c r="AU21" i="2"/>
  <c r="AU19" i="2"/>
  <c r="AU17" i="2"/>
  <c r="AU15" i="2"/>
  <c r="AU13" i="2"/>
  <c r="AU11" i="2"/>
  <c r="AV9" i="2"/>
  <c r="AQ39" i="2"/>
  <c r="AQ29" i="2"/>
  <c r="AQ40" i="2"/>
  <c r="AQ36" i="2"/>
  <c r="AQ31" i="2"/>
  <c r="AQ28" i="2"/>
  <c r="AQ42" i="2"/>
  <c r="AQ32" i="2"/>
  <c r="AQ26" i="2"/>
  <c r="AQ24" i="2"/>
  <c r="AQ22" i="2"/>
  <c r="AQ20" i="2"/>
  <c r="AQ18" i="2"/>
  <c r="AQ16" i="2"/>
  <c r="AQ14" i="2"/>
  <c r="AQ12" i="2"/>
  <c r="AQ10" i="2"/>
  <c r="AQ34" i="2"/>
  <c r="AQ30" i="2"/>
  <c r="AQ35" i="2"/>
  <c r="AQ41" i="2"/>
  <c r="AQ33" i="2"/>
  <c r="AQ38" i="2"/>
  <c r="AQ37" i="2"/>
  <c r="AQ27" i="2"/>
  <c r="AQ25" i="2"/>
  <c r="AQ23" i="2"/>
  <c r="AQ21" i="2"/>
  <c r="AQ19" i="2"/>
  <c r="AQ17" i="2"/>
  <c r="AQ15" i="2"/>
  <c r="AQ13" i="2"/>
  <c r="AQ11" i="2"/>
  <c r="AR9" i="2"/>
  <c r="AM34" i="2"/>
  <c r="AM30" i="2"/>
  <c r="AM35" i="2"/>
  <c r="AM41" i="2"/>
  <c r="AM42" i="2"/>
  <c r="AM37" i="2"/>
  <c r="AM32" i="2"/>
  <c r="AM27" i="2"/>
  <c r="AM25" i="2"/>
  <c r="AM23" i="2"/>
  <c r="AM21" i="2"/>
  <c r="AM19" i="2"/>
  <c r="AM17" i="2"/>
  <c r="AM15" i="2"/>
  <c r="AM13" i="2"/>
  <c r="AM11" i="2"/>
  <c r="AN9" i="2"/>
  <c r="AM39" i="2"/>
  <c r="AM29" i="2"/>
  <c r="AM40" i="2"/>
  <c r="AM36" i="2"/>
  <c r="AM31" i="2"/>
  <c r="AM33" i="2"/>
  <c r="AM28" i="2"/>
  <c r="AM38" i="2"/>
  <c r="AM26" i="2"/>
  <c r="AM24" i="2"/>
  <c r="AM22" i="2"/>
  <c r="AM20" i="2"/>
  <c r="AM18" i="2"/>
  <c r="AM16" i="2"/>
  <c r="AM14" i="2"/>
  <c r="AM12" i="2"/>
  <c r="AM10" i="2"/>
  <c r="AR64" i="2"/>
  <c r="AR65" i="2"/>
  <c r="AR63" i="2"/>
  <c r="AR61" i="2"/>
  <c r="AR59" i="2"/>
  <c r="AR62" i="2"/>
  <c r="AR60" i="2"/>
  <c r="AR58" i="2"/>
  <c r="AV64" i="2"/>
  <c r="AV65" i="2"/>
  <c r="AV63" i="2"/>
  <c r="AV61" i="2"/>
  <c r="AV59" i="2"/>
  <c r="AV62" i="2"/>
  <c r="AV60" i="2"/>
  <c r="AV58" i="2"/>
  <c r="AZ64" i="2"/>
  <c r="AZ65" i="2"/>
  <c r="AZ63" i="2"/>
  <c r="AZ61" i="2"/>
  <c r="AZ59" i="2"/>
  <c r="AZ62" i="2"/>
  <c r="AZ60" i="2"/>
  <c r="AZ58" i="2"/>
  <c r="AN64" i="2"/>
  <c r="AN65" i="2"/>
  <c r="AN63" i="2"/>
  <c r="AN61" i="2"/>
  <c r="AN59" i="2"/>
  <c r="AN62" i="2"/>
  <c r="AN60" i="2"/>
  <c r="AN58" i="2"/>
  <c r="BD64" i="2"/>
  <c r="BD65" i="2"/>
  <c r="BD63" i="2"/>
  <c r="BD61" i="2"/>
  <c r="BD59" i="2"/>
  <c r="BD62" i="2"/>
  <c r="BD60" i="2"/>
  <c r="BD58" i="2"/>
  <c r="AR56" i="2"/>
  <c r="AR57" i="2"/>
  <c r="AR55" i="2"/>
  <c r="AR53" i="2"/>
  <c r="AR54" i="2"/>
  <c r="AR52" i="2"/>
  <c r="AR50" i="2"/>
  <c r="AR48" i="2"/>
  <c r="AR46" i="2"/>
  <c r="AR51" i="2"/>
  <c r="AR49" i="2"/>
  <c r="AR47" i="2"/>
  <c r="AR45" i="2"/>
  <c r="AR44" i="2"/>
  <c r="AR43" i="2"/>
  <c r="AV56" i="2"/>
  <c r="AV57" i="2"/>
  <c r="AV55" i="2"/>
  <c r="AV53" i="2"/>
  <c r="AV54" i="2"/>
  <c r="AV52" i="2"/>
  <c r="AV50" i="2"/>
  <c r="AV48" i="2"/>
  <c r="AV46" i="2"/>
  <c r="AV51" i="2"/>
  <c r="AV49" i="2"/>
  <c r="AV47" i="2"/>
  <c r="AV45" i="2"/>
  <c r="AV44" i="2"/>
  <c r="AV43" i="2"/>
  <c r="AZ56" i="2"/>
  <c r="AZ57" i="2"/>
  <c r="AZ55" i="2"/>
  <c r="AZ53" i="2"/>
  <c r="AZ54" i="2"/>
  <c r="AZ52" i="2"/>
  <c r="AZ50" i="2"/>
  <c r="AZ48" i="2"/>
  <c r="AZ46" i="2"/>
  <c r="AZ51" i="2"/>
  <c r="AZ49" i="2"/>
  <c r="AZ47" i="2"/>
  <c r="AZ45" i="2"/>
  <c r="AZ44" i="2"/>
  <c r="AZ43" i="2"/>
  <c r="AN56" i="2"/>
  <c r="AN57" i="2"/>
  <c r="AN55" i="2"/>
  <c r="AN53" i="2"/>
  <c r="AN54" i="2"/>
  <c r="AN52" i="2"/>
  <c r="AN50" i="2"/>
  <c r="AN48" i="2"/>
  <c r="AN46" i="2"/>
  <c r="AN51" i="2"/>
  <c r="AN49" i="2"/>
  <c r="AN47" i="2"/>
  <c r="AN45" i="2"/>
  <c r="AN44" i="2"/>
  <c r="AN43" i="2"/>
  <c r="BD56" i="2"/>
  <c r="BD57" i="2"/>
  <c r="BD55" i="2"/>
  <c r="BD53" i="2"/>
  <c r="BD54" i="2"/>
  <c r="BD52" i="2"/>
  <c r="BD50" i="2"/>
  <c r="BD48" i="2"/>
  <c r="BD46" i="2"/>
  <c r="BD51" i="2"/>
  <c r="BD49" i="2"/>
  <c r="BD47" i="2"/>
  <c r="BD45" i="2"/>
  <c r="BD44" i="2"/>
  <c r="BD43" i="2"/>
  <c r="AN39" i="2"/>
  <c r="AN29" i="2"/>
  <c r="AN35" i="2"/>
  <c r="AN41" i="2"/>
  <c r="AN36" i="2"/>
  <c r="AN37" i="2"/>
  <c r="AN38" i="2"/>
  <c r="AN28" i="2"/>
  <c r="AN26" i="2"/>
  <c r="AN24" i="2"/>
  <c r="AN22" i="2"/>
  <c r="AN18" i="2"/>
  <c r="AN16" i="2"/>
  <c r="AN19" i="2"/>
  <c r="AN14" i="2"/>
  <c r="AN12" i="2"/>
  <c r="AN10" i="2"/>
  <c r="AN34" i="2"/>
  <c r="AN40" i="2"/>
  <c r="AN30" i="2"/>
  <c r="AN31" i="2"/>
  <c r="AN42" i="2"/>
  <c r="AN32" i="2"/>
  <c r="AN33" i="2"/>
  <c r="AN27" i="2"/>
  <c r="AN25" i="2"/>
  <c r="AN23" i="2"/>
  <c r="AN21" i="2"/>
  <c r="AN17" i="2"/>
  <c r="AN20" i="2"/>
  <c r="AN15" i="2"/>
  <c r="AN13" i="2"/>
  <c r="AN11" i="2"/>
  <c r="BD34" i="2"/>
  <c r="BD40" i="2"/>
  <c r="BD30" i="2"/>
  <c r="BD31" i="2"/>
  <c r="BD42" i="2"/>
  <c r="BD32" i="2"/>
  <c r="BD33" i="2"/>
  <c r="BD26" i="2"/>
  <c r="BD24" i="2"/>
  <c r="BD22" i="2"/>
  <c r="BD18" i="2"/>
  <c r="BD16" i="2"/>
  <c r="BD19" i="2"/>
  <c r="BE9" i="2"/>
  <c r="BD14" i="2"/>
  <c r="BD12" i="2"/>
  <c r="BD10" i="2"/>
  <c r="BD39" i="2"/>
  <c r="BD29" i="2"/>
  <c r="BD35" i="2"/>
  <c r="BD41" i="2"/>
  <c r="BD36" i="2"/>
  <c r="BD37" i="2"/>
  <c r="BD38" i="2"/>
  <c r="BD28" i="2"/>
  <c r="BD27" i="2"/>
  <c r="BD25" i="2"/>
  <c r="BD23" i="2"/>
  <c r="BD21" i="2"/>
  <c r="BD17" i="2"/>
  <c r="BD20" i="2"/>
  <c r="BI9" i="2"/>
  <c r="BD15" i="2"/>
  <c r="BD13" i="2"/>
  <c r="BD11" i="2"/>
  <c r="AR39" i="2"/>
  <c r="AR29" i="2"/>
  <c r="AR35" i="2"/>
  <c r="AR36" i="2"/>
  <c r="AR31" i="2"/>
  <c r="AR37" i="2"/>
  <c r="AR38" i="2"/>
  <c r="AR28" i="2"/>
  <c r="AR26" i="2"/>
  <c r="AR24" i="2"/>
  <c r="AR22" i="2"/>
  <c r="AR18" i="2"/>
  <c r="AR16" i="2"/>
  <c r="AR19" i="2"/>
  <c r="AR15" i="2"/>
  <c r="AR13" i="2"/>
  <c r="AR11" i="2"/>
  <c r="AR34" i="2"/>
  <c r="AR40" i="2"/>
  <c r="AR30" i="2"/>
  <c r="AR41" i="2"/>
  <c r="AR42" i="2"/>
  <c r="AR32" i="2"/>
  <c r="AR33" i="2"/>
  <c r="AR27" i="2"/>
  <c r="AR25" i="2"/>
  <c r="AR23" i="2"/>
  <c r="AR21" i="2"/>
  <c r="AR17" i="2"/>
  <c r="AR20" i="2"/>
  <c r="AS9" i="2"/>
  <c r="AR14" i="2"/>
  <c r="AR12" i="2"/>
  <c r="AR10" i="2"/>
  <c r="AV34" i="2"/>
  <c r="AV40" i="2"/>
  <c r="AV30" i="2"/>
  <c r="AV31" i="2"/>
  <c r="AV42" i="2"/>
  <c r="AV32" i="2"/>
  <c r="AV33" i="2"/>
  <c r="AV27" i="2"/>
  <c r="AV25" i="2"/>
  <c r="AV23" i="2"/>
  <c r="AV21" i="2"/>
  <c r="AV17" i="2"/>
  <c r="AV20" i="2"/>
  <c r="AW9" i="2"/>
  <c r="AV14" i="2"/>
  <c r="AV12" i="2"/>
  <c r="AV10" i="2"/>
  <c r="AV39" i="2"/>
  <c r="AV29" i="2"/>
  <c r="AV35" i="2"/>
  <c r="AV41" i="2"/>
  <c r="AV36" i="2"/>
  <c r="AV37" i="2"/>
  <c r="AV38" i="2"/>
  <c r="AV28" i="2"/>
  <c r="AV26" i="2"/>
  <c r="AV24" i="2"/>
  <c r="AV22" i="2"/>
  <c r="AV18" i="2"/>
  <c r="AV16" i="2"/>
  <c r="AV19" i="2"/>
  <c r="AV15" i="2"/>
  <c r="AV13" i="2"/>
  <c r="AV11" i="2"/>
  <c r="AZ34" i="2"/>
  <c r="AZ40" i="2"/>
  <c r="AZ30" i="2"/>
  <c r="AZ41" i="2"/>
  <c r="AZ42" i="2"/>
  <c r="AZ32" i="2"/>
  <c r="AZ33" i="2"/>
  <c r="AZ27" i="2"/>
  <c r="AZ25" i="2"/>
  <c r="AZ23" i="2"/>
  <c r="AZ21" i="2"/>
  <c r="AZ17" i="2"/>
  <c r="AZ20" i="2"/>
  <c r="BA9" i="2"/>
  <c r="AZ14" i="2"/>
  <c r="AZ12" i="2"/>
  <c r="AZ10" i="2"/>
  <c r="AZ39" i="2"/>
  <c r="AZ29" i="2"/>
  <c r="AZ35" i="2"/>
  <c r="AZ36" i="2"/>
  <c r="AZ31" i="2"/>
  <c r="AZ37" i="2"/>
  <c r="AZ38" i="2"/>
  <c r="AZ28" i="2"/>
  <c r="AZ26" i="2"/>
  <c r="AZ24" i="2"/>
  <c r="AZ22" i="2"/>
  <c r="AZ18" i="2"/>
  <c r="AZ16" i="2"/>
  <c r="AZ19" i="2"/>
  <c r="AZ15" i="2"/>
  <c r="AZ13" i="2"/>
  <c r="AZ11" i="2"/>
  <c r="BA65" i="2"/>
  <c r="BA63" i="2"/>
  <c r="BA64" i="2"/>
  <c r="BA62" i="2"/>
  <c r="BA60" i="2"/>
  <c r="BA61" i="2"/>
  <c r="BA59" i="2"/>
  <c r="BA58" i="2"/>
  <c r="AW65" i="2"/>
  <c r="AW63" i="2"/>
  <c r="AW64" i="2"/>
  <c r="AW62" i="2"/>
  <c r="AW60" i="2"/>
  <c r="AW61" i="2"/>
  <c r="AW59" i="2"/>
  <c r="AW58" i="2"/>
  <c r="AS65" i="2"/>
  <c r="AS63" i="2"/>
  <c r="AS64" i="2"/>
  <c r="AS62" i="2"/>
  <c r="AS60" i="2"/>
  <c r="AS61" i="2"/>
  <c r="AS59" i="2"/>
  <c r="AS58" i="2"/>
  <c r="BI65" i="2"/>
  <c r="BI63" i="2"/>
  <c r="BI64" i="2"/>
  <c r="BI62" i="2"/>
  <c r="BI60" i="2"/>
  <c r="BI61" i="2"/>
  <c r="BI59" i="2"/>
  <c r="BI58" i="2"/>
  <c r="BE65" i="2"/>
  <c r="BE63" i="2"/>
  <c r="BE64" i="2"/>
  <c r="BE62" i="2"/>
  <c r="BE60" i="2"/>
  <c r="BE61" i="2"/>
  <c r="BE59" i="2"/>
  <c r="BE58" i="2"/>
  <c r="BA57" i="2"/>
  <c r="BA55" i="2"/>
  <c r="BA56" i="2"/>
  <c r="BA54" i="2"/>
  <c r="BA52" i="2"/>
  <c r="BA53" i="2"/>
  <c r="BA51" i="2"/>
  <c r="BA49" i="2"/>
  <c r="BA47" i="2"/>
  <c r="BA45" i="2"/>
  <c r="BA50" i="2"/>
  <c r="BA48" i="2"/>
  <c r="BA46" i="2"/>
  <c r="BA43" i="2"/>
  <c r="BA44" i="2"/>
  <c r="AW57" i="2"/>
  <c r="AW55" i="2"/>
  <c r="AW56" i="2"/>
  <c r="AW54" i="2"/>
  <c r="AW52" i="2"/>
  <c r="AW53" i="2"/>
  <c r="AW51" i="2"/>
  <c r="AW49" i="2"/>
  <c r="AW47" i="2"/>
  <c r="AW45" i="2"/>
  <c r="AW50" i="2"/>
  <c r="AW48" i="2"/>
  <c r="AW46" i="2"/>
  <c r="AW43" i="2"/>
  <c r="AW44" i="2"/>
  <c r="AS57" i="2"/>
  <c r="AS55" i="2"/>
  <c r="AS56" i="2"/>
  <c r="AS54" i="2"/>
  <c r="AS52" i="2"/>
  <c r="AS53" i="2"/>
  <c r="AS51" i="2"/>
  <c r="AS49" i="2"/>
  <c r="AS47" i="2"/>
  <c r="AS45" i="2"/>
  <c r="AS50" i="2"/>
  <c r="AS48" i="2"/>
  <c r="AS46" i="2"/>
  <c r="AS43" i="2"/>
  <c r="AS44" i="2"/>
  <c r="BI57" i="2"/>
  <c r="BI55" i="2"/>
  <c r="BI56" i="2"/>
  <c r="BI54" i="2"/>
  <c r="BI52" i="2"/>
  <c r="BI53" i="2"/>
  <c r="BI51" i="2"/>
  <c r="BI49" i="2"/>
  <c r="BI47" i="2"/>
  <c r="BI45" i="2"/>
  <c r="BI50" i="2"/>
  <c r="BI48" i="2"/>
  <c r="BI46" i="2"/>
  <c r="BI43" i="2"/>
  <c r="BI44" i="2"/>
  <c r="BE57" i="2"/>
  <c r="BE55" i="2"/>
  <c r="BE56" i="2"/>
  <c r="BE54" i="2"/>
  <c r="BE52" i="2"/>
  <c r="BE53" i="2"/>
  <c r="BE51" i="2"/>
  <c r="BE49" i="2"/>
  <c r="BE47" i="2"/>
  <c r="BE45" i="2"/>
  <c r="BE50" i="2"/>
  <c r="BE48" i="2"/>
  <c r="BE46" i="2"/>
  <c r="BE43" i="2"/>
  <c r="BE44" i="2"/>
  <c r="AS39" i="2"/>
  <c r="AS29" i="2"/>
  <c r="AS35" i="2"/>
  <c r="AS36" i="2"/>
  <c r="AS31" i="2"/>
  <c r="AS42" i="2"/>
  <c r="AS33" i="2"/>
  <c r="AS28" i="2"/>
  <c r="AS26" i="2"/>
  <c r="AS24" i="2"/>
  <c r="AS22" i="2"/>
  <c r="AS20" i="2"/>
  <c r="AS18" i="2"/>
  <c r="AS16" i="2"/>
  <c r="AS14" i="2"/>
  <c r="AS12" i="2"/>
  <c r="AS10" i="2"/>
  <c r="AS27" i="2"/>
  <c r="AS23" i="2"/>
  <c r="AS19" i="2"/>
  <c r="AS15" i="2"/>
  <c r="AS11" i="2"/>
  <c r="AS34" i="2"/>
  <c r="AS40" i="2"/>
  <c r="AS30" i="2"/>
  <c r="AS41" i="2"/>
  <c r="AS38" i="2"/>
  <c r="AS37" i="2"/>
  <c r="AS32" i="2"/>
  <c r="AS25" i="2"/>
  <c r="AS21" i="2"/>
  <c r="AS17" i="2"/>
  <c r="AS13" i="2"/>
  <c r="BI34" i="2"/>
  <c r="BI40" i="2"/>
  <c r="BI30" i="2"/>
  <c r="BI41" i="2"/>
  <c r="BI38" i="2"/>
  <c r="BI37" i="2"/>
  <c r="BI32" i="2"/>
  <c r="BI26" i="2"/>
  <c r="BI24" i="2"/>
  <c r="BI22" i="2"/>
  <c r="BI20" i="2"/>
  <c r="BI18" i="2"/>
  <c r="BI16" i="2"/>
  <c r="BI14" i="2"/>
  <c r="BI12" i="2"/>
  <c r="BI10" i="2"/>
  <c r="BJ9" i="2"/>
  <c r="BI39" i="2"/>
  <c r="BI29" i="2"/>
  <c r="BI35" i="2"/>
  <c r="BI36" i="2"/>
  <c r="BI31" i="2"/>
  <c r="BI42" i="2"/>
  <c r="BI33" i="2"/>
  <c r="BI28" i="2"/>
  <c r="BI27" i="2"/>
  <c r="BI25" i="2"/>
  <c r="BI23" i="2"/>
  <c r="BI21" i="2"/>
  <c r="BI19" i="2"/>
  <c r="BI17" i="2"/>
  <c r="BI15" i="2"/>
  <c r="BI13" i="2"/>
  <c r="BI11" i="2"/>
  <c r="BN9" i="2"/>
  <c r="BE34" i="2"/>
  <c r="BE40" i="2"/>
  <c r="BE30" i="2"/>
  <c r="BE31" i="2"/>
  <c r="BE38" i="2"/>
  <c r="BE42" i="2"/>
  <c r="BE37" i="2"/>
  <c r="BE27" i="2"/>
  <c r="BE25" i="2"/>
  <c r="BE23" i="2"/>
  <c r="BE21" i="2"/>
  <c r="BE19" i="2"/>
  <c r="BE17" i="2"/>
  <c r="BE15" i="2"/>
  <c r="BE13" i="2"/>
  <c r="BE11" i="2"/>
  <c r="BF9" i="2"/>
  <c r="BE39" i="2"/>
  <c r="BE29" i="2"/>
  <c r="BE35" i="2"/>
  <c r="BE41" i="2"/>
  <c r="BE36" i="2"/>
  <c r="BE32" i="2"/>
  <c r="BE33" i="2"/>
  <c r="BE28" i="2"/>
  <c r="BE26" i="2"/>
  <c r="BE24" i="2"/>
  <c r="BE22" i="2"/>
  <c r="BE20" i="2"/>
  <c r="BE18" i="2"/>
  <c r="BE16" i="2"/>
  <c r="BE14" i="2"/>
  <c r="BE12" i="2"/>
  <c r="BE10" i="2"/>
  <c r="BA34" i="2"/>
  <c r="BA40" i="2"/>
  <c r="BA30" i="2"/>
  <c r="BA41" i="2"/>
  <c r="BA38" i="2"/>
  <c r="BA37" i="2"/>
  <c r="BA32" i="2"/>
  <c r="BA27" i="2"/>
  <c r="BA25" i="2"/>
  <c r="BA23" i="2"/>
  <c r="BA21" i="2"/>
  <c r="BA19" i="2"/>
  <c r="BA17" i="2"/>
  <c r="BA15" i="2"/>
  <c r="BA13" i="2"/>
  <c r="BA11" i="2"/>
  <c r="BB9" i="2"/>
  <c r="BB33" i="2"/>
  <c r="BA39" i="2"/>
  <c r="BA29" i="2"/>
  <c r="BA35" i="2"/>
  <c r="BA36" i="2"/>
  <c r="BA31" i="2"/>
  <c r="BA42" i="2"/>
  <c r="BA33" i="2"/>
  <c r="BA28" i="2"/>
  <c r="BA26" i="2"/>
  <c r="BA24" i="2"/>
  <c r="BA22" i="2"/>
  <c r="BA20" i="2"/>
  <c r="BA18" i="2"/>
  <c r="BA16" i="2"/>
  <c r="BA14" i="2"/>
  <c r="BA12" i="2"/>
  <c r="BA10" i="2"/>
  <c r="AW39" i="2"/>
  <c r="AW29" i="2"/>
  <c r="AW35" i="2"/>
  <c r="AW41" i="2"/>
  <c r="AW36" i="2"/>
  <c r="AW32" i="2"/>
  <c r="AW33" i="2"/>
  <c r="AW28" i="2"/>
  <c r="AW26" i="2"/>
  <c r="AW24" i="2"/>
  <c r="AW22" i="2"/>
  <c r="AW20" i="2"/>
  <c r="AW18" i="2"/>
  <c r="AW16" i="2"/>
  <c r="AW14" i="2"/>
  <c r="AW12" i="2"/>
  <c r="AW10" i="2"/>
  <c r="AW34" i="2"/>
  <c r="AW40" i="2"/>
  <c r="AW30" i="2"/>
  <c r="AW31" i="2"/>
  <c r="AW38" i="2"/>
  <c r="AW42" i="2"/>
  <c r="AW37" i="2"/>
  <c r="AW27" i="2"/>
  <c r="AW25" i="2"/>
  <c r="AW23" i="2"/>
  <c r="AW21" i="2"/>
  <c r="AW19" i="2"/>
  <c r="AW17" i="2"/>
  <c r="AW15" i="2"/>
  <c r="AW13" i="2"/>
  <c r="AW11" i="2"/>
  <c r="AX9" i="2"/>
  <c r="AX31" i="2"/>
  <c r="BN64" i="2"/>
  <c r="BN65" i="2"/>
  <c r="BN63" i="2"/>
  <c r="BN61" i="2"/>
  <c r="BN59" i="2"/>
  <c r="BN62" i="2"/>
  <c r="BN60" i="2"/>
  <c r="BN58" i="2"/>
  <c r="BJ64" i="2"/>
  <c r="BJ65" i="2"/>
  <c r="BJ63" i="2"/>
  <c r="BJ61" i="2"/>
  <c r="BJ59" i="2"/>
  <c r="BJ62" i="2"/>
  <c r="BJ60" i="2"/>
  <c r="BJ58" i="2"/>
  <c r="AX64" i="2"/>
  <c r="AX65" i="2"/>
  <c r="AX63" i="2"/>
  <c r="AX61" i="2"/>
  <c r="AX59" i="2"/>
  <c r="AX62" i="2"/>
  <c r="AX60" i="2"/>
  <c r="AX58" i="2"/>
  <c r="BB64" i="2"/>
  <c r="BB65" i="2"/>
  <c r="BB63" i="2"/>
  <c r="BB61" i="2"/>
  <c r="BB59" i="2"/>
  <c r="BB62" i="2"/>
  <c r="BB60" i="2"/>
  <c r="BB58" i="2"/>
  <c r="BF64" i="2"/>
  <c r="BF65" i="2"/>
  <c r="BF63" i="2"/>
  <c r="BF61" i="2"/>
  <c r="BF59" i="2"/>
  <c r="BF62" i="2"/>
  <c r="BF60" i="2"/>
  <c r="BF58" i="2"/>
  <c r="BN56" i="2"/>
  <c r="BN57" i="2"/>
  <c r="BN53" i="2"/>
  <c r="BN55" i="2"/>
  <c r="BN54" i="2"/>
  <c r="BN52" i="2"/>
  <c r="BN50" i="2"/>
  <c r="BN48" i="2"/>
  <c r="BN46" i="2"/>
  <c r="BN51" i="2"/>
  <c r="BN49" i="2"/>
  <c r="BN47" i="2"/>
  <c r="BN45" i="2"/>
  <c r="BN44" i="2"/>
  <c r="BN43" i="2"/>
  <c r="BJ56" i="2"/>
  <c r="BJ57" i="2"/>
  <c r="BJ53" i="2"/>
  <c r="BJ55" i="2"/>
  <c r="BJ54" i="2"/>
  <c r="BJ52" i="2"/>
  <c r="BJ50" i="2"/>
  <c r="BJ48" i="2"/>
  <c r="BJ46" i="2"/>
  <c r="BJ51" i="2"/>
  <c r="BJ49" i="2"/>
  <c r="BJ47" i="2"/>
  <c r="BJ45" i="2"/>
  <c r="BJ44" i="2"/>
  <c r="BJ43" i="2"/>
  <c r="AX56" i="2"/>
  <c r="AX57" i="2"/>
  <c r="AX53" i="2"/>
  <c r="AX55" i="2"/>
  <c r="AX54" i="2"/>
  <c r="AX52" i="2"/>
  <c r="AX50" i="2"/>
  <c r="AX48" i="2"/>
  <c r="AX46" i="2"/>
  <c r="AX51" i="2"/>
  <c r="AX49" i="2"/>
  <c r="AX47" i="2"/>
  <c r="AX45" i="2"/>
  <c r="AX44" i="2"/>
  <c r="AX43" i="2"/>
  <c r="BB56" i="2"/>
  <c r="BB57" i="2"/>
  <c r="BB53" i="2"/>
  <c r="BB55" i="2"/>
  <c r="BB54" i="2"/>
  <c r="BB52" i="2"/>
  <c r="BB50" i="2"/>
  <c r="BB48" i="2"/>
  <c r="BB46" i="2"/>
  <c r="BB51" i="2"/>
  <c r="BB49" i="2"/>
  <c r="BB47" i="2"/>
  <c r="BB45" i="2"/>
  <c r="BB44" i="2"/>
  <c r="BB43" i="2"/>
  <c r="BF56" i="2"/>
  <c r="BF57" i="2"/>
  <c r="BF53" i="2"/>
  <c r="BF55" i="2"/>
  <c r="BF54" i="2"/>
  <c r="BF52" i="2"/>
  <c r="BF50" i="2"/>
  <c r="BF48" i="2"/>
  <c r="BF46" i="2"/>
  <c r="BF51" i="2"/>
  <c r="BF49" i="2"/>
  <c r="BF47" i="2"/>
  <c r="BF45" i="2"/>
  <c r="BF44" i="2"/>
  <c r="BF43" i="2"/>
  <c r="BB39" i="2"/>
  <c r="BB29" i="2"/>
  <c r="BB40" i="2"/>
  <c r="BB36" i="2"/>
  <c r="BB31" i="2"/>
  <c r="BB38" i="2"/>
  <c r="BB28" i="2"/>
  <c r="BB32" i="2"/>
  <c r="BB26" i="2"/>
  <c r="BB24" i="2"/>
  <c r="BB22" i="2"/>
  <c r="BB18" i="2"/>
  <c r="BB16" i="2"/>
  <c r="BB19" i="2"/>
  <c r="BB15" i="2"/>
  <c r="BB13" i="2"/>
  <c r="BB11" i="2"/>
  <c r="BB25" i="2"/>
  <c r="BB21" i="2"/>
  <c r="BB17" i="2"/>
  <c r="BC9" i="2"/>
  <c r="BB12" i="2"/>
  <c r="BB34" i="2"/>
  <c r="BB30" i="2"/>
  <c r="BB35" i="2"/>
  <c r="BB41" i="2"/>
  <c r="BB42" i="2"/>
  <c r="BB37" i="2"/>
  <c r="BB27" i="2"/>
  <c r="BB23" i="2"/>
  <c r="BB20" i="2"/>
  <c r="BB14" i="2"/>
  <c r="BB10" i="2"/>
  <c r="BF34" i="2"/>
  <c r="BF40" i="2"/>
  <c r="BF30" i="2"/>
  <c r="BF31" i="2"/>
  <c r="BF42" i="2"/>
  <c r="BF33" i="2"/>
  <c r="BF28" i="2"/>
  <c r="BF27" i="2"/>
  <c r="BF25" i="2"/>
  <c r="BF23" i="2"/>
  <c r="BF21" i="2"/>
  <c r="BF17" i="2"/>
  <c r="BF15" i="2"/>
  <c r="BF19" i="2"/>
  <c r="BF14" i="2"/>
  <c r="BF12" i="2"/>
  <c r="BF10" i="2"/>
  <c r="BF41" i="2"/>
  <c r="BF37" i="2"/>
  <c r="BF26" i="2"/>
  <c r="BF22" i="2"/>
  <c r="BF16" i="2"/>
  <c r="BF20" i="2"/>
  <c r="BF13" i="2"/>
  <c r="BF39" i="2"/>
  <c r="BF29" i="2"/>
  <c r="BF35" i="2"/>
  <c r="BF36" i="2"/>
  <c r="BF38" i="2"/>
  <c r="BF32" i="2"/>
  <c r="BF24" i="2"/>
  <c r="BF18" i="2"/>
  <c r="BG9" i="2"/>
  <c r="BF11" i="2"/>
  <c r="AX34" i="2"/>
  <c r="AX40" i="2"/>
  <c r="AX30" i="2"/>
  <c r="AX42" i="2"/>
  <c r="AX33" i="2"/>
  <c r="AX28" i="2"/>
  <c r="AX27" i="2"/>
  <c r="AX25" i="2"/>
  <c r="AX23" i="2"/>
  <c r="AX21" i="2"/>
  <c r="AX17" i="2"/>
  <c r="AX20" i="2"/>
  <c r="AX15" i="2"/>
  <c r="AX13" i="2"/>
  <c r="AX11" i="2"/>
  <c r="AX26" i="2"/>
  <c r="AX24" i="2"/>
  <c r="AX18" i="2"/>
  <c r="AX19" i="2"/>
  <c r="AX12" i="2"/>
  <c r="AX10" i="2"/>
  <c r="AX39" i="2"/>
  <c r="AX29" i="2"/>
  <c r="AX35" i="2"/>
  <c r="AX41" i="2"/>
  <c r="AX36" i="2"/>
  <c r="AX38" i="2"/>
  <c r="AX37" i="2"/>
  <c r="AX32" i="2"/>
  <c r="AX22" i="2"/>
  <c r="AX16" i="2"/>
  <c r="AX14" i="2"/>
  <c r="BN39" i="2"/>
  <c r="BN29" i="2"/>
  <c r="BN35" i="2"/>
  <c r="BN41" i="2"/>
  <c r="BN36" i="2"/>
  <c r="BN38" i="2"/>
  <c r="BN37" i="2"/>
  <c r="BN32" i="2"/>
  <c r="BN27" i="2"/>
  <c r="BN25" i="2"/>
  <c r="BN23" i="2"/>
  <c r="BN21" i="2"/>
  <c r="BN18" i="2"/>
  <c r="BN16" i="2"/>
  <c r="BN19" i="2"/>
  <c r="BO9" i="2"/>
  <c r="BN13" i="2"/>
  <c r="BN11" i="2"/>
  <c r="BN26" i="2"/>
  <c r="BN22" i="2"/>
  <c r="BN17" i="2"/>
  <c r="BS9" i="2"/>
  <c r="BN12" i="2"/>
  <c r="BN34" i="2"/>
  <c r="BN40" i="2"/>
  <c r="BN30" i="2"/>
  <c r="BN31" i="2"/>
  <c r="BN42" i="2"/>
  <c r="BN33" i="2"/>
  <c r="BN28" i="2"/>
  <c r="BN24" i="2"/>
  <c r="BN20" i="2"/>
  <c r="BN15" i="2"/>
  <c r="BN14" i="2"/>
  <c r="BN10" i="2"/>
  <c r="BJ34" i="2"/>
  <c r="BJ30" i="2"/>
  <c r="BJ35" i="2"/>
  <c r="BJ41" i="2"/>
  <c r="BJ42" i="2"/>
  <c r="BJ33" i="2"/>
  <c r="BJ37" i="2"/>
  <c r="BJ27" i="2"/>
  <c r="BJ25" i="2"/>
  <c r="BJ23" i="2"/>
  <c r="BJ21" i="2"/>
  <c r="BJ17" i="2"/>
  <c r="BJ15" i="2"/>
  <c r="BJ19" i="2"/>
  <c r="BJ14" i="2"/>
  <c r="BJ12" i="2"/>
  <c r="BJ10" i="2"/>
  <c r="BJ24" i="2"/>
  <c r="BJ18" i="2"/>
  <c r="BK9" i="2"/>
  <c r="BJ11" i="2"/>
  <c r="BJ39" i="2"/>
  <c r="BJ29" i="2"/>
  <c r="BJ40" i="2"/>
  <c r="BJ36" i="2"/>
  <c r="BJ31" i="2"/>
  <c r="BJ38" i="2"/>
  <c r="BJ28" i="2"/>
  <c r="BJ32" i="2"/>
  <c r="BJ26" i="2"/>
  <c r="BJ22" i="2"/>
  <c r="BJ16" i="2"/>
  <c r="BJ20" i="2"/>
  <c r="BJ13" i="2"/>
  <c r="BK65" i="2"/>
  <c r="BK63" i="2"/>
  <c r="BK64" i="2"/>
  <c r="BK62" i="2"/>
  <c r="BK60" i="2"/>
  <c r="BK61" i="2"/>
  <c r="BK59" i="2"/>
  <c r="BK58" i="2"/>
  <c r="BS65" i="2"/>
  <c r="BS63" i="2"/>
  <c r="BS64" i="2"/>
  <c r="BS62" i="2"/>
  <c r="BS60" i="2"/>
  <c r="BS61" i="2"/>
  <c r="BS59" i="2"/>
  <c r="BS58" i="2"/>
  <c r="BO65" i="2"/>
  <c r="BO63" i="2"/>
  <c r="BO64" i="2"/>
  <c r="BO62" i="2"/>
  <c r="BO60" i="2"/>
  <c r="BO61" i="2"/>
  <c r="BO59" i="2"/>
  <c r="BO58" i="2"/>
  <c r="BG65" i="2"/>
  <c r="BG63" i="2"/>
  <c r="BG64" i="2"/>
  <c r="BG62" i="2"/>
  <c r="BG60" i="2"/>
  <c r="BG61" i="2"/>
  <c r="BG59" i="2"/>
  <c r="BG58" i="2"/>
  <c r="BC65" i="2"/>
  <c r="BC63" i="2"/>
  <c r="BC64" i="2"/>
  <c r="BC62" i="2"/>
  <c r="BC60" i="2"/>
  <c r="BC61" i="2"/>
  <c r="BC59" i="2"/>
  <c r="BC58" i="2"/>
  <c r="BK57" i="2"/>
  <c r="BK55" i="2"/>
  <c r="BK56" i="2"/>
  <c r="BK54" i="2"/>
  <c r="BK52" i="2"/>
  <c r="BK53" i="2"/>
  <c r="BK51" i="2"/>
  <c r="BK49" i="2"/>
  <c r="BK47" i="2"/>
  <c r="BK45" i="2"/>
  <c r="BK50" i="2"/>
  <c r="BK48" i="2"/>
  <c r="BK46" i="2"/>
  <c r="BK43" i="2"/>
  <c r="BK44" i="2"/>
  <c r="BS57" i="2"/>
  <c r="BS55" i="2"/>
  <c r="BS56" i="2"/>
  <c r="BS54" i="2"/>
  <c r="BS52" i="2"/>
  <c r="BS53" i="2"/>
  <c r="BS51" i="2"/>
  <c r="BS49" i="2"/>
  <c r="BS47" i="2"/>
  <c r="BS45" i="2"/>
  <c r="BS50" i="2"/>
  <c r="BS48" i="2"/>
  <c r="BS46" i="2"/>
  <c r="BS43" i="2"/>
  <c r="BS44" i="2"/>
  <c r="BO57" i="2"/>
  <c r="BO55" i="2"/>
  <c r="BO56" i="2"/>
  <c r="BO54" i="2"/>
  <c r="BO52" i="2"/>
  <c r="BO53" i="2"/>
  <c r="BO51" i="2"/>
  <c r="BO49" i="2"/>
  <c r="BO47" i="2"/>
  <c r="BO45" i="2"/>
  <c r="BO50" i="2"/>
  <c r="BO48" i="2"/>
  <c r="BO46" i="2"/>
  <c r="BO43" i="2"/>
  <c r="BO44" i="2"/>
  <c r="BG57" i="2"/>
  <c r="BG55" i="2"/>
  <c r="BG56" i="2"/>
  <c r="BG54" i="2"/>
  <c r="BG52" i="2"/>
  <c r="BG53" i="2"/>
  <c r="BG51" i="2"/>
  <c r="BG49" i="2"/>
  <c r="BG47" i="2"/>
  <c r="BG45" i="2"/>
  <c r="BG50" i="2"/>
  <c r="BG48" i="2"/>
  <c r="BG46" i="2"/>
  <c r="BG43" i="2"/>
  <c r="BG44" i="2"/>
  <c r="BC57" i="2"/>
  <c r="BC55" i="2"/>
  <c r="BC56" i="2"/>
  <c r="BC54" i="2"/>
  <c r="BC52" i="2"/>
  <c r="BC53" i="2"/>
  <c r="BC51" i="2"/>
  <c r="BC49" i="2"/>
  <c r="BC47" i="2"/>
  <c r="BC45" i="2"/>
  <c r="BC50" i="2"/>
  <c r="BC48" i="2"/>
  <c r="BC46" i="2"/>
  <c r="BC43" i="2"/>
  <c r="BC44" i="2"/>
  <c r="BS39" i="2"/>
  <c r="BS29" i="2"/>
  <c r="BS40" i="2"/>
  <c r="BS36" i="2"/>
  <c r="BS31" i="2"/>
  <c r="BS33" i="2"/>
  <c r="BS28" i="2"/>
  <c r="BS38" i="2"/>
  <c r="BS27" i="2"/>
  <c r="BS25" i="2"/>
  <c r="BS23" i="2"/>
  <c r="BS21" i="2"/>
  <c r="BS20" i="2"/>
  <c r="BS17" i="2"/>
  <c r="BS14" i="2"/>
  <c r="BS12" i="2"/>
  <c r="BS10" i="2"/>
  <c r="BT9" i="2"/>
  <c r="BX9" i="2"/>
  <c r="BS30" i="2"/>
  <c r="BS41" i="2"/>
  <c r="BS37" i="2"/>
  <c r="BS24" i="2"/>
  <c r="BS19" i="2"/>
  <c r="BS18" i="2"/>
  <c r="BS11" i="2"/>
  <c r="BS34" i="2"/>
  <c r="BS35" i="2"/>
  <c r="BS42" i="2"/>
  <c r="BS32" i="2"/>
  <c r="BS26" i="2"/>
  <c r="BS22" i="2"/>
  <c r="BS16" i="2"/>
  <c r="BS13" i="2"/>
  <c r="BS15" i="2"/>
  <c r="BO39" i="2"/>
  <c r="BO29" i="2"/>
  <c r="BO40" i="2"/>
  <c r="BO36" i="2"/>
  <c r="BO31" i="2"/>
  <c r="BO28" i="2"/>
  <c r="BO42" i="2"/>
  <c r="BO32" i="2"/>
  <c r="BO26" i="2"/>
  <c r="BO24" i="2"/>
  <c r="BO22" i="2"/>
  <c r="BO19" i="2"/>
  <c r="BO18" i="2"/>
  <c r="BO16" i="2"/>
  <c r="BO13" i="2"/>
  <c r="BO11" i="2"/>
  <c r="BO15" i="2"/>
  <c r="BO30" i="2"/>
  <c r="BO41" i="2"/>
  <c r="BO33" i="2"/>
  <c r="BO37" i="2"/>
  <c r="BO25" i="2"/>
  <c r="BO21" i="2"/>
  <c r="BO17" i="2"/>
  <c r="BO12" i="2"/>
  <c r="BP9" i="2"/>
  <c r="BO34" i="2"/>
  <c r="BO35" i="2"/>
  <c r="BO38" i="2"/>
  <c r="BO27" i="2"/>
  <c r="BO23" i="2"/>
  <c r="BO20" i="2"/>
  <c r="BO14" i="2"/>
  <c r="BO10" i="2"/>
  <c r="BG34" i="2"/>
  <c r="BG30" i="2"/>
  <c r="BG35" i="2"/>
  <c r="BG41" i="2"/>
  <c r="BG33" i="2"/>
  <c r="BG38" i="2"/>
  <c r="BG37" i="2"/>
  <c r="BG27" i="2"/>
  <c r="BG25" i="2"/>
  <c r="BG23" i="2"/>
  <c r="BG21" i="2"/>
  <c r="BG19" i="2"/>
  <c r="BG17" i="2"/>
  <c r="BG14" i="2"/>
  <c r="BG12" i="2"/>
  <c r="BG10" i="2"/>
  <c r="BH9" i="2"/>
  <c r="BG39" i="2"/>
  <c r="BG29" i="2"/>
  <c r="BG36" i="2"/>
  <c r="BG28" i="2"/>
  <c r="BG32" i="2"/>
  <c r="BG24" i="2"/>
  <c r="BG20" i="2"/>
  <c r="BG16" i="2"/>
  <c r="BG13" i="2"/>
  <c r="BG15" i="2"/>
  <c r="BG40" i="2"/>
  <c r="BG31" i="2"/>
  <c r="BG42" i="2"/>
  <c r="BG26" i="2"/>
  <c r="BG22" i="2"/>
  <c r="BG18" i="2"/>
  <c r="BG11" i="2"/>
  <c r="BC34" i="2"/>
  <c r="BC30" i="2"/>
  <c r="BC35" i="2"/>
  <c r="BC41" i="2"/>
  <c r="BC42" i="2"/>
  <c r="BC37" i="2"/>
  <c r="BC32" i="2"/>
  <c r="BC26" i="2"/>
  <c r="BC24" i="2"/>
  <c r="BC22" i="2"/>
  <c r="BC20" i="2"/>
  <c r="BC18" i="2"/>
  <c r="BC16" i="2"/>
  <c r="BC14" i="2"/>
  <c r="BC12" i="2"/>
  <c r="BC10" i="2"/>
  <c r="BC33" i="2"/>
  <c r="BC25" i="2"/>
  <c r="BC21" i="2"/>
  <c r="BC17" i="2"/>
  <c r="BC13" i="2"/>
  <c r="BC11" i="2"/>
  <c r="BC39" i="2"/>
  <c r="BC29" i="2"/>
  <c r="BC40" i="2"/>
  <c r="BC36" i="2"/>
  <c r="BC31" i="2"/>
  <c r="BC28" i="2"/>
  <c r="BC38" i="2"/>
  <c r="BC27" i="2"/>
  <c r="BC23" i="2"/>
  <c r="BC19" i="2"/>
  <c r="BC15" i="2"/>
  <c r="BK39" i="2"/>
  <c r="BK29" i="2"/>
  <c r="BK40" i="2"/>
  <c r="BK36" i="2"/>
  <c r="BK31" i="2"/>
  <c r="BK33" i="2"/>
  <c r="BK28" i="2"/>
  <c r="BK38" i="2"/>
  <c r="BK26" i="2"/>
  <c r="BK24" i="2"/>
  <c r="BK22" i="2"/>
  <c r="BK20" i="2"/>
  <c r="BK18" i="2"/>
  <c r="BK16" i="2"/>
  <c r="BK13" i="2"/>
  <c r="BK11" i="2"/>
  <c r="BK15" i="2"/>
  <c r="BK30" i="2"/>
  <c r="BK41" i="2"/>
  <c r="BK37" i="2"/>
  <c r="BK25" i="2"/>
  <c r="BK21" i="2"/>
  <c r="BK17" i="2"/>
  <c r="BK12" i="2"/>
  <c r="BL9" i="2"/>
  <c r="BK34" i="2"/>
  <c r="BK35" i="2"/>
  <c r="BK42" i="2"/>
  <c r="BK32" i="2"/>
  <c r="BK27" i="2"/>
  <c r="BK23" i="2"/>
  <c r="BK19" i="2"/>
  <c r="BK14" i="2"/>
  <c r="BK10" i="2"/>
  <c r="BH64" i="2"/>
  <c r="BH65" i="2"/>
  <c r="BH63" i="2"/>
  <c r="BH61" i="2"/>
  <c r="BH59" i="2"/>
  <c r="BH62" i="2"/>
  <c r="BH60" i="2"/>
  <c r="BH58" i="2"/>
  <c r="BT64" i="2"/>
  <c r="BT65" i="2"/>
  <c r="BT63" i="2"/>
  <c r="BT61" i="2"/>
  <c r="BT59" i="2"/>
  <c r="BT62" i="2"/>
  <c r="BT60" i="2"/>
  <c r="BT58" i="2"/>
  <c r="BL64" i="2"/>
  <c r="BL65" i="2"/>
  <c r="BL63" i="2"/>
  <c r="BL61" i="2"/>
  <c r="BL59" i="2"/>
  <c r="BL62" i="2"/>
  <c r="BL60" i="2"/>
  <c r="BL58" i="2"/>
  <c r="BP64" i="2"/>
  <c r="BP65" i="2"/>
  <c r="BP63" i="2"/>
  <c r="BP61" i="2"/>
  <c r="BP59" i="2"/>
  <c r="BP62" i="2"/>
  <c r="BP60" i="2"/>
  <c r="BP58" i="2"/>
  <c r="BX64" i="2"/>
  <c r="BX65" i="2"/>
  <c r="BX63" i="2"/>
  <c r="BX61" i="2"/>
  <c r="BX59" i="2"/>
  <c r="BX62" i="2"/>
  <c r="BX60" i="2"/>
  <c r="BX58" i="2"/>
  <c r="BH56" i="2"/>
  <c r="BH57" i="2"/>
  <c r="BH55" i="2"/>
  <c r="BH53" i="2"/>
  <c r="BH54" i="2"/>
  <c r="BH52" i="2"/>
  <c r="BH50" i="2"/>
  <c r="BH48" i="2"/>
  <c r="BH46" i="2"/>
  <c r="BH51" i="2"/>
  <c r="BH49" i="2"/>
  <c r="BH47" i="2"/>
  <c r="BH45" i="2"/>
  <c r="BH44" i="2"/>
  <c r="BH43" i="2"/>
  <c r="BT56" i="2"/>
  <c r="BT57" i="2"/>
  <c r="BT55" i="2"/>
  <c r="BT53" i="2"/>
  <c r="BT54" i="2"/>
  <c r="BT52" i="2"/>
  <c r="BT50" i="2"/>
  <c r="BT48" i="2"/>
  <c r="BT46" i="2"/>
  <c r="BT51" i="2"/>
  <c r="BT49" i="2"/>
  <c r="BT47" i="2"/>
  <c r="BT45" i="2"/>
  <c r="BT44" i="2"/>
  <c r="BT43" i="2"/>
  <c r="BL56" i="2"/>
  <c r="BL57" i="2"/>
  <c r="BL55" i="2"/>
  <c r="BL53" i="2"/>
  <c r="BL54" i="2"/>
  <c r="BL52" i="2"/>
  <c r="BL50" i="2"/>
  <c r="BL48" i="2"/>
  <c r="BL46" i="2"/>
  <c r="BL51" i="2"/>
  <c r="BL49" i="2"/>
  <c r="BL47" i="2"/>
  <c r="BL45" i="2"/>
  <c r="BL44" i="2"/>
  <c r="BL43" i="2"/>
  <c r="BP56" i="2"/>
  <c r="BP57" i="2"/>
  <c r="BP55" i="2"/>
  <c r="BP53" i="2"/>
  <c r="BP54" i="2"/>
  <c r="BP52" i="2"/>
  <c r="BP50" i="2"/>
  <c r="BP48" i="2"/>
  <c r="BP46" i="2"/>
  <c r="BP51" i="2"/>
  <c r="BP49" i="2"/>
  <c r="BP47" i="2"/>
  <c r="BP45" i="2"/>
  <c r="BP44" i="2"/>
  <c r="BP43" i="2"/>
  <c r="BX56" i="2"/>
  <c r="BX57" i="2"/>
  <c r="BX55" i="2"/>
  <c r="BX53" i="2"/>
  <c r="BX54" i="2"/>
  <c r="BX52" i="2"/>
  <c r="BX50" i="2"/>
  <c r="BX48" i="2"/>
  <c r="BX46" i="2"/>
  <c r="BX51" i="2"/>
  <c r="BX49" i="2"/>
  <c r="BX47" i="2"/>
  <c r="BX45" i="2"/>
  <c r="BX44" i="2"/>
  <c r="BX43" i="2"/>
  <c r="BP34" i="2"/>
  <c r="BP40" i="2"/>
  <c r="BP30" i="2"/>
  <c r="BP41" i="2"/>
  <c r="BP42" i="2"/>
  <c r="BP32" i="2"/>
  <c r="BP33" i="2"/>
  <c r="BP26" i="2"/>
  <c r="BP22" i="2"/>
  <c r="BP17" i="2"/>
  <c r="BQ9" i="2"/>
  <c r="BP11" i="2"/>
  <c r="BP39" i="2"/>
  <c r="BP29" i="2"/>
  <c r="BP35" i="2"/>
  <c r="BP36" i="2"/>
  <c r="BP31" i="2"/>
  <c r="BP37" i="2"/>
  <c r="BP38" i="2"/>
  <c r="BP28" i="2"/>
  <c r="BP27" i="2"/>
  <c r="BP25" i="2"/>
  <c r="BP23" i="2"/>
  <c r="BP21" i="2"/>
  <c r="BP18" i="2"/>
  <c r="BP16" i="2"/>
  <c r="BP19" i="2"/>
  <c r="BP14" i="2"/>
  <c r="BP12" i="2"/>
  <c r="BP10" i="2"/>
  <c r="BP24" i="2"/>
  <c r="BP20" i="2"/>
  <c r="BP15" i="2"/>
  <c r="BP13" i="2"/>
  <c r="BX39" i="2"/>
  <c r="BX29" i="2"/>
  <c r="BY9" i="2"/>
  <c r="BX22" i="2"/>
  <c r="BX15" i="2"/>
  <c r="BX25" i="2"/>
  <c r="BX14" i="2"/>
  <c r="BX20" i="2"/>
  <c r="BX13" i="2"/>
  <c r="BX21" i="2"/>
  <c r="BX12" i="2"/>
  <c r="BX40" i="2"/>
  <c r="BX30" i="2"/>
  <c r="BX41" i="2"/>
  <c r="BX42" i="2"/>
  <c r="BX32" i="2"/>
  <c r="BX33" i="2"/>
  <c r="BX23" i="2"/>
  <c r="BX34" i="2"/>
  <c r="CC9" i="2"/>
  <c r="BX26" i="2"/>
  <c r="BX18" i="2"/>
  <c r="BX11" i="2"/>
  <c r="BX19" i="2"/>
  <c r="BX24" i="2"/>
  <c r="BX16" i="2"/>
  <c r="BX27" i="2"/>
  <c r="BX17" i="2"/>
  <c r="BX10" i="2"/>
  <c r="BX35" i="2"/>
  <c r="BX36" i="2"/>
  <c r="BX31" i="2"/>
  <c r="BX37" i="2"/>
  <c r="BX38" i="2"/>
  <c r="BX28" i="2"/>
  <c r="BL34" i="2"/>
  <c r="BL40" i="2"/>
  <c r="BL30" i="2"/>
  <c r="BL31" i="2"/>
  <c r="BL42" i="2"/>
  <c r="BL32" i="2"/>
  <c r="BL33" i="2"/>
  <c r="BL25" i="2"/>
  <c r="BL21" i="2"/>
  <c r="BL15" i="2"/>
  <c r="BL14" i="2"/>
  <c r="BL39" i="2"/>
  <c r="BL29" i="2"/>
  <c r="BL35" i="2"/>
  <c r="BL41" i="2"/>
  <c r="BL36" i="2"/>
  <c r="BL37" i="2"/>
  <c r="BL38" i="2"/>
  <c r="BL28" i="2"/>
  <c r="BL26" i="2"/>
  <c r="BL24" i="2"/>
  <c r="BL22" i="2"/>
  <c r="BL18" i="2"/>
  <c r="BL16" i="2"/>
  <c r="BL20" i="2"/>
  <c r="BM9" i="2"/>
  <c r="BL13" i="2"/>
  <c r="BL11" i="2"/>
  <c r="BL27" i="2"/>
  <c r="BL23" i="2"/>
  <c r="BL17" i="2"/>
  <c r="BL19" i="2"/>
  <c r="BL12" i="2"/>
  <c r="BL10" i="2"/>
  <c r="BH34" i="2"/>
  <c r="BH30" i="2"/>
  <c r="BH41" i="2"/>
  <c r="BH32" i="2"/>
  <c r="BH26" i="2"/>
  <c r="BH22" i="2"/>
  <c r="BH20" i="2"/>
  <c r="BH12" i="2"/>
  <c r="BH39" i="2"/>
  <c r="BH29" i="2"/>
  <c r="BH35" i="2"/>
  <c r="BH36" i="2"/>
  <c r="BH31" i="2"/>
  <c r="BH37" i="2"/>
  <c r="BH38" i="2"/>
  <c r="BH28" i="2"/>
  <c r="BH27" i="2"/>
  <c r="BH25" i="2"/>
  <c r="BH23" i="2"/>
  <c r="BH21" i="2"/>
  <c r="BH17" i="2"/>
  <c r="BH15" i="2"/>
  <c r="BH19" i="2"/>
  <c r="BH13" i="2"/>
  <c r="BH11" i="2"/>
  <c r="BH40" i="2"/>
  <c r="BH42" i="2"/>
  <c r="BH33" i="2"/>
  <c r="BH24" i="2"/>
  <c r="BH18" i="2"/>
  <c r="BH16" i="2"/>
  <c r="BH14" i="2"/>
  <c r="BH10" i="2"/>
  <c r="BT39" i="2"/>
  <c r="BT29" i="2"/>
  <c r="BT35" i="2"/>
  <c r="BT41" i="2"/>
  <c r="BT36" i="2"/>
  <c r="BT37" i="2"/>
  <c r="BT38" i="2"/>
  <c r="BT28" i="2"/>
  <c r="BT25" i="2"/>
  <c r="BT18" i="2"/>
  <c r="BT19" i="2"/>
  <c r="BT12" i="2"/>
  <c r="BT34" i="2"/>
  <c r="BT40" i="2"/>
  <c r="BT30" i="2"/>
  <c r="BT31" i="2"/>
  <c r="BT42" i="2"/>
  <c r="BT32" i="2"/>
  <c r="BT33" i="2"/>
  <c r="BT26" i="2"/>
  <c r="BT24" i="2"/>
  <c r="BT22" i="2"/>
  <c r="BT20" i="2"/>
  <c r="BT17" i="2"/>
  <c r="BT15" i="2"/>
  <c r="BU9" i="2"/>
  <c r="BT13" i="2"/>
  <c r="BT11" i="2"/>
  <c r="BT27" i="2"/>
  <c r="BT23" i="2"/>
  <c r="BT21" i="2"/>
  <c r="BT16" i="2"/>
  <c r="BT14" i="2"/>
  <c r="BT10" i="2"/>
  <c r="BU65" i="2"/>
  <c r="BU63" i="2"/>
  <c r="BU64" i="2"/>
  <c r="BU62" i="2"/>
  <c r="BU60" i="2"/>
  <c r="BU61" i="2"/>
  <c r="BU59" i="2"/>
  <c r="BU58" i="2"/>
  <c r="CC65" i="2"/>
  <c r="CC63" i="2"/>
  <c r="CC64" i="2"/>
  <c r="CC60" i="2"/>
  <c r="CC62" i="2"/>
  <c r="CC61" i="2"/>
  <c r="CC59" i="2"/>
  <c r="CC58" i="2"/>
  <c r="BM65" i="2"/>
  <c r="BM63" i="2"/>
  <c r="BM64" i="2"/>
  <c r="BM62" i="2"/>
  <c r="BM60" i="2"/>
  <c r="BM61" i="2"/>
  <c r="BM59" i="2"/>
  <c r="BM58" i="2"/>
  <c r="BY65" i="2"/>
  <c r="BY63" i="2"/>
  <c r="BY64" i="2"/>
  <c r="BY62" i="2"/>
  <c r="BY60" i="2"/>
  <c r="BY61" i="2"/>
  <c r="BY59" i="2"/>
  <c r="BY58" i="2"/>
  <c r="BQ65" i="2"/>
  <c r="BQ63" i="2"/>
  <c r="BQ64" i="2"/>
  <c r="BQ62" i="2"/>
  <c r="BQ60" i="2"/>
  <c r="BQ61" i="2"/>
  <c r="BQ59" i="2"/>
  <c r="BQ58" i="2"/>
  <c r="BU57" i="2"/>
  <c r="BU55" i="2"/>
  <c r="BU56" i="2"/>
  <c r="BU54" i="2"/>
  <c r="BU52" i="2"/>
  <c r="BU53" i="2"/>
  <c r="BU51" i="2"/>
  <c r="BU49" i="2"/>
  <c r="BU47" i="2"/>
  <c r="BU45" i="2"/>
  <c r="BU50" i="2"/>
  <c r="BU48" i="2"/>
  <c r="BU46" i="2"/>
  <c r="BU43" i="2"/>
  <c r="BU44" i="2"/>
  <c r="CC57" i="2"/>
  <c r="CC55" i="2"/>
  <c r="CC56" i="2"/>
  <c r="CC52" i="2"/>
  <c r="CC54" i="2"/>
  <c r="CC53" i="2"/>
  <c r="CC51" i="2"/>
  <c r="CC49" i="2"/>
  <c r="CC47" i="2"/>
  <c r="CC45" i="2"/>
  <c r="CC50" i="2"/>
  <c r="CC48" i="2"/>
  <c r="CC46" i="2"/>
  <c r="CC43" i="2"/>
  <c r="CC44" i="2"/>
  <c r="BM57" i="2"/>
  <c r="BM55" i="2"/>
  <c r="BM56" i="2"/>
  <c r="BM54" i="2"/>
  <c r="BM52" i="2"/>
  <c r="BM53" i="2"/>
  <c r="BM51" i="2"/>
  <c r="BM49" i="2"/>
  <c r="BM47" i="2"/>
  <c r="BM45" i="2"/>
  <c r="BM50" i="2"/>
  <c r="BM48" i="2"/>
  <c r="BM46" i="2"/>
  <c r="BM43" i="2"/>
  <c r="BM44" i="2"/>
  <c r="BY57" i="2"/>
  <c r="BY55" i="2"/>
  <c r="BY56" i="2"/>
  <c r="BY54" i="2"/>
  <c r="BY52" i="2"/>
  <c r="BY53" i="2"/>
  <c r="BY51" i="2"/>
  <c r="BY49" i="2"/>
  <c r="BY47" i="2"/>
  <c r="BY45" i="2"/>
  <c r="BY50" i="2"/>
  <c r="BY48" i="2"/>
  <c r="BY46" i="2"/>
  <c r="BY43" i="2"/>
  <c r="BY44" i="2"/>
  <c r="BQ57" i="2"/>
  <c r="BQ55" i="2"/>
  <c r="BQ56" i="2"/>
  <c r="BQ54" i="2"/>
  <c r="BQ52" i="2"/>
  <c r="BQ53" i="2"/>
  <c r="BQ51" i="2"/>
  <c r="BQ49" i="2"/>
  <c r="BQ47" i="2"/>
  <c r="BQ45" i="2"/>
  <c r="BQ50" i="2"/>
  <c r="BQ48" i="2"/>
  <c r="BQ46" i="2"/>
  <c r="BQ43" i="2"/>
  <c r="BQ44" i="2"/>
  <c r="BM39" i="2"/>
  <c r="BM29" i="2"/>
  <c r="BM35" i="2"/>
  <c r="BM41" i="2"/>
  <c r="BM36" i="2"/>
  <c r="BM32" i="2"/>
  <c r="BM33" i="2"/>
  <c r="BM28" i="2"/>
  <c r="BM26" i="2"/>
  <c r="BM24" i="2"/>
  <c r="BM22" i="2"/>
  <c r="BM20" i="2"/>
  <c r="BM18" i="2"/>
  <c r="BM16" i="2"/>
  <c r="BM14" i="2"/>
  <c r="BM12" i="2"/>
  <c r="BM10" i="2"/>
  <c r="BM13" i="2"/>
  <c r="BM34" i="2"/>
  <c r="BM40" i="2"/>
  <c r="BM30" i="2"/>
  <c r="BM31" i="2"/>
  <c r="BM38" i="2"/>
  <c r="BM42" i="2"/>
  <c r="BM37" i="2"/>
  <c r="BM27" i="2"/>
  <c r="BM25" i="2"/>
  <c r="BM23" i="2"/>
  <c r="BM21" i="2"/>
  <c r="BM19" i="2"/>
  <c r="BM17" i="2"/>
  <c r="BM15" i="2"/>
  <c r="BM11" i="2"/>
  <c r="BY34" i="2"/>
  <c r="BY40" i="2"/>
  <c r="BY27" i="2"/>
  <c r="BY17" i="2"/>
  <c r="BY26" i="2"/>
  <c r="BY18" i="2"/>
  <c r="BY11" i="2"/>
  <c r="BY30" i="2"/>
  <c r="BY19" i="2"/>
  <c r="BY10" i="2"/>
  <c r="BY20" i="2"/>
  <c r="BY13" i="2"/>
  <c r="BY41" i="2"/>
  <c r="BY38" i="2"/>
  <c r="BY37" i="2"/>
  <c r="BY32" i="2"/>
  <c r="BY23" i="2"/>
  <c r="BY39" i="2"/>
  <c r="BY29" i="2"/>
  <c r="BY35" i="2"/>
  <c r="BY21" i="2"/>
  <c r="BY12" i="2"/>
  <c r="BY22" i="2"/>
  <c r="BY15" i="2"/>
  <c r="BZ9" i="2"/>
  <c r="BY25" i="2"/>
  <c r="BY14" i="2"/>
  <c r="BY24" i="2"/>
  <c r="BY16" i="2"/>
  <c r="BY36" i="2"/>
  <c r="BY31" i="2"/>
  <c r="BY42" i="2"/>
  <c r="BY33" i="2"/>
  <c r="BY28" i="2"/>
  <c r="BQ39" i="2"/>
  <c r="BQ29" i="2"/>
  <c r="BQ35" i="2"/>
  <c r="BQ36" i="2"/>
  <c r="BQ31" i="2"/>
  <c r="BQ42" i="2"/>
  <c r="BQ33" i="2"/>
  <c r="BQ28" i="2"/>
  <c r="BQ26" i="2"/>
  <c r="BQ24" i="2"/>
  <c r="BQ22" i="2"/>
  <c r="BQ20" i="2"/>
  <c r="BQ18" i="2"/>
  <c r="BQ16" i="2"/>
  <c r="BQ14" i="2"/>
  <c r="BQ12" i="2"/>
  <c r="BQ10" i="2"/>
  <c r="BQ34" i="2"/>
  <c r="BQ40" i="2"/>
  <c r="BQ30" i="2"/>
  <c r="BQ41" i="2"/>
  <c r="BQ38" i="2"/>
  <c r="BQ37" i="2"/>
  <c r="BQ32" i="2"/>
  <c r="BQ27" i="2"/>
  <c r="BQ25" i="2"/>
  <c r="BQ23" i="2"/>
  <c r="BQ21" i="2"/>
  <c r="BQ19" i="2"/>
  <c r="BQ17" i="2"/>
  <c r="BQ15" i="2"/>
  <c r="BQ13" i="2"/>
  <c r="BQ11" i="2"/>
  <c r="BR9" i="2"/>
  <c r="BU34" i="2"/>
  <c r="BU40" i="2"/>
  <c r="BU30" i="2"/>
  <c r="BU31" i="2"/>
  <c r="BU38" i="2"/>
  <c r="BU42" i="2"/>
  <c r="BU37" i="2"/>
  <c r="BU27" i="2"/>
  <c r="BU25" i="2"/>
  <c r="BU23" i="2"/>
  <c r="BU21" i="2"/>
  <c r="BU19" i="2"/>
  <c r="BU17" i="2"/>
  <c r="BU15" i="2"/>
  <c r="BU13" i="2"/>
  <c r="BU11" i="2"/>
  <c r="BV9" i="2"/>
  <c r="BU39" i="2"/>
  <c r="BU29" i="2"/>
  <c r="BU35" i="2"/>
  <c r="BU41" i="2"/>
  <c r="BU36" i="2"/>
  <c r="BU32" i="2"/>
  <c r="BU33" i="2"/>
  <c r="BU28" i="2"/>
  <c r="BU26" i="2"/>
  <c r="BU24" i="2"/>
  <c r="BU22" i="2"/>
  <c r="BU20" i="2"/>
  <c r="BU18" i="2"/>
  <c r="BU16" i="2"/>
  <c r="BU14" i="2"/>
  <c r="BU12" i="2"/>
  <c r="BU10" i="2"/>
  <c r="CC34" i="2"/>
  <c r="CC40" i="2"/>
  <c r="CC19" i="2"/>
  <c r="CC10" i="2"/>
  <c r="CC20" i="2"/>
  <c r="CC13" i="2"/>
  <c r="CC35" i="2"/>
  <c r="CC27" i="2"/>
  <c r="CC17" i="2"/>
  <c r="CC26" i="2"/>
  <c r="CC18" i="2"/>
  <c r="CC11" i="2"/>
  <c r="CC41" i="2"/>
  <c r="CC36" i="2"/>
  <c r="CC32" i="2"/>
  <c r="CC42" i="2"/>
  <c r="CC37" i="2"/>
  <c r="CC39" i="2"/>
  <c r="CC29" i="2"/>
  <c r="CC25" i="2"/>
  <c r="CC14" i="2"/>
  <c r="CC24" i="2"/>
  <c r="CC16" i="2"/>
  <c r="CH9" i="2"/>
  <c r="CC30" i="2"/>
  <c r="CC21" i="2"/>
  <c r="CC12" i="2"/>
  <c r="CC22" i="2"/>
  <c r="CC15" i="2"/>
  <c r="CD9" i="2"/>
  <c r="CC31" i="2"/>
  <c r="CC38" i="2"/>
  <c r="CC28" i="2"/>
  <c r="CC33" i="2"/>
  <c r="CC23" i="2"/>
  <c r="BV64" i="2"/>
  <c r="BV65" i="2"/>
  <c r="BV63" i="2"/>
  <c r="BV61" i="2"/>
  <c r="BV59" i="2"/>
  <c r="BV62" i="2"/>
  <c r="BV60" i="2"/>
  <c r="BV58" i="2"/>
  <c r="BZ64" i="2"/>
  <c r="BZ65" i="2"/>
  <c r="BZ63" i="2"/>
  <c r="BZ61" i="2"/>
  <c r="BZ59" i="2"/>
  <c r="BZ62" i="2"/>
  <c r="BZ60" i="2"/>
  <c r="BZ58" i="2"/>
  <c r="CD64" i="2"/>
  <c r="CD62" i="2"/>
  <c r="CD65" i="2"/>
  <c r="CD63" i="2"/>
  <c r="CD61" i="2"/>
  <c r="CD59" i="2"/>
  <c r="CD60" i="2"/>
  <c r="CD58" i="2"/>
  <c r="CH64" i="2"/>
  <c r="CH62" i="2"/>
  <c r="CH65" i="2"/>
  <c r="CH63" i="2"/>
  <c r="CH61" i="2"/>
  <c r="CH59" i="2"/>
  <c r="CH60" i="2"/>
  <c r="CH58" i="2"/>
  <c r="BR64" i="2"/>
  <c r="BR65" i="2"/>
  <c r="BR63" i="2"/>
  <c r="BR61" i="2"/>
  <c r="BR59" i="2"/>
  <c r="BR62" i="2"/>
  <c r="BR60" i="2"/>
  <c r="BR58" i="2"/>
  <c r="BV56" i="2"/>
  <c r="BV57" i="2"/>
  <c r="BV53" i="2"/>
  <c r="BV55" i="2"/>
  <c r="BV54" i="2"/>
  <c r="BV52" i="2"/>
  <c r="BV50" i="2"/>
  <c r="BV48" i="2"/>
  <c r="BV46" i="2"/>
  <c r="BV51" i="2"/>
  <c r="BV49" i="2"/>
  <c r="BV47" i="2"/>
  <c r="BV45" i="2"/>
  <c r="BV44" i="2"/>
  <c r="BV43" i="2"/>
  <c r="BZ56" i="2"/>
  <c r="BZ57" i="2"/>
  <c r="BZ53" i="2"/>
  <c r="BZ55" i="2"/>
  <c r="BZ54" i="2"/>
  <c r="BZ52" i="2"/>
  <c r="BZ50" i="2"/>
  <c r="BZ48" i="2"/>
  <c r="BZ46" i="2"/>
  <c r="BZ51" i="2"/>
  <c r="BZ49" i="2"/>
  <c r="BZ47" i="2"/>
  <c r="BZ45" i="2"/>
  <c r="BZ44" i="2"/>
  <c r="BZ43" i="2"/>
  <c r="CD56" i="2"/>
  <c r="CD54" i="2"/>
  <c r="CD57" i="2"/>
  <c r="CD53" i="2"/>
  <c r="CD55" i="2"/>
  <c r="CD52" i="2"/>
  <c r="CD50" i="2"/>
  <c r="CD48" i="2"/>
  <c r="CD46" i="2"/>
  <c r="CD51" i="2"/>
  <c r="CD49" i="2"/>
  <c r="CD47" i="2"/>
  <c r="CD45" i="2"/>
  <c r="CD44" i="2"/>
  <c r="CD43" i="2"/>
  <c r="CH56" i="2"/>
  <c r="CH54" i="2"/>
  <c r="CH57" i="2"/>
  <c r="CH53" i="2"/>
  <c r="CH55" i="2"/>
  <c r="CH52" i="2"/>
  <c r="CH50" i="2"/>
  <c r="CH48" i="2"/>
  <c r="CH46" i="2"/>
  <c r="CH51" i="2"/>
  <c r="CH49" i="2"/>
  <c r="CH47" i="2"/>
  <c r="CH45" i="2"/>
  <c r="CH44" i="2"/>
  <c r="CH43" i="2"/>
  <c r="BR56" i="2"/>
  <c r="BR57" i="2"/>
  <c r="BR53" i="2"/>
  <c r="BR55" i="2"/>
  <c r="BR54" i="2"/>
  <c r="BR52" i="2"/>
  <c r="BR50" i="2"/>
  <c r="BR48" i="2"/>
  <c r="BR46" i="2"/>
  <c r="BR51" i="2"/>
  <c r="BR49" i="2"/>
  <c r="BR47" i="2"/>
  <c r="BR45" i="2"/>
  <c r="BR44" i="2"/>
  <c r="BR43" i="2"/>
  <c r="CD39" i="2"/>
  <c r="CD29" i="2"/>
  <c r="CD35" i="2"/>
  <c r="CD20" i="2"/>
  <c r="CD13" i="2"/>
  <c r="CD21" i="2"/>
  <c r="CD12" i="2"/>
  <c r="CD30" i="2"/>
  <c r="CD22" i="2"/>
  <c r="CD15" i="2"/>
  <c r="CD25" i="2"/>
  <c r="CD14" i="2"/>
  <c r="CD41" i="2"/>
  <c r="CD36" i="2"/>
  <c r="CD38" i="2"/>
  <c r="CD32" i="2"/>
  <c r="CD28" i="2"/>
  <c r="CD34" i="2"/>
  <c r="CD40" i="2"/>
  <c r="CD24" i="2"/>
  <c r="CD16" i="2"/>
  <c r="CD27" i="2"/>
  <c r="CD17" i="2"/>
  <c r="CE9" i="2"/>
  <c r="CD26" i="2"/>
  <c r="CD18" i="2"/>
  <c r="CD11" i="2"/>
  <c r="CD19" i="2"/>
  <c r="CD10" i="2"/>
  <c r="CD31" i="2"/>
  <c r="CD42" i="2"/>
  <c r="CD37" i="2"/>
  <c r="CD33" i="2"/>
  <c r="CD23" i="2"/>
  <c r="CH39" i="2"/>
  <c r="CH29" i="2"/>
  <c r="CH24" i="2"/>
  <c r="CH16" i="2"/>
  <c r="CH27" i="2"/>
  <c r="CH17" i="2"/>
  <c r="CM9" i="2"/>
  <c r="CH35" i="2"/>
  <c r="CH22" i="2"/>
  <c r="CH15" i="2"/>
  <c r="CH25" i="2"/>
  <c r="CH14" i="2"/>
  <c r="CI9" i="2"/>
  <c r="CH41" i="2"/>
  <c r="CH42" i="2"/>
  <c r="CH28" i="2"/>
  <c r="CH37" i="2"/>
  <c r="CH23" i="2"/>
  <c r="CH34" i="2"/>
  <c r="CH30" i="2"/>
  <c r="CH20" i="2"/>
  <c r="CH13" i="2"/>
  <c r="CH21" i="2"/>
  <c r="CH12" i="2"/>
  <c r="CH40" i="2"/>
  <c r="CH26" i="2"/>
  <c r="CH18" i="2"/>
  <c r="CH11" i="2"/>
  <c r="CH19" i="2"/>
  <c r="CH10" i="2"/>
  <c r="CH36" i="2"/>
  <c r="CH31" i="2"/>
  <c r="CH38" i="2"/>
  <c r="CH33" i="2"/>
  <c r="CH32" i="2"/>
  <c r="BR34" i="2"/>
  <c r="BR30" i="2"/>
  <c r="BR35" i="2"/>
  <c r="BR41" i="2"/>
  <c r="BR42" i="2"/>
  <c r="BR33" i="2"/>
  <c r="BR37" i="2"/>
  <c r="BR27" i="2"/>
  <c r="BR25" i="2"/>
  <c r="BR23" i="2"/>
  <c r="BR21" i="2"/>
  <c r="BR18" i="2"/>
  <c r="BR16" i="2"/>
  <c r="BR19" i="2"/>
  <c r="BR13" i="2"/>
  <c r="BR11" i="2"/>
  <c r="BR26" i="2"/>
  <c r="BR22" i="2"/>
  <c r="BR17" i="2"/>
  <c r="BR14" i="2"/>
  <c r="BR10" i="2"/>
  <c r="BR39" i="2"/>
  <c r="BR29" i="2"/>
  <c r="BR40" i="2"/>
  <c r="BR36" i="2"/>
  <c r="BR31" i="2"/>
  <c r="BR38" i="2"/>
  <c r="BR28" i="2"/>
  <c r="BR32" i="2"/>
  <c r="BR24" i="2"/>
  <c r="BR20" i="2"/>
  <c r="BR15" i="2"/>
  <c r="BR12" i="2"/>
  <c r="BV34" i="2"/>
  <c r="BV40" i="2"/>
  <c r="BV30" i="2"/>
  <c r="BV31" i="2"/>
  <c r="BV42" i="2"/>
  <c r="BV33" i="2"/>
  <c r="BV28" i="2"/>
  <c r="BV27" i="2"/>
  <c r="BV25" i="2"/>
  <c r="BV23" i="2"/>
  <c r="BV21" i="2"/>
  <c r="BV18" i="2"/>
  <c r="BV16" i="2"/>
  <c r="BV19" i="2"/>
  <c r="BV14" i="2"/>
  <c r="BV12" i="2"/>
  <c r="BV10" i="2"/>
  <c r="BV24" i="2"/>
  <c r="BV22" i="2"/>
  <c r="BV17" i="2"/>
  <c r="BW9" i="2"/>
  <c r="BV13" i="2"/>
  <c r="BV39" i="2"/>
  <c r="BV29" i="2"/>
  <c r="BV35" i="2"/>
  <c r="BV41" i="2"/>
  <c r="BV36" i="2"/>
  <c r="BV38" i="2"/>
  <c r="BV37" i="2"/>
  <c r="BV32" i="2"/>
  <c r="BV26" i="2"/>
  <c r="BV20" i="2"/>
  <c r="BV15" i="2"/>
  <c r="BV11" i="2"/>
  <c r="BZ39" i="2"/>
  <c r="BZ29" i="2"/>
  <c r="BZ26" i="2"/>
  <c r="BZ18" i="2"/>
  <c r="BZ11" i="2"/>
  <c r="BZ19" i="2"/>
  <c r="BZ10" i="2"/>
  <c r="BZ35" i="2"/>
  <c r="BZ20" i="2"/>
  <c r="BZ13" i="2"/>
  <c r="BZ21" i="2"/>
  <c r="BZ12" i="2"/>
  <c r="BZ36" i="2"/>
  <c r="BZ31" i="2"/>
  <c r="BZ38" i="2"/>
  <c r="BZ28" i="2"/>
  <c r="BZ32" i="2"/>
  <c r="BZ34" i="2"/>
  <c r="BZ30" i="2"/>
  <c r="BZ22" i="2"/>
  <c r="BZ15" i="2"/>
  <c r="BZ25" i="2"/>
  <c r="BZ14" i="2"/>
  <c r="BZ40" i="2"/>
  <c r="BZ24" i="2"/>
  <c r="BZ16" i="2"/>
  <c r="BZ27" i="2"/>
  <c r="BZ17" i="2"/>
  <c r="CA9" i="2"/>
  <c r="BZ41" i="2"/>
  <c r="BZ42" i="2"/>
  <c r="BZ33" i="2"/>
  <c r="BZ37" i="2"/>
  <c r="BZ23" i="2"/>
  <c r="CE65" i="2"/>
  <c r="CE63" i="2"/>
  <c r="CE64" i="2"/>
  <c r="CE62" i="2"/>
  <c r="CE60" i="2"/>
  <c r="CE61" i="2"/>
  <c r="CE59" i="2"/>
  <c r="CE58" i="2"/>
  <c r="CA65" i="2"/>
  <c r="CA63" i="2"/>
  <c r="CA64" i="2"/>
  <c r="CA62" i="2"/>
  <c r="CA60" i="2"/>
  <c r="CA61" i="2"/>
  <c r="CA59" i="2"/>
  <c r="CA58" i="2"/>
  <c r="BW65" i="2"/>
  <c r="BW63" i="2"/>
  <c r="BW64" i="2"/>
  <c r="BW62" i="2"/>
  <c r="BW60" i="2"/>
  <c r="BW61" i="2"/>
  <c r="BW59" i="2"/>
  <c r="BW58" i="2"/>
  <c r="CI65" i="2"/>
  <c r="CI63" i="2"/>
  <c r="CI64" i="2"/>
  <c r="CI62" i="2"/>
  <c r="CI60" i="2"/>
  <c r="CI61" i="2"/>
  <c r="CI59" i="2"/>
  <c r="CI58" i="2"/>
  <c r="CM65" i="2"/>
  <c r="CM63" i="2"/>
  <c r="CM64" i="2"/>
  <c r="CM62" i="2"/>
  <c r="CM60" i="2"/>
  <c r="CM61" i="2"/>
  <c r="CM59" i="2"/>
  <c r="CM58" i="2"/>
  <c r="CE57" i="2"/>
  <c r="CE55" i="2"/>
  <c r="CE56" i="2"/>
  <c r="CE54" i="2"/>
  <c r="CE52" i="2"/>
  <c r="CE53" i="2"/>
  <c r="CE51" i="2"/>
  <c r="CE49" i="2"/>
  <c r="CE47" i="2"/>
  <c r="CE45" i="2"/>
  <c r="CE50" i="2"/>
  <c r="CE48" i="2"/>
  <c r="CE46" i="2"/>
  <c r="CE43" i="2"/>
  <c r="CE44" i="2"/>
  <c r="CA57" i="2"/>
  <c r="CA55" i="2"/>
  <c r="CA56" i="2"/>
  <c r="CA54" i="2"/>
  <c r="CA52" i="2"/>
  <c r="CA53" i="2"/>
  <c r="CA51" i="2"/>
  <c r="CA49" i="2"/>
  <c r="CA47" i="2"/>
  <c r="CA45" i="2"/>
  <c r="CA50" i="2"/>
  <c r="CA48" i="2"/>
  <c r="CA46" i="2"/>
  <c r="CA43" i="2"/>
  <c r="CA44" i="2"/>
  <c r="BW57" i="2"/>
  <c r="BW55" i="2"/>
  <c r="BW56" i="2"/>
  <c r="BW54" i="2"/>
  <c r="BW52" i="2"/>
  <c r="BW53" i="2"/>
  <c r="BW51" i="2"/>
  <c r="BW49" i="2"/>
  <c r="BW47" i="2"/>
  <c r="BW45" i="2"/>
  <c r="BW50" i="2"/>
  <c r="BW48" i="2"/>
  <c r="BW46" i="2"/>
  <c r="BW43" i="2"/>
  <c r="BW44" i="2"/>
  <c r="CI57" i="2"/>
  <c r="CI55" i="2"/>
  <c r="CI56" i="2"/>
  <c r="CI54" i="2"/>
  <c r="CI52" i="2"/>
  <c r="CI53" i="2"/>
  <c r="CI51" i="2"/>
  <c r="CI49" i="2"/>
  <c r="CI47" i="2"/>
  <c r="CI45" i="2"/>
  <c r="CI50" i="2"/>
  <c r="CI48" i="2"/>
  <c r="CI46" i="2"/>
  <c r="CI43" i="2"/>
  <c r="CI44" i="2"/>
  <c r="CM57" i="2"/>
  <c r="CM55" i="2"/>
  <c r="CM56" i="2"/>
  <c r="CM54" i="2"/>
  <c r="CM52" i="2"/>
  <c r="CM53" i="2"/>
  <c r="CM51" i="2"/>
  <c r="CM49" i="2"/>
  <c r="CM47" i="2"/>
  <c r="CM45" i="2"/>
  <c r="CM50" i="2"/>
  <c r="CM48" i="2"/>
  <c r="CM46" i="2"/>
  <c r="CM43" i="2"/>
  <c r="CM44" i="2"/>
  <c r="CA34" i="2"/>
  <c r="CA30" i="2"/>
  <c r="CA35" i="2"/>
  <c r="CA21" i="2"/>
  <c r="CA12" i="2"/>
  <c r="CA22" i="2"/>
  <c r="CA15" i="2"/>
  <c r="CA36" i="2"/>
  <c r="CA19" i="2"/>
  <c r="CA10" i="2"/>
  <c r="CA20" i="2"/>
  <c r="CA13" i="2"/>
  <c r="CA41" i="2"/>
  <c r="CA42" i="2"/>
  <c r="CA37" i="2"/>
  <c r="CA38" i="2"/>
  <c r="CA23" i="2"/>
  <c r="CA39" i="2"/>
  <c r="CA40" i="2"/>
  <c r="CA17" i="2"/>
  <c r="CA18" i="2"/>
  <c r="CA25" i="2"/>
  <c r="CA24" i="2"/>
  <c r="CA16" i="2"/>
  <c r="CA31" i="2"/>
  <c r="CA32" i="2"/>
  <c r="CA28" i="2"/>
  <c r="CA29" i="2"/>
  <c r="CA27" i="2"/>
  <c r="CA26" i="2"/>
  <c r="CA11" i="2"/>
  <c r="CA14" i="2"/>
  <c r="CB9" i="2"/>
  <c r="CA33" i="2"/>
  <c r="BW34" i="2"/>
  <c r="BW30" i="2"/>
  <c r="BW35" i="2"/>
  <c r="BW41" i="2"/>
  <c r="BW33" i="2"/>
  <c r="BW38" i="2"/>
  <c r="BW37" i="2"/>
  <c r="BW26" i="2"/>
  <c r="BW24" i="2"/>
  <c r="BW22" i="2"/>
  <c r="BW19" i="2"/>
  <c r="BW18" i="2"/>
  <c r="BW16" i="2"/>
  <c r="BW13" i="2"/>
  <c r="BW11" i="2"/>
  <c r="BW15" i="2"/>
  <c r="BW29" i="2"/>
  <c r="BW36" i="2"/>
  <c r="BW28" i="2"/>
  <c r="BW32" i="2"/>
  <c r="BW27" i="2"/>
  <c r="BW23" i="2"/>
  <c r="BW20" i="2"/>
  <c r="BW14" i="2"/>
  <c r="BW10" i="2"/>
  <c r="BW39" i="2"/>
  <c r="BW40" i="2"/>
  <c r="BW31" i="2"/>
  <c r="BW42" i="2"/>
  <c r="BW25" i="2"/>
  <c r="BW21" i="2"/>
  <c r="BW17" i="2"/>
  <c r="BW12" i="2"/>
  <c r="CI39" i="2"/>
  <c r="CI29" i="2"/>
  <c r="CI30" i="2"/>
  <c r="CI25" i="2"/>
  <c r="CI14" i="2"/>
  <c r="CI26" i="2"/>
  <c r="CI18" i="2"/>
  <c r="CI11" i="2"/>
  <c r="CI27" i="2"/>
  <c r="CI17" i="2"/>
  <c r="CJ9" i="2"/>
  <c r="CI20" i="2"/>
  <c r="CI13" i="2"/>
  <c r="CI31" i="2"/>
  <c r="CI37" i="2"/>
  <c r="CI38" i="2"/>
  <c r="CI28" i="2"/>
  <c r="CI35" i="2"/>
  <c r="CI19" i="2"/>
  <c r="CI10" i="2"/>
  <c r="CI15" i="2"/>
  <c r="CI21" i="2"/>
  <c r="CI24" i="2"/>
  <c r="CI41" i="2"/>
  <c r="CI32" i="2"/>
  <c r="CI33" i="2"/>
  <c r="CI34" i="2"/>
  <c r="CI40" i="2"/>
  <c r="CI22" i="2"/>
  <c r="CI36" i="2"/>
  <c r="CI12" i="2"/>
  <c r="CI16" i="2"/>
  <c r="CI42" i="2"/>
  <c r="CI23" i="2"/>
  <c r="CM39" i="2"/>
  <c r="CM29" i="2"/>
  <c r="CM30" i="2"/>
  <c r="CM36" i="2"/>
  <c r="CM21" i="2"/>
  <c r="CM12" i="2"/>
  <c r="CM26" i="2"/>
  <c r="CM18" i="2"/>
  <c r="CM11" i="2"/>
  <c r="CM19" i="2"/>
  <c r="CM10" i="2"/>
  <c r="CM24" i="2"/>
  <c r="CM16" i="2"/>
  <c r="CM41" i="2"/>
  <c r="CM38" i="2"/>
  <c r="CM33" i="2"/>
  <c r="CM28" i="2"/>
  <c r="CM23" i="2"/>
  <c r="CM34" i="2"/>
  <c r="CM40" i="2"/>
  <c r="CM17" i="2"/>
  <c r="CM22" i="2"/>
  <c r="CM25" i="2"/>
  <c r="CN9" i="2"/>
  <c r="CM13" i="2"/>
  <c r="CM31" i="2"/>
  <c r="CM37" i="2"/>
  <c r="CM35" i="2"/>
  <c r="CM27" i="2"/>
  <c r="CR9" i="2"/>
  <c r="CM15" i="2"/>
  <c r="CM14" i="2"/>
  <c r="CM20" i="2"/>
  <c r="CM42" i="2"/>
  <c r="CM32" i="2"/>
  <c r="CE34" i="2"/>
  <c r="CE35" i="2"/>
  <c r="CE40" i="2"/>
  <c r="CE25" i="2"/>
  <c r="CE14" i="2"/>
  <c r="CE24" i="2"/>
  <c r="CE16" i="2"/>
  <c r="CF9" i="2"/>
  <c r="CE21" i="2"/>
  <c r="CE12" i="2"/>
  <c r="CE22" i="2"/>
  <c r="CE15" i="2"/>
  <c r="CE41" i="2"/>
  <c r="CE38" i="2"/>
  <c r="CE33" i="2"/>
  <c r="CE28" i="2"/>
  <c r="CE23" i="2"/>
  <c r="CE30" i="2"/>
  <c r="CE10" i="2"/>
  <c r="CE13" i="2"/>
  <c r="CE27" i="2"/>
  <c r="CE26" i="2"/>
  <c r="CE11" i="2"/>
  <c r="CE42" i="2"/>
  <c r="CE37" i="2"/>
  <c r="CE39" i="2"/>
  <c r="CE29" i="2"/>
  <c r="CE36" i="2"/>
  <c r="CE19" i="2"/>
  <c r="CE20" i="2"/>
  <c r="CE17" i="2"/>
  <c r="CE18" i="2"/>
  <c r="CE31" i="2"/>
  <c r="CE32" i="2"/>
  <c r="CF64" i="2"/>
  <c r="CF62" i="2"/>
  <c r="CF65" i="2"/>
  <c r="CF63" i="2"/>
  <c r="CF61" i="2"/>
  <c r="CF59" i="2"/>
  <c r="CF60" i="2"/>
  <c r="CF58" i="2"/>
  <c r="CJ64" i="2"/>
  <c r="CJ62" i="2"/>
  <c r="CJ65" i="2"/>
  <c r="CJ63" i="2"/>
  <c r="CJ61" i="2"/>
  <c r="CJ59" i="2"/>
  <c r="CJ60" i="2"/>
  <c r="CJ58" i="2"/>
  <c r="CR64" i="2"/>
  <c r="CR62" i="2"/>
  <c r="CR65" i="2"/>
  <c r="CR63" i="2"/>
  <c r="CR61" i="2"/>
  <c r="CR59" i="2"/>
  <c r="CR60" i="2"/>
  <c r="CR58" i="2"/>
  <c r="CN64" i="2"/>
  <c r="CN62" i="2"/>
  <c r="CN65" i="2"/>
  <c r="CN63" i="2"/>
  <c r="CN61" i="2"/>
  <c r="CN59" i="2"/>
  <c r="CN60" i="2"/>
  <c r="CN58" i="2"/>
  <c r="CB64" i="2"/>
  <c r="CB62" i="2"/>
  <c r="CB65" i="2"/>
  <c r="CB63" i="2"/>
  <c r="CB61" i="2"/>
  <c r="CB59" i="2"/>
  <c r="CB60" i="2"/>
  <c r="CB58" i="2"/>
  <c r="CF56" i="2"/>
  <c r="CF54" i="2"/>
  <c r="CF57" i="2"/>
  <c r="CF55" i="2"/>
  <c r="CF53" i="2"/>
  <c r="CF52" i="2"/>
  <c r="CF50" i="2"/>
  <c r="CF48" i="2"/>
  <c r="CF46" i="2"/>
  <c r="CF51" i="2"/>
  <c r="CF49" i="2"/>
  <c r="CF47" i="2"/>
  <c r="CF45" i="2"/>
  <c r="CF44" i="2"/>
  <c r="CF43" i="2"/>
  <c r="CJ56" i="2"/>
  <c r="CJ54" i="2"/>
  <c r="CJ57" i="2"/>
  <c r="CJ55" i="2"/>
  <c r="CJ53" i="2"/>
  <c r="CJ52" i="2"/>
  <c r="CJ50" i="2"/>
  <c r="CJ48" i="2"/>
  <c r="CJ46" i="2"/>
  <c r="CJ51" i="2"/>
  <c r="CJ49" i="2"/>
  <c r="CJ47" i="2"/>
  <c r="CJ45" i="2"/>
  <c r="CJ44" i="2"/>
  <c r="CJ43" i="2"/>
  <c r="CR56" i="2"/>
  <c r="CR54" i="2"/>
  <c r="CR57" i="2"/>
  <c r="CR55" i="2"/>
  <c r="CR53" i="2"/>
  <c r="CR52" i="2"/>
  <c r="CR50" i="2"/>
  <c r="CR48" i="2"/>
  <c r="CR46" i="2"/>
  <c r="CR51" i="2"/>
  <c r="CR49" i="2"/>
  <c r="CR47" i="2"/>
  <c r="CR45" i="2"/>
  <c r="CR44" i="2"/>
  <c r="CR43" i="2"/>
  <c r="CN56" i="2"/>
  <c r="CN54" i="2"/>
  <c r="CN57" i="2"/>
  <c r="CN55" i="2"/>
  <c r="CN53" i="2"/>
  <c r="CN52" i="2"/>
  <c r="CN50" i="2"/>
  <c r="CN48" i="2"/>
  <c r="CN46" i="2"/>
  <c r="CN51" i="2"/>
  <c r="CN49" i="2"/>
  <c r="CN47" i="2"/>
  <c r="CN45" i="2"/>
  <c r="CN44" i="2"/>
  <c r="CN43" i="2"/>
  <c r="CB56" i="2"/>
  <c r="CB54" i="2"/>
  <c r="CB57" i="2"/>
  <c r="CB55" i="2"/>
  <c r="CB53" i="2"/>
  <c r="CB52" i="2"/>
  <c r="CB50" i="2"/>
  <c r="CB48" i="2"/>
  <c r="CB46" i="2"/>
  <c r="CB51" i="2"/>
  <c r="CB49" i="2"/>
  <c r="CB47" i="2"/>
  <c r="CB45" i="2"/>
  <c r="CB44" i="2"/>
  <c r="CB43" i="2"/>
  <c r="CR34" i="2"/>
  <c r="CW9" i="2"/>
  <c r="CR35" i="2"/>
  <c r="CR41" i="2"/>
  <c r="CR36" i="2"/>
  <c r="CR22" i="2"/>
  <c r="CR15" i="2"/>
  <c r="CR25" i="2"/>
  <c r="CR14" i="2"/>
  <c r="CR24" i="2"/>
  <c r="CR16" i="2"/>
  <c r="CR27" i="2"/>
  <c r="CR17" i="2"/>
  <c r="CS9" i="2"/>
  <c r="CR37" i="2"/>
  <c r="CR33" i="2"/>
  <c r="CR28" i="2"/>
  <c r="CR39" i="2"/>
  <c r="CR40" i="2"/>
  <c r="CR30" i="2"/>
  <c r="CR26" i="2"/>
  <c r="CR11" i="2"/>
  <c r="CR10" i="2"/>
  <c r="CR13" i="2"/>
  <c r="CR21" i="2"/>
  <c r="CR42" i="2"/>
  <c r="CR38" i="2"/>
  <c r="CR29" i="2"/>
  <c r="CR31" i="2"/>
  <c r="CR18" i="2"/>
  <c r="CR19" i="2"/>
  <c r="CR20" i="2"/>
  <c r="CR12" i="2"/>
  <c r="CR32" i="2"/>
  <c r="CR23" i="2"/>
  <c r="CN34" i="2"/>
  <c r="CN40" i="2"/>
  <c r="CN30" i="2"/>
  <c r="CN41" i="2"/>
  <c r="CN24" i="2"/>
  <c r="CN16" i="2"/>
  <c r="CN27" i="2"/>
  <c r="CN17" i="2"/>
  <c r="CO9" i="2"/>
  <c r="CN22" i="2"/>
  <c r="CN15" i="2"/>
  <c r="CN25" i="2"/>
  <c r="CN14" i="2"/>
  <c r="CN42" i="2"/>
  <c r="CN32" i="2"/>
  <c r="CN38" i="2"/>
  <c r="CN23" i="2"/>
  <c r="CN39" i="2"/>
  <c r="CN36" i="2"/>
  <c r="CN31" i="2"/>
  <c r="CN13" i="2"/>
  <c r="CN12" i="2"/>
  <c r="CN18" i="2"/>
  <c r="CN19" i="2"/>
  <c r="CN10" i="2"/>
  <c r="CN33" i="2"/>
  <c r="CN29" i="2"/>
  <c r="CN35" i="2"/>
  <c r="CN20" i="2"/>
  <c r="CN21" i="2"/>
  <c r="CN26" i="2"/>
  <c r="CN11" i="2"/>
  <c r="CN37" i="2"/>
  <c r="CN28" i="2"/>
  <c r="CB39" i="2"/>
  <c r="CB29" i="2"/>
  <c r="CB35" i="2"/>
  <c r="CB41" i="2"/>
  <c r="CB36" i="2"/>
  <c r="CB20" i="2"/>
  <c r="CB13" i="2"/>
  <c r="CB21" i="2"/>
  <c r="CB12" i="2"/>
  <c r="CB22" i="2"/>
  <c r="CB15" i="2"/>
  <c r="CB25" i="2"/>
  <c r="CB14" i="2"/>
  <c r="CB42" i="2"/>
  <c r="CB32" i="2"/>
  <c r="CB28" i="2"/>
  <c r="CB23" i="2"/>
  <c r="CB34" i="2"/>
  <c r="CB30" i="2"/>
  <c r="CB24" i="2"/>
  <c r="CB16" i="2"/>
  <c r="CB17" i="2"/>
  <c r="CB18" i="2"/>
  <c r="CB19" i="2"/>
  <c r="CB37" i="2"/>
  <c r="CB38" i="2"/>
  <c r="CB40" i="2"/>
  <c r="CB31" i="2"/>
  <c r="CB27" i="2"/>
  <c r="CB26" i="2"/>
  <c r="CB11" i="2"/>
  <c r="CB10" i="2"/>
  <c r="CB33" i="2"/>
  <c r="CF34" i="2"/>
  <c r="CF40" i="2"/>
  <c r="CF30" i="2"/>
  <c r="CF41" i="2"/>
  <c r="CF24" i="2"/>
  <c r="CF16" i="2"/>
  <c r="CF27" i="2"/>
  <c r="CF17" i="2"/>
  <c r="CG9" i="2"/>
  <c r="CF22" i="2"/>
  <c r="CF15" i="2"/>
  <c r="CF25" i="2"/>
  <c r="CF14" i="2"/>
  <c r="CF42" i="2"/>
  <c r="CF32" i="2"/>
  <c r="CF38" i="2"/>
  <c r="CF23" i="2"/>
  <c r="CF39" i="2"/>
  <c r="CF35" i="2"/>
  <c r="CF31" i="2"/>
  <c r="CF13" i="2"/>
  <c r="CF12" i="2"/>
  <c r="CF18" i="2"/>
  <c r="CF11" i="2"/>
  <c r="CF10" i="2"/>
  <c r="CF33" i="2"/>
  <c r="CF29" i="2"/>
  <c r="CF36" i="2"/>
  <c r="CF20" i="2"/>
  <c r="CF21" i="2"/>
  <c r="CF26" i="2"/>
  <c r="CF19" i="2"/>
  <c r="CF37" i="2"/>
  <c r="CF28" i="2"/>
  <c r="CJ34" i="2"/>
  <c r="CJ40" i="2"/>
  <c r="CJ30" i="2"/>
  <c r="CJ31" i="2"/>
  <c r="CJ26" i="2"/>
  <c r="CJ18" i="2"/>
  <c r="CJ11" i="2"/>
  <c r="CJ19" i="2"/>
  <c r="CJ10" i="2"/>
  <c r="CJ20" i="2"/>
  <c r="CJ13" i="2"/>
  <c r="CJ21" i="2"/>
  <c r="CJ12" i="2"/>
  <c r="CJ42" i="2"/>
  <c r="CJ32" i="2"/>
  <c r="CJ28" i="2"/>
  <c r="CJ23" i="2"/>
  <c r="CJ29" i="2"/>
  <c r="CJ35" i="2"/>
  <c r="CJ36" i="2"/>
  <c r="CJ15" i="2"/>
  <c r="CJ14" i="2"/>
  <c r="CJ16" i="2"/>
  <c r="CJ17" i="2"/>
  <c r="CJ37" i="2"/>
  <c r="CJ33" i="2"/>
  <c r="CJ39" i="2"/>
  <c r="CJ41" i="2"/>
  <c r="CJ22" i="2"/>
  <c r="CJ25" i="2"/>
  <c r="CJ24" i="2"/>
  <c r="CJ27" i="2"/>
  <c r="CK9" i="2"/>
  <c r="CJ38" i="2"/>
  <c r="CO65" i="2"/>
  <c r="CO63" i="2"/>
  <c r="CO64" i="2"/>
  <c r="CO60" i="2"/>
  <c r="CO62" i="2"/>
  <c r="CO61" i="2"/>
  <c r="CO59" i="2"/>
  <c r="CO58" i="2"/>
  <c r="CS65" i="2"/>
  <c r="CS63" i="2"/>
  <c r="CS64" i="2"/>
  <c r="CS60" i="2"/>
  <c r="CS62" i="2"/>
  <c r="CS61" i="2"/>
  <c r="CS59" i="2"/>
  <c r="CS58" i="2"/>
  <c r="CW65" i="2"/>
  <c r="CW63" i="2"/>
  <c r="CW64" i="2"/>
  <c r="CW60" i="2"/>
  <c r="CW62" i="2"/>
  <c r="CW61" i="2"/>
  <c r="CW59" i="2"/>
  <c r="CW58" i="2"/>
  <c r="CK65" i="2"/>
  <c r="CK63" i="2"/>
  <c r="CK64" i="2"/>
  <c r="CK60" i="2"/>
  <c r="CK62" i="2"/>
  <c r="CK61" i="2"/>
  <c r="CK59" i="2"/>
  <c r="CK58" i="2"/>
  <c r="CG65" i="2"/>
  <c r="CG63" i="2"/>
  <c r="CG64" i="2"/>
  <c r="CG60" i="2"/>
  <c r="CG62" i="2"/>
  <c r="CG61" i="2"/>
  <c r="CG59" i="2"/>
  <c r="CG58" i="2"/>
  <c r="CO57" i="2"/>
  <c r="CO55" i="2"/>
  <c r="CO56" i="2"/>
  <c r="CO52" i="2"/>
  <c r="CO54" i="2"/>
  <c r="CO53" i="2"/>
  <c r="CO51" i="2"/>
  <c r="CO49" i="2"/>
  <c r="CO47" i="2"/>
  <c r="CO45" i="2"/>
  <c r="CO50" i="2"/>
  <c r="CO48" i="2"/>
  <c r="CO46" i="2"/>
  <c r="CO43" i="2"/>
  <c r="CO44" i="2"/>
  <c r="CS57" i="2"/>
  <c r="CS55" i="2"/>
  <c r="CS56" i="2"/>
  <c r="CS52" i="2"/>
  <c r="CS54" i="2"/>
  <c r="CS53" i="2"/>
  <c r="CS51" i="2"/>
  <c r="CS49" i="2"/>
  <c r="CS47" i="2"/>
  <c r="CS45" i="2"/>
  <c r="CS50" i="2"/>
  <c r="CS48" i="2"/>
  <c r="CS46" i="2"/>
  <c r="CS43" i="2"/>
  <c r="CS44" i="2"/>
  <c r="CW57" i="2"/>
  <c r="CW55" i="2"/>
  <c r="CW56" i="2"/>
  <c r="CW52" i="2"/>
  <c r="CW54" i="2"/>
  <c r="CW53" i="2"/>
  <c r="CW51" i="2"/>
  <c r="CW49" i="2"/>
  <c r="CW47" i="2"/>
  <c r="CW45" i="2"/>
  <c r="CW50" i="2"/>
  <c r="CW48" i="2"/>
  <c r="CW46" i="2"/>
  <c r="CW43" i="2"/>
  <c r="CW44" i="2"/>
  <c r="CK57" i="2"/>
  <c r="CK55" i="2"/>
  <c r="CK56" i="2"/>
  <c r="CK52" i="2"/>
  <c r="CK54" i="2"/>
  <c r="CK53" i="2"/>
  <c r="CK51" i="2"/>
  <c r="CK49" i="2"/>
  <c r="CK47" i="2"/>
  <c r="CK45" i="2"/>
  <c r="CK50" i="2"/>
  <c r="CK48" i="2"/>
  <c r="CK46" i="2"/>
  <c r="CK43" i="2"/>
  <c r="CK44" i="2"/>
  <c r="CG57" i="2"/>
  <c r="CG55" i="2"/>
  <c r="CG56" i="2"/>
  <c r="CG52" i="2"/>
  <c r="CG54" i="2"/>
  <c r="CG53" i="2"/>
  <c r="CG51" i="2"/>
  <c r="CG49" i="2"/>
  <c r="CG47" i="2"/>
  <c r="CG45" i="2"/>
  <c r="CG50" i="2"/>
  <c r="CG48" i="2"/>
  <c r="CG46" i="2"/>
  <c r="CG43" i="2"/>
  <c r="CG44" i="2"/>
  <c r="CK34" i="2"/>
  <c r="CK40" i="2"/>
  <c r="CK30" i="2"/>
  <c r="CK31" i="2"/>
  <c r="CK27" i="2"/>
  <c r="CK17" i="2"/>
  <c r="CL9" i="2"/>
  <c r="CK20" i="2"/>
  <c r="CK13" i="2"/>
  <c r="CK19" i="2"/>
  <c r="CK10" i="2"/>
  <c r="CK22" i="2"/>
  <c r="CK15" i="2"/>
  <c r="CK38" i="2"/>
  <c r="CK32" i="2"/>
  <c r="CK42" i="2"/>
  <c r="CK23" i="2"/>
  <c r="CK39" i="2"/>
  <c r="CK35" i="2"/>
  <c r="CK41" i="2"/>
  <c r="CK21" i="2"/>
  <c r="CK24" i="2"/>
  <c r="CK25" i="2"/>
  <c r="CK14" i="2"/>
  <c r="CK18" i="2"/>
  <c r="CK33" i="2"/>
  <c r="CK37" i="2"/>
  <c r="CK29" i="2"/>
  <c r="CK36" i="2"/>
  <c r="CK12" i="2"/>
  <c r="CK16" i="2"/>
  <c r="CK26" i="2"/>
  <c r="CK11" i="2"/>
  <c r="CK28" i="2"/>
  <c r="CG34" i="2"/>
  <c r="CG40" i="2"/>
  <c r="CG30" i="2"/>
  <c r="CG41" i="2"/>
  <c r="CG27" i="2"/>
  <c r="CG17" i="2"/>
  <c r="CG26" i="2"/>
  <c r="CG18" i="2"/>
  <c r="CG11" i="2"/>
  <c r="CG19" i="2"/>
  <c r="CG10" i="2"/>
  <c r="CG20" i="2"/>
  <c r="CG13" i="2"/>
  <c r="CG42" i="2"/>
  <c r="CG37" i="2"/>
  <c r="CG32" i="2"/>
  <c r="CG39" i="2"/>
  <c r="CG35" i="2"/>
  <c r="CG31" i="2"/>
  <c r="CG12" i="2"/>
  <c r="CG15" i="2"/>
  <c r="CG14" i="2"/>
  <c r="CG16" i="2"/>
  <c r="CG33" i="2"/>
  <c r="CG23" i="2"/>
  <c r="CG29" i="2"/>
  <c r="CG36" i="2"/>
  <c r="CG21" i="2"/>
  <c r="CG22" i="2"/>
  <c r="CG25" i="2"/>
  <c r="CG24" i="2"/>
  <c r="CG38" i="2"/>
  <c r="CG28" i="2"/>
  <c r="CO34" i="2"/>
  <c r="CO40" i="2"/>
  <c r="CO30" i="2"/>
  <c r="CO41" i="2"/>
  <c r="CO25" i="2"/>
  <c r="CO14" i="2"/>
  <c r="CO26" i="2"/>
  <c r="CO18" i="2"/>
  <c r="CO11" i="2"/>
  <c r="CO21" i="2"/>
  <c r="CO12" i="2"/>
  <c r="CO24" i="2"/>
  <c r="CO16" i="2"/>
  <c r="CO38" i="2"/>
  <c r="CO33" i="2"/>
  <c r="CO28" i="2"/>
  <c r="CO23" i="2"/>
  <c r="CO39" i="2"/>
  <c r="CO35" i="2"/>
  <c r="CO31" i="2"/>
  <c r="CO10" i="2"/>
  <c r="CO15" i="2"/>
  <c r="CO17" i="2"/>
  <c r="CO20" i="2"/>
  <c r="CO42" i="2"/>
  <c r="CO32" i="2"/>
  <c r="CO29" i="2"/>
  <c r="CO36" i="2"/>
  <c r="CO19" i="2"/>
  <c r="CO22" i="2"/>
  <c r="CO27" i="2"/>
  <c r="CP9" i="2"/>
  <c r="CO13" i="2"/>
  <c r="CO37" i="2"/>
  <c r="CS39" i="2"/>
  <c r="CS29" i="2"/>
  <c r="CS35" i="2"/>
  <c r="CS41" i="2"/>
  <c r="CS36" i="2"/>
  <c r="CS19" i="2"/>
  <c r="CS10" i="2"/>
  <c r="CS22" i="2"/>
  <c r="CS15" i="2"/>
  <c r="CS27" i="2"/>
  <c r="CS17" i="2"/>
  <c r="CT9" i="2"/>
  <c r="CS20" i="2"/>
  <c r="CS13" i="2"/>
  <c r="CS33" i="2"/>
  <c r="CS28" i="2"/>
  <c r="CS37" i="2"/>
  <c r="CS34" i="2"/>
  <c r="CS30" i="2"/>
  <c r="CS25" i="2"/>
  <c r="CS26" i="2"/>
  <c r="CS11" i="2"/>
  <c r="CS12" i="2"/>
  <c r="CS16" i="2"/>
  <c r="CS38" i="2"/>
  <c r="CS42" i="2"/>
  <c r="CS40" i="2"/>
  <c r="CS31" i="2"/>
  <c r="CS14" i="2"/>
  <c r="CS18" i="2"/>
  <c r="CS21" i="2"/>
  <c r="CS24" i="2"/>
  <c r="CS32" i="2"/>
  <c r="CS23" i="2"/>
  <c r="DB9" i="2"/>
  <c r="CW34" i="2"/>
  <c r="CW12" i="2"/>
  <c r="CW40" i="2"/>
  <c r="CW22" i="2"/>
  <c r="CW15" i="2"/>
  <c r="CW25" i="2"/>
  <c r="CW14" i="2"/>
  <c r="CW30" i="2"/>
  <c r="CW20" i="2"/>
  <c r="CW13" i="2"/>
  <c r="CW21" i="2"/>
  <c r="CW10" i="2"/>
  <c r="CW41" i="2"/>
  <c r="CW38" i="2"/>
  <c r="CW33" i="2"/>
  <c r="CW28" i="2"/>
  <c r="CW23" i="2"/>
  <c r="CW39" i="2"/>
  <c r="CX9" i="2"/>
  <c r="CW18" i="2"/>
  <c r="CW19" i="2"/>
  <c r="CW24" i="2"/>
  <c r="CW27" i="2"/>
  <c r="CW36" i="2"/>
  <c r="CW31" i="2"/>
  <c r="CW37" i="2"/>
  <c r="CW29" i="2"/>
  <c r="CW26" i="2"/>
  <c r="CW11" i="2"/>
  <c r="CW35" i="2"/>
  <c r="CW16" i="2"/>
  <c r="CW17" i="2"/>
  <c r="CW42" i="2"/>
  <c r="CW32" i="2"/>
  <c r="DB64" i="2"/>
  <c r="DB62" i="2"/>
  <c r="DB65" i="2"/>
  <c r="DB63" i="2"/>
  <c r="DB61" i="2"/>
  <c r="DB59" i="2"/>
  <c r="DB60" i="2"/>
  <c r="DB58" i="2"/>
  <c r="CX64" i="2"/>
  <c r="CX62" i="2"/>
  <c r="CX65" i="2"/>
  <c r="CX63" i="2"/>
  <c r="CX61" i="2"/>
  <c r="CX59" i="2"/>
  <c r="CX60" i="2"/>
  <c r="CX58" i="2"/>
  <c r="CT64" i="2"/>
  <c r="CT62" i="2"/>
  <c r="CT65" i="2"/>
  <c r="CT63" i="2"/>
  <c r="CT61" i="2"/>
  <c r="CT59" i="2"/>
  <c r="CT60" i="2"/>
  <c r="CT58" i="2"/>
  <c r="CP64" i="2"/>
  <c r="CP62" i="2"/>
  <c r="CP65" i="2"/>
  <c r="CP63" i="2"/>
  <c r="CP61" i="2"/>
  <c r="CP59" i="2"/>
  <c r="CP60" i="2"/>
  <c r="CP58" i="2"/>
  <c r="CL64" i="2"/>
  <c r="CL62" i="2"/>
  <c r="CL65" i="2"/>
  <c r="CL63" i="2"/>
  <c r="CL61" i="2"/>
  <c r="CL59" i="2"/>
  <c r="CL60" i="2"/>
  <c r="CL58" i="2"/>
  <c r="DB56" i="2"/>
  <c r="DB54" i="2"/>
  <c r="DB57" i="2"/>
  <c r="DB53" i="2"/>
  <c r="DB55" i="2"/>
  <c r="DB52" i="2"/>
  <c r="DB50" i="2"/>
  <c r="DB48" i="2"/>
  <c r="DB46" i="2"/>
  <c r="DB51" i="2"/>
  <c r="DB49" i="2"/>
  <c r="DB47" i="2"/>
  <c r="DB45" i="2"/>
  <c r="DB44" i="2"/>
  <c r="DB43" i="2"/>
  <c r="CX56" i="2"/>
  <c r="CX54" i="2"/>
  <c r="CX57" i="2"/>
  <c r="CX53" i="2"/>
  <c r="CX55" i="2"/>
  <c r="CX52" i="2"/>
  <c r="CX50" i="2"/>
  <c r="CX48" i="2"/>
  <c r="CX46" i="2"/>
  <c r="CX51" i="2"/>
  <c r="CX49" i="2"/>
  <c r="CX47" i="2"/>
  <c r="CX45" i="2"/>
  <c r="CX44" i="2"/>
  <c r="CX43" i="2"/>
  <c r="CT56" i="2"/>
  <c r="CT54" i="2"/>
  <c r="CT57" i="2"/>
  <c r="CT53" i="2"/>
  <c r="CT55" i="2"/>
  <c r="CT52" i="2"/>
  <c r="CT50" i="2"/>
  <c r="CT48" i="2"/>
  <c r="CT46" i="2"/>
  <c r="CT51" i="2"/>
  <c r="CT49" i="2"/>
  <c r="CT47" i="2"/>
  <c r="CT45" i="2"/>
  <c r="CT44" i="2"/>
  <c r="CT43" i="2"/>
  <c r="CP56" i="2"/>
  <c r="CP54" i="2"/>
  <c r="CP57" i="2"/>
  <c r="CP53" i="2"/>
  <c r="CP55" i="2"/>
  <c r="CP52" i="2"/>
  <c r="CP50" i="2"/>
  <c r="CP48" i="2"/>
  <c r="CP46" i="2"/>
  <c r="CP51" i="2"/>
  <c r="CP49" i="2"/>
  <c r="CP47" i="2"/>
  <c r="CP45" i="2"/>
  <c r="CP44" i="2"/>
  <c r="CP43" i="2"/>
  <c r="CL56" i="2"/>
  <c r="CL54" i="2"/>
  <c r="CL57" i="2"/>
  <c r="CL53" i="2"/>
  <c r="CL55" i="2"/>
  <c r="CL52" i="2"/>
  <c r="CL50" i="2"/>
  <c r="CL48" i="2"/>
  <c r="CL46" i="2"/>
  <c r="CL51" i="2"/>
  <c r="CL49" i="2"/>
  <c r="CL47" i="2"/>
  <c r="CL45" i="2"/>
  <c r="CL44" i="2"/>
  <c r="CL43" i="2"/>
  <c r="CX34" i="2"/>
  <c r="CX27" i="2"/>
  <c r="CX17" i="2"/>
  <c r="CX26" i="2"/>
  <c r="CX18" i="2"/>
  <c r="CY9" i="2"/>
  <c r="CX19" i="2"/>
  <c r="CX10" i="2"/>
  <c r="CX20" i="2"/>
  <c r="CX13" i="2"/>
  <c r="CX30" i="2"/>
  <c r="CX35" i="2"/>
  <c r="CX41" i="2"/>
  <c r="CX42" i="2"/>
  <c r="CX28" i="2"/>
  <c r="CX37" i="2"/>
  <c r="CX23" i="2"/>
  <c r="CX39" i="2"/>
  <c r="CX29" i="2"/>
  <c r="CX21" i="2"/>
  <c r="CX12" i="2"/>
  <c r="CX22" i="2"/>
  <c r="CX15" i="2"/>
  <c r="CX25" i="2"/>
  <c r="CX14" i="2"/>
  <c r="CX24" i="2"/>
  <c r="CX16" i="2"/>
  <c r="CX11" i="2"/>
  <c r="CX40" i="2"/>
  <c r="CX36" i="2"/>
  <c r="CX31" i="2"/>
  <c r="CX38" i="2"/>
  <c r="CX33" i="2"/>
  <c r="CX32" i="2"/>
  <c r="CT39" i="2"/>
  <c r="CT29" i="2"/>
  <c r="CT35" i="2"/>
  <c r="CT41" i="2"/>
  <c r="CT36" i="2"/>
  <c r="CT38" i="2"/>
  <c r="CT28" i="2"/>
  <c r="CT24" i="2"/>
  <c r="CT16" i="2"/>
  <c r="CT27" i="2"/>
  <c r="CT19" i="2"/>
  <c r="CT10" i="2"/>
  <c r="CT26" i="2"/>
  <c r="CT18" i="2"/>
  <c r="CT11" i="2"/>
  <c r="CT21" i="2"/>
  <c r="CT12" i="2"/>
  <c r="CT34" i="2"/>
  <c r="CT40" i="2"/>
  <c r="CT30" i="2"/>
  <c r="CT31" i="2"/>
  <c r="CT42" i="2"/>
  <c r="CT37" i="2"/>
  <c r="CT32" i="2"/>
  <c r="CT20" i="2"/>
  <c r="CT13" i="2"/>
  <c r="CT23" i="2"/>
  <c r="CT14" i="2"/>
  <c r="CT33" i="2"/>
  <c r="CT22" i="2"/>
  <c r="CT15" i="2"/>
  <c r="CT25" i="2"/>
  <c r="CT17" i="2"/>
  <c r="CU9" i="2"/>
  <c r="CP34" i="2"/>
  <c r="CP30" i="2"/>
  <c r="CP35" i="2"/>
  <c r="CP41" i="2"/>
  <c r="CP42" i="2"/>
  <c r="CP28" i="2"/>
  <c r="CP22" i="2"/>
  <c r="CP15" i="2"/>
  <c r="CP25" i="2"/>
  <c r="CP17" i="2"/>
  <c r="CQ9" i="2"/>
  <c r="CP37" i="2"/>
  <c r="CP24" i="2"/>
  <c r="CP16" i="2"/>
  <c r="CP27" i="2"/>
  <c r="CP19" i="2"/>
  <c r="CP10" i="2"/>
  <c r="CP39" i="2"/>
  <c r="CP29" i="2"/>
  <c r="CP40" i="2"/>
  <c r="CP36" i="2"/>
  <c r="CP31" i="2"/>
  <c r="CP38" i="2"/>
  <c r="CP26" i="2"/>
  <c r="CP18" i="2"/>
  <c r="CP11" i="2"/>
  <c r="CP21" i="2"/>
  <c r="CP12" i="2"/>
  <c r="CP33" i="2"/>
  <c r="CP32" i="2"/>
  <c r="CP20" i="2"/>
  <c r="CP13" i="2"/>
  <c r="CP23" i="2"/>
  <c r="CP14" i="2"/>
  <c r="CL39" i="2"/>
  <c r="CL35" i="2"/>
  <c r="CL36" i="2"/>
  <c r="CL32" i="2"/>
  <c r="CL13" i="2"/>
  <c r="CL14" i="2"/>
  <c r="CL26" i="2"/>
  <c r="CL21" i="2"/>
  <c r="CL34" i="2"/>
  <c r="CL40" i="2"/>
  <c r="CL30" i="2"/>
  <c r="CL31" i="2"/>
  <c r="CL42" i="2"/>
  <c r="CL37" i="2"/>
  <c r="CL24" i="2"/>
  <c r="CL16" i="2"/>
  <c r="CL27" i="2"/>
  <c r="CL19" i="2"/>
  <c r="CL10" i="2"/>
  <c r="CL28" i="2"/>
  <c r="CL22" i="2"/>
  <c r="CL15" i="2"/>
  <c r="CL25" i="2"/>
  <c r="CL17" i="2"/>
  <c r="CL29" i="2"/>
  <c r="CL41" i="2"/>
  <c r="CL38" i="2"/>
  <c r="CL20" i="2"/>
  <c r="CL23" i="2"/>
  <c r="CL33" i="2"/>
  <c r="CL18" i="2"/>
  <c r="CL11" i="2"/>
  <c r="CL12" i="2"/>
  <c r="DB39" i="2"/>
  <c r="DB29" i="2"/>
  <c r="DB21" i="2"/>
  <c r="DB12" i="2"/>
  <c r="DB22" i="2"/>
  <c r="DB15" i="2"/>
  <c r="DB25" i="2"/>
  <c r="DB14" i="2"/>
  <c r="DB24" i="2"/>
  <c r="DB16" i="2"/>
  <c r="DC9" i="2"/>
  <c r="DB35" i="2"/>
  <c r="DB41" i="2"/>
  <c r="DB36" i="2"/>
  <c r="DB38" i="2"/>
  <c r="DB28" i="2"/>
  <c r="DB33" i="2"/>
  <c r="DB11" i="2"/>
  <c r="DB34" i="2"/>
  <c r="DB27" i="2"/>
  <c r="DB17" i="2"/>
  <c r="DB26" i="2"/>
  <c r="DB18" i="2"/>
  <c r="DG9" i="2"/>
  <c r="DB19" i="2"/>
  <c r="DB10" i="2"/>
  <c r="DB20" i="2"/>
  <c r="DB13" i="2"/>
  <c r="DB40" i="2"/>
  <c r="DB30" i="2"/>
  <c r="DB31" i="2"/>
  <c r="DB42" i="2"/>
  <c r="DB37" i="2"/>
  <c r="DB32" i="2"/>
  <c r="DB23" i="2"/>
  <c r="DC65" i="2"/>
  <c r="DC63" i="2"/>
  <c r="DC64" i="2"/>
  <c r="DC62" i="2"/>
  <c r="DC60" i="2"/>
  <c r="DC61" i="2"/>
  <c r="DC59" i="2"/>
  <c r="DC58" i="2"/>
  <c r="CU65" i="2"/>
  <c r="CU63" i="2"/>
  <c r="CU64" i="2"/>
  <c r="CU62" i="2"/>
  <c r="CU60" i="2"/>
  <c r="CU61" i="2"/>
  <c r="CU59" i="2"/>
  <c r="CU58" i="2"/>
  <c r="CY65" i="2"/>
  <c r="CY63" i="2"/>
  <c r="CY64" i="2"/>
  <c r="CY62" i="2"/>
  <c r="CY60" i="2"/>
  <c r="CY61" i="2"/>
  <c r="CY59" i="2"/>
  <c r="CY58" i="2"/>
  <c r="DG65" i="2"/>
  <c r="DG63" i="2"/>
  <c r="DG64" i="2"/>
  <c r="DG62" i="2"/>
  <c r="DG60" i="2"/>
  <c r="DG61" i="2"/>
  <c r="DG59" i="2"/>
  <c r="DG58" i="2"/>
  <c r="CQ65" i="2"/>
  <c r="CQ63" i="2"/>
  <c r="CQ64" i="2"/>
  <c r="CQ62" i="2"/>
  <c r="CQ60" i="2"/>
  <c r="CQ61" i="2"/>
  <c r="CQ59" i="2"/>
  <c r="CQ58" i="2"/>
  <c r="DC57" i="2"/>
  <c r="DC55" i="2"/>
  <c r="DC56" i="2"/>
  <c r="DC54" i="2"/>
  <c r="DC52" i="2"/>
  <c r="DC53" i="2"/>
  <c r="DC51" i="2"/>
  <c r="DC49" i="2"/>
  <c r="DC47" i="2"/>
  <c r="DC45" i="2"/>
  <c r="DC50" i="2"/>
  <c r="DC48" i="2"/>
  <c r="DC46" i="2"/>
  <c r="DC43" i="2"/>
  <c r="DC44" i="2"/>
  <c r="CU57" i="2"/>
  <c r="CU55" i="2"/>
  <c r="CU56" i="2"/>
  <c r="CU54" i="2"/>
  <c r="CU52" i="2"/>
  <c r="CU53" i="2"/>
  <c r="CU51" i="2"/>
  <c r="CU49" i="2"/>
  <c r="CU47" i="2"/>
  <c r="CU45" i="2"/>
  <c r="CU50" i="2"/>
  <c r="CU48" i="2"/>
  <c r="CU46" i="2"/>
  <c r="CU43" i="2"/>
  <c r="CU44" i="2"/>
  <c r="CY57" i="2"/>
  <c r="CY55" i="2"/>
  <c r="CY56" i="2"/>
  <c r="CY54" i="2"/>
  <c r="CY52" i="2"/>
  <c r="CY53" i="2"/>
  <c r="CY51" i="2"/>
  <c r="CY49" i="2"/>
  <c r="CY47" i="2"/>
  <c r="CY45" i="2"/>
  <c r="CY50" i="2"/>
  <c r="CY48" i="2"/>
  <c r="CY46" i="2"/>
  <c r="CY43" i="2"/>
  <c r="CY44" i="2"/>
  <c r="DG57" i="2"/>
  <c r="DG55" i="2"/>
  <c r="DG56" i="2"/>
  <c r="DG54" i="2"/>
  <c r="DG52" i="2"/>
  <c r="DG53" i="2"/>
  <c r="DG51" i="2"/>
  <c r="DG49" i="2"/>
  <c r="DG47" i="2"/>
  <c r="DG45" i="2"/>
  <c r="DG50" i="2"/>
  <c r="DG48" i="2"/>
  <c r="DG46" i="2"/>
  <c r="DG43" i="2"/>
  <c r="DG44" i="2"/>
  <c r="CQ57" i="2"/>
  <c r="CQ55" i="2"/>
  <c r="CQ56" i="2"/>
  <c r="CQ54" i="2"/>
  <c r="CQ52" i="2"/>
  <c r="CQ53" i="2"/>
  <c r="CQ51" i="2"/>
  <c r="CQ49" i="2"/>
  <c r="CQ47" i="2"/>
  <c r="CQ45" i="2"/>
  <c r="CQ50" i="2"/>
  <c r="CQ48" i="2"/>
  <c r="CQ46" i="2"/>
  <c r="CQ43" i="2"/>
  <c r="CQ44" i="2"/>
  <c r="DG34" i="2"/>
  <c r="DG35" i="2"/>
  <c r="DG40" i="2"/>
  <c r="DG22" i="2"/>
  <c r="DG15" i="2"/>
  <c r="DG25" i="2"/>
  <c r="DG14" i="2"/>
  <c r="DH9" i="2"/>
  <c r="DG20" i="2"/>
  <c r="DG13" i="2"/>
  <c r="DG21" i="2"/>
  <c r="DG12" i="2"/>
  <c r="DG36" i="2"/>
  <c r="DG31" i="2"/>
  <c r="DG37" i="2"/>
  <c r="DG38" i="2"/>
  <c r="DG28" i="2"/>
  <c r="DG39" i="2"/>
  <c r="DG29" i="2"/>
  <c r="DG30" i="2"/>
  <c r="DG26" i="2"/>
  <c r="DG18" i="2"/>
  <c r="DG11" i="2"/>
  <c r="DG19" i="2"/>
  <c r="DG10" i="2"/>
  <c r="DG24" i="2"/>
  <c r="DG16" i="2"/>
  <c r="DG27" i="2"/>
  <c r="DG17" i="2"/>
  <c r="DL9" i="2"/>
  <c r="DG41" i="2"/>
  <c r="DG42" i="2"/>
  <c r="DG32" i="2"/>
  <c r="DG33" i="2"/>
  <c r="DG23" i="2"/>
  <c r="CQ39" i="2"/>
  <c r="CQ29" i="2"/>
  <c r="CQ30" i="2"/>
  <c r="CQ36" i="2"/>
  <c r="CQ31" i="2"/>
  <c r="CQ37" i="2"/>
  <c r="CQ38" i="2"/>
  <c r="CQ28" i="2"/>
  <c r="CQ23" i="2"/>
  <c r="CQ14" i="2"/>
  <c r="CQ24" i="2"/>
  <c r="CQ16" i="2"/>
  <c r="CQ25" i="2"/>
  <c r="CQ17" i="2"/>
  <c r="CQ26" i="2"/>
  <c r="CQ18" i="2"/>
  <c r="CQ11" i="2"/>
  <c r="CQ34" i="2"/>
  <c r="CQ35" i="2"/>
  <c r="CQ40" i="2"/>
  <c r="CQ41" i="2"/>
  <c r="CQ42" i="2"/>
  <c r="CQ32" i="2"/>
  <c r="CQ33" i="2"/>
  <c r="CQ27" i="2"/>
  <c r="CQ19" i="2"/>
  <c r="CQ10" i="2"/>
  <c r="CQ20" i="2"/>
  <c r="CQ13" i="2"/>
  <c r="CQ21" i="2"/>
  <c r="CQ12" i="2"/>
  <c r="CQ22" i="2"/>
  <c r="CQ15" i="2"/>
  <c r="DC39" i="2"/>
  <c r="DC29" i="2"/>
  <c r="DC30" i="2"/>
  <c r="DC26" i="2"/>
  <c r="DC18" i="2"/>
  <c r="DC11" i="2"/>
  <c r="DC19" i="2"/>
  <c r="DC10" i="2"/>
  <c r="DC20" i="2"/>
  <c r="DC13" i="2"/>
  <c r="DC21" i="2"/>
  <c r="DC12" i="2"/>
  <c r="DC36" i="2"/>
  <c r="DC31" i="2"/>
  <c r="DC42" i="2"/>
  <c r="DC37" i="2"/>
  <c r="DC32" i="2"/>
  <c r="DC34" i="2"/>
  <c r="DC35" i="2"/>
  <c r="DC40" i="2"/>
  <c r="DC22" i="2"/>
  <c r="DC15" i="2"/>
  <c r="DC25" i="2"/>
  <c r="DC14" i="2"/>
  <c r="DC24" i="2"/>
  <c r="DC16" i="2"/>
  <c r="DC27" i="2"/>
  <c r="DC17" i="2"/>
  <c r="DD9" i="2"/>
  <c r="DC41" i="2"/>
  <c r="DC38" i="2"/>
  <c r="DC33" i="2"/>
  <c r="DC28" i="2"/>
  <c r="DC23" i="2"/>
  <c r="CU34" i="2"/>
  <c r="CU35" i="2"/>
  <c r="CU40" i="2"/>
  <c r="CU41" i="2"/>
  <c r="CU38" i="2"/>
  <c r="CU33" i="2"/>
  <c r="CU28" i="2"/>
  <c r="CU27" i="2"/>
  <c r="CU19" i="2"/>
  <c r="CU10" i="2"/>
  <c r="CU22" i="2"/>
  <c r="CU15" i="2"/>
  <c r="CU25" i="2"/>
  <c r="CU17" i="2"/>
  <c r="CV9" i="2"/>
  <c r="CU20" i="2"/>
  <c r="CU13" i="2"/>
  <c r="CU39" i="2"/>
  <c r="CU29" i="2"/>
  <c r="CU30" i="2"/>
  <c r="CU36" i="2"/>
  <c r="CU31" i="2"/>
  <c r="CU42" i="2"/>
  <c r="CU37" i="2"/>
  <c r="CU32" i="2"/>
  <c r="CU23" i="2"/>
  <c r="CU14" i="2"/>
  <c r="CU26" i="2"/>
  <c r="CU18" i="2"/>
  <c r="CU11" i="2"/>
  <c r="CU21" i="2"/>
  <c r="CU12" i="2"/>
  <c r="CU24" i="2"/>
  <c r="CU16" i="2"/>
  <c r="CY34" i="2"/>
  <c r="CY35" i="2"/>
  <c r="CY40" i="2"/>
  <c r="CY20" i="2"/>
  <c r="CY13" i="2"/>
  <c r="CY21" i="2"/>
  <c r="CY12" i="2"/>
  <c r="CY26" i="2"/>
  <c r="CY18" i="2"/>
  <c r="CY11" i="2"/>
  <c r="CY19" i="2"/>
  <c r="CY10" i="2"/>
  <c r="CY41" i="2"/>
  <c r="CY42" i="2"/>
  <c r="CY32" i="2"/>
  <c r="CY33" i="2"/>
  <c r="CY23" i="2"/>
  <c r="CZ9" i="2"/>
  <c r="CY25" i="2"/>
  <c r="CY36" i="2"/>
  <c r="CY37" i="2"/>
  <c r="CY38" i="2"/>
  <c r="CY39" i="2"/>
  <c r="CY29" i="2"/>
  <c r="CY30" i="2"/>
  <c r="CY24" i="2"/>
  <c r="CY16" i="2"/>
  <c r="CY27" i="2"/>
  <c r="CY17" i="2"/>
  <c r="CY22" i="2"/>
  <c r="CY15" i="2"/>
  <c r="CY14" i="2"/>
  <c r="CY31" i="2"/>
  <c r="CY28" i="2"/>
  <c r="DL64" i="2"/>
  <c r="DL62" i="2"/>
  <c r="DL65" i="2"/>
  <c r="DL63" i="2"/>
  <c r="DL61" i="2"/>
  <c r="DL59" i="2"/>
  <c r="DL60" i="2"/>
  <c r="DL58" i="2"/>
  <c r="DH64" i="2"/>
  <c r="DH62" i="2"/>
  <c r="DH65" i="2"/>
  <c r="DH63" i="2"/>
  <c r="DH61" i="2"/>
  <c r="DH59" i="2"/>
  <c r="DH60" i="2"/>
  <c r="DH58" i="2"/>
  <c r="CZ64" i="2"/>
  <c r="CZ62" i="2"/>
  <c r="CZ65" i="2"/>
  <c r="CZ63" i="2"/>
  <c r="CZ61" i="2"/>
  <c r="CZ59" i="2"/>
  <c r="CZ60" i="2"/>
  <c r="CZ58" i="2"/>
  <c r="CV64" i="2"/>
  <c r="CV62" i="2"/>
  <c r="CV65" i="2"/>
  <c r="CV63" i="2"/>
  <c r="CV61" i="2"/>
  <c r="CV59" i="2"/>
  <c r="CV60" i="2"/>
  <c r="CV58" i="2"/>
  <c r="DD64" i="2"/>
  <c r="DD62" i="2"/>
  <c r="DD65" i="2"/>
  <c r="DD63" i="2"/>
  <c r="DD61" i="2"/>
  <c r="DD59" i="2"/>
  <c r="DD60" i="2"/>
  <c r="DD58" i="2"/>
  <c r="CZ56" i="2"/>
  <c r="CZ54" i="2"/>
  <c r="CZ57" i="2"/>
  <c r="CZ55" i="2"/>
  <c r="CZ53" i="2"/>
  <c r="CZ52" i="2"/>
  <c r="CZ50" i="2"/>
  <c r="CZ48" i="2"/>
  <c r="CZ46" i="2"/>
  <c r="CZ51" i="2"/>
  <c r="CZ49" i="2"/>
  <c r="CZ47" i="2"/>
  <c r="CZ45" i="2"/>
  <c r="CZ44" i="2"/>
  <c r="CZ43" i="2"/>
  <c r="DL56" i="2"/>
  <c r="DL54" i="2"/>
  <c r="DL57" i="2"/>
  <c r="DL55" i="2"/>
  <c r="DL53" i="2"/>
  <c r="DL52" i="2"/>
  <c r="DL50" i="2"/>
  <c r="DL48" i="2"/>
  <c r="DL46" i="2"/>
  <c r="DL51" i="2"/>
  <c r="DL49" i="2"/>
  <c r="DL47" i="2"/>
  <c r="DL45" i="2"/>
  <c r="DL44" i="2"/>
  <c r="DL43" i="2"/>
  <c r="DH56" i="2"/>
  <c r="DH54" i="2"/>
  <c r="DH57" i="2"/>
  <c r="DH55" i="2"/>
  <c r="DH53" i="2"/>
  <c r="DH52" i="2"/>
  <c r="DH50" i="2"/>
  <c r="DH48" i="2"/>
  <c r="DH46" i="2"/>
  <c r="DH51" i="2"/>
  <c r="DH49" i="2"/>
  <c r="DH47" i="2"/>
  <c r="DH45" i="2"/>
  <c r="DH44" i="2"/>
  <c r="DH43" i="2"/>
  <c r="CV56" i="2"/>
  <c r="CV54" i="2"/>
  <c r="CV57" i="2"/>
  <c r="CV55" i="2"/>
  <c r="CV53" i="2"/>
  <c r="CV52" i="2"/>
  <c r="CV50" i="2"/>
  <c r="CV48" i="2"/>
  <c r="CV46" i="2"/>
  <c r="CV51" i="2"/>
  <c r="CV49" i="2"/>
  <c r="CV47" i="2"/>
  <c r="CV45" i="2"/>
  <c r="CV44" i="2"/>
  <c r="CV43" i="2"/>
  <c r="DD56" i="2"/>
  <c r="DD54" i="2"/>
  <c r="DD57" i="2"/>
  <c r="DD55" i="2"/>
  <c r="DD53" i="2"/>
  <c r="DD52" i="2"/>
  <c r="DD50" i="2"/>
  <c r="DD48" i="2"/>
  <c r="DD46" i="2"/>
  <c r="DD51" i="2"/>
  <c r="DD49" i="2"/>
  <c r="DD47" i="2"/>
  <c r="DD45" i="2"/>
  <c r="DD44" i="2"/>
  <c r="DD43" i="2"/>
  <c r="CV39" i="2"/>
  <c r="CV29" i="2"/>
  <c r="CV35" i="2"/>
  <c r="CV36" i="2"/>
  <c r="CV31" i="2"/>
  <c r="CV37" i="2"/>
  <c r="CV33" i="2"/>
  <c r="CV28" i="2"/>
  <c r="CV22" i="2"/>
  <c r="CV15" i="2"/>
  <c r="CV25" i="2"/>
  <c r="CV17" i="2"/>
  <c r="CV24" i="2"/>
  <c r="CV16" i="2"/>
  <c r="CV27" i="2"/>
  <c r="CV19" i="2"/>
  <c r="CV10" i="2"/>
  <c r="CV13" i="2"/>
  <c r="CV14" i="2"/>
  <c r="CV34" i="2"/>
  <c r="CV40" i="2"/>
  <c r="CV30" i="2"/>
  <c r="CV41" i="2"/>
  <c r="CV42" i="2"/>
  <c r="CV32" i="2"/>
  <c r="CV38" i="2"/>
  <c r="CV26" i="2"/>
  <c r="CV18" i="2"/>
  <c r="CV11" i="2"/>
  <c r="CV21" i="2"/>
  <c r="CV12" i="2"/>
  <c r="CV20" i="2"/>
  <c r="CV23" i="2"/>
  <c r="DD34" i="2"/>
  <c r="DD40" i="2"/>
  <c r="DD30" i="2"/>
  <c r="DD21" i="2"/>
  <c r="DD12" i="2"/>
  <c r="DD22" i="2"/>
  <c r="DD15" i="2"/>
  <c r="DD25" i="2"/>
  <c r="DD14" i="2"/>
  <c r="DD24" i="2"/>
  <c r="DD16" i="2"/>
  <c r="DE9" i="2"/>
  <c r="DD41" i="2"/>
  <c r="DD42" i="2"/>
  <c r="DD32" i="2"/>
  <c r="DD38" i="2"/>
  <c r="DD23" i="2"/>
  <c r="DD39" i="2"/>
  <c r="DD29" i="2"/>
  <c r="DD35" i="2"/>
  <c r="DD27" i="2"/>
  <c r="DD17" i="2"/>
  <c r="DD26" i="2"/>
  <c r="DD18" i="2"/>
  <c r="DD11" i="2"/>
  <c r="DD19" i="2"/>
  <c r="DD10" i="2"/>
  <c r="DD20" i="2"/>
  <c r="DD13" i="2"/>
  <c r="DD36" i="2"/>
  <c r="DD31" i="2"/>
  <c r="DD37" i="2"/>
  <c r="DD33" i="2"/>
  <c r="DD28" i="2"/>
  <c r="CZ34" i="2"/>
  <c r="CZ40" i="2"/>
  <c r="CZ30" i="2"/>
  <c r="CZ19" i="2"/>
  <c r="CZ10" i="2"/>
  <c r="CZ20" i="2"/>
  <c r="CZ13" i="2"/>
  <c r="CZ27" i="2"/>
  <c r="CZ17" i="2"/>
  <c r="CZ26" i="2"/>
  <c r="CZ18" i="2"/>
  <c r="CZ11" i="2"/>
  <c r="CZ31" i="2"/>
  <c r="CZ42" i="2"/>
  <c r="CZ32" i="2"/>
  <c r="CZ38" i="2"/>
  <c r="CZ23" i="2"/>
  <c r="CZ39" i="2"/>
  <c r="CZ29" i="2"/>
  <c r="CZ35" i="2"/>
  <c r="CZ25" i="2"/>
  <c r="CZ14" i="2"/>
  <c r="CZ24" i="2"/>
  <c r="CZ16" i="2"/>
  <c r="DA9" i="2"/>
  <c r="CZ21" i="2"/>
  <c r="CZ12" i="2"/>
  <c r="CZ22" i="2"/>
  <c r="CZ15" i="2"/>
  <c r="CZ41" i="2"/>
  <c r="CZ36" i="2"/>
  <c r="CZ37" i="2"/>
  <c r="CZ33" i="2"/>
  <c r="CZ28" i="2"/>
  <c r="DL34" i="2"/>
  <c r="DL40" i="2"/>
  <c r="DL30" i="2"/>
  <c r="DL19" i="2"/>
  <c r="DL10" i="2"/>
  <c r="DL24" i="2"/>
  <c r="DL16" i="2"/>
  <c r="DL27" i="2"/>
  <c r="DL17" i="2"/>
  <c r="DQ9" i="2"/>
  <c r="DL22" i="2"/>
  <c r="DL15" i="2"/>
  <c r="DL36" i="2"/>
  <c r="DL31" i="2"/>
  <c r="DL37" i="2"/>
  <c r="DL33" i="2"/>
  <c r="DL28" i="2"/>
  <c r="DL39" i="2"/>
  <c r="DL29" i="2"/>
  <c r="DL35" i="2"/>
  <c r="DL25" i="2"/>
  <c r="DL14" i="2"/>
  <c r="DM9" i="2"/>
  <c r="DL20" i="2"/>
  <c r="DL13" i="2"/>
  <c r="DL21" i="2"/>
  <c r="DL12" i="2"/>
  <c r="DL26" i="2"/>
  <c r="DL18" i="2"/>
  <c r="DL11" i="2"/>
  <c r="DL41" i="2"/>
  <c r="DL42" i="2"/>
  <c r="DL32" i="2"/>
  <c r="DL38" i="2"/>
  <c r="DL23" i="2"/>
  <c r="DH39" i="2"/>
  <c r="DH29" i="2"/>
  <c r="DH35" i="2"/>
  <c r="DH27" i="2"/>
  <c r="DH17" i="2"/>
  <c r="DI9" i="2"/>
  <c r="DH20" i="2"/>
  <c r="DH13" i="2"/>
  <c r="DH19" i="2"/>
  <c r="DH10" i="2"/>
  <c r="DH22" i="2"/>
  <c r="DH15" i="2"/>
  <c r="DH41" i="2"/>
  <c r="DH36" i="2"/>
  <c r="DH37" i="2"/>
  <c r="DH33" i="2"/>
  <c r="DH28" i="2"/>
  <c r="DH34" i="2"/>
  <c r="DH40" i="2"/>
  <c r="DH30" i="2"/>
  <c r="DH21" i="2"/>
  <c r="DH12" i="2"/>
  <c r="DH24" i="2"/>
  <c r="DH16" i="2"/>
  <c r="DH25" i="2"/>
  <c r="DH14" i="2"/>
  <c r="DH26" i="2"/>
  <c r="DH18" i="2"/>
  <c r="DH11" i="2"/>
  <c r="DH31" i="2"/>
  <c r="DH42" i="2"/>
  <c r="DH32" i="2"/>
  <c r="DH38" i="2"/>
  <c r="DH23" i="2"/>
  <c r="DA65" i="2"/>
  <c r="DA63" i="2"/>
  <c r="DA64" i="2"/>
  <c r="DA60" i="2"/>
  <c r="DA62" i="2"/>
  <c r="DA61" i="2"/>
  <c r="DA59" i="2"/>
  <c r="DA58" i="2"/>
  <c r="DI65" i="2"/>
  <c r="DI63" i="2"/>
  <c r="DI64" i="2"/>
  <c r="DI62" i="2"/>
  <c r="DI60" i="2"/>
  <c r="DI61" i="2"/>
  <c r="DI59" i="2"/>
  <c r="DI58" i="2"/>
  <c r="DM65" i="2"/>
  <c r="DM63" i="2"/>
  <c r="DM64" i="2"/>
  <c r="DM62" i="2"/>
  <c r="DM60" i="2"/>
  <c r="DM61" i="2"/>
  <c r="DM59" i="2"/>
  <c r="DM58" i="2"/>
  <c r="DQ65" i="2"/>
  <c r="DQ63" i="2"/>
  <c r="DQ64" i="2"/>
  <c r="DQ62" i="2"/>
  <c r="DQ60" i="2"/>
  <c r="DQ61" i="2"/>
  <c r="DQ59" i="2"/>
  <c r="DQ58" i="2"/>
  <c r="DE65" i="2"/>
  <c r="DE63" i="2"/>
  <c r="DE64" i="2"/>
  <c r="DE60" i="2"/>
  <c r="DE62" i="2"/>
  <c r="DE61" i="2"/>
  <c r="DE59" i="2"/>
  <c r="DE58" i="2"/>
  <c r="DI57" i="2"/>
  <c r="DI55" i="2"/>
  <c r="DI56" i="2"/>
  <c r="DI52" i="2"/>
  <c r="DI54" i="2"/>
  <c r="DI53" i="2"/>
  <c r="DI51" i="2"/>
  <c r="DI49" i="2"/>
  <c r="DI47" i="2"/>
  <c r="DI45" i="2"/>
  <c r="DI50" i="2"/>
  <c r="DI48" i="2"/>
  <c r="DI46" i="2"/>
  <c r="DI43" i="2"/>
  <c r="DI44" i="2"/>
  <c r="DM57" i="2"/>
  <c r="DM55" i="2"/>
  <c r="DM56" i="2"/>
  <c r="DM52" i="2"/>
  <c r="DM54" i="2"/>
  <c r="DM53" i="2"/>
  <c r="DM51" i="2"/>
  <c r="DM49" i="2"/>
  <c r="DM47" i="2"/>
  <c r="DM45" i="2"/>
  <c r="DM50" i="2"/>
  <c r="DM48" i="2"/>
  <c r="DM46" i="2"/>
  <c r="DM43" i="2"/>
  <c r="DM44" i="2"/>
  <c r="DA57" i="2"/>
  <c r="DA55" i="2"/>
  <c r="DA56" i="2"/>
  <c r="DA52" i="2"/>
  <c r="DA54" i="2"/>
  <c r="DA53" i="2"/>
  <c r="DA51" i="2"/>
  <c r="DA49" i="2"/>
  <c r="DA47" i="2"/>
  <c r="DA45" i="2"/>
  <c r="DA50" i="2"/>
  <c r="DA48" i="2"/>
  <c r="DA46" i="2"/>
  <c r="DA43" i="2"/>
  <c r="DA44" i="2"/>
  <c r="DQ57" i="2"/>
  <c r="DQ55" i="2"/>
  <c r="DQ56" i="2"/>
  <c r="DQ52" i="2"/>
  <c r="DQ54" i="2"/>
  <c r="DQ53" i="2"/>
  <c r="DQ51" i="2"/>
  <c r="DQ49" i="2"/>
  <c r="DQ47" i="2"/>
  <c r="DQ45" i="2"/>
  <c r="DQ50" i="2"/>
  <c r="DQ48" i="2"/>
  <c r="DQ46" i="2"/>
  <c r="DQ43" i="2"/>
  <c r="DQ44" i="2"/>
  <c r="DE57" i="2"/>
  <c r="DE55" i="2"/>
  <c r="DE56" i="2"/>
  <c r="DE52" i="2"/>
  <c r="DE54" i="2"/>
  <c r="DE53" i="2"/>
  <c r="DE51" i="2"/>
  <c r="DE49" i="2"/>
  <c r="DE47" i="2"/>
  <c r="DE45" i="2"/>
  <c r="DE50" i="2"/>
  <c r="DE48" i="2"/>
  <c r="DE46" i="2"/>
  <c r="DE43" i="2"/>
  <c r="DE44" i="2"/>
  <c r="DQ39" i="2"/>
  <c r="DQ29" i="2"/>
  <c r="DQ40" i="2"/>
  <c r="DQ30" i="2"/>
  <c r="DQ31" i="2"/>
  <c r="DQ24" i="2"/>
  <c r="DQ16" i="2"/>
  <c r="DQ27" i="2"/>
  <c r="DQ17" i="2"/>
  <c r="DR9" i="2"/>
  <c r="DQ22" i="2"/>
  <c r="DQ15" i="2"/>
  <c r="DQ25" i="2"/>
  <c r="DQ14" i="2"/>
  <c r="DQ38" i="2"/>
  <c r="DQ32" i="2"/>
  <c r="DQ42" i="2"/>
  <c r="DQ23" i="2"/>
  <c r="DQ34" i="2"/>
  <c r="DV9" i="2"/>
  <c r="DQ35" i="2"/>
  <c r="DQ41" i="2"/>
  <c r="DQ36" i="2"/>
  <c r="DQ20" i="2"/>
  <c r="DQ13" i="2"/>
  <c r="DQ21" i="2"/>
  <c r="DQ12" i="2"/>
  <c r="DQ26" i="2"/>
  <c r="DQ18" i="2"/>
  <c r="DQ11" i="2"/>
  <c r="DQ19" i="2"/>
  <c r="DQ10" i="2"/>
  <c r="DQ33" i="2"/>
  <c r="DQ28" i="2"/>
  <c r="DQ37" i="2"/>
  <c r="DE34" i="2"/>
  <c r="DE40" i="2"/>
  <c r="DE30" i="2"/>
  <c r="DE26" i="2"/>
  <c r="DE18" i="2"/>
  <c r="DE11" i="2"/>
  <c r="DE19" i="2"/>
  <c r="DE10" i="2"/>
  <c r="DE31" i="2"/>
  <c r="DE20" i="2"/>
  <c r="DE13" i="2"/>
  <c r="DE21" i="2"/>
  <c r="DE12" i="2"/>
  <c r="DE38" i="2"/>
  <c r="DE33" i="2"/>
  <c r="DE28" i="2"/>
  <c r="DE23" i="2"/>
  <c r="DE16" i="2"/>
  <c r="DE17" i="2"/>
  <c r="DE42" i="2"/>
  <c r="DE37" i="2"/>
  <c r="DE39" i="2"/>
  <c r="DE29" i="2"/>
  <c r="DE35" i="2"/>
  <c r="DE36" i="2"/>
  <c r="DE22" i="2"/>
  <c r="DE15" i="2"/>
  <c r="DE25" i="2"/>
  <c r="DE14" i="2"/>
  <c r="DE41" i="2"/>
  <c r="DE24" i="2"/>
  <c r="DE27" i="2"/>
  <c r="DF9" i="2"/>
  <c r="DE32" i="2"/>
  <c r="DI39" i="2"/>
  <c r="DI29" i="2"/>
  <c r="DI35" i="2"/>
  <c r="DI41" i="2"/>
  <c r="DI36" i="2"/>
  <c r="DI20" i="2"/>
  <c r="DI13" i="2"/>
  <c r="DI21" i="2"/>
  <c r="DI12" i="2"/>
  <c r="DI26" i="2"/>
  <c r="DI18" i="2"/>
  <c r="DI11" i="2"/>
  <c r="DI19" i="2"/>
  <c r="DI10" i="2"/>
  <c r="DI33" i="2"/>
  <c r="DI28" i="2"/>
  <c r="DI37" i="2"/>
  <c r="DI34" i="2"/>
  <c r="DI40" i="2"/>
  <c r="DI30" i="2"/>
  <c r="DI31" i="2"/>
  <c r="DI24" i="2"/>
  <c r="DI16" i="2"/>
  <c r="DI27" i="2"/>
  <c r="DI17" i="2"/>
  <c r="DJ9" i="2"/>
  <c r="DI22" i="2"/>
  <c r="DI15" i="2"/>
  <c r="DI25" i="2"/>
  <c r="DI14" i="2"/>
  <c r="DI38" i="2"/>
  <c r="DI32" i="2"/>
  <c r="DI42" i="2"/>
  <c r="DI23" i="2"/>
  <c r="DM34" i="2"/>
  <c r="DM40" i="2"/>
  <c r="DM30" i="2"/>
  <c r="DM26" i="2"/>
  <c r="DM18" i="2"/>
  <c r="DM11" i="2"/>
  <c r="DM19" i="2"/>
  <c r="DM10" i="2"/>
  <c r="DM31" i="2"/>
  <c r="DM20" i="2"/>
  <c r="DM13" i="2"/>
  <c r="DM21" i="2"/>
  <c r="DM12" i="2"/>
  <c r="DM38" i="2"/>
  <c r="DM33" i="2"/>
  <c r="DM28" i="2"/>
  <c r="DM23" i="2"/>
  <c r="DM39" i="2"/>
  <c r="DM29" i="2"/>
  <c r="DM35" i="2"/>
  <c r="DM36" i="2"/>
  <c r="DM22" i="2"/>
  <c r="DM15" i="2"/>
  <c r="DM25" i="2"/>
  <c r="DM14" i="2"/>
  <c r="DM41" i="2"/>
  <c r="DM24" i="2"/>
  <c r="DM16" i="2"/>
  <c r="DM27" i="2"/>
  <c r="DM17" i="2"/>
  <c r="DN9" i="2"/>
  <c r="DM42" i="2"/>
  <c r="DM37" i="2"/>
  <c r="DM32" i="2"/>
  <c r="DA34" i="2"/>
  <c r="DA40" i="2"/>
  <c r="DA30" i="2"/>
  <c r="DA31" i="2"/>
  <c r="DA22" i="2"/>
  <c r="DA15" i="2"/>
  <c r="DA25" i="2"/>
  <c r="DA36" i="2"/>
  <c r="DA20" i="2"/>
  <c r="DA13" i="2"/>
  <c r="DA21" i="2"/>
  <c r="DA12" i="2"/>
  <c r="DA14" i="2"/>
  <c r="DA33" i="2"/>
  <c r="DA28" i="2"/>
  <c r="DA37" i="2"/>
  <c r="DA39" i="2"/>
  <c r="DA29" i="2"/>
  <c r="DA35" i="2"/>
  <c r="DA41" i="2"/>
  <c r="DA26" i="2"/>
  <c r="DA18" i="2"/>
  <c r="DA11" i="2"/>
  <c r="DA19" i="2"/>
  <c r="DA24" i="2"/>
  <c r="DA16" i="2"/>
  <c r="DA27" i="2"/>
  <c r="DA17" i="2"/>
  <c r="DA10" i="2"/>
  <c r="DA38" i="2"/>
  <c r="DA32" i="2"/>
  <c r="DA42" i="2"/>
  <c r="DA23" i="2"/>
  <c r="DN64" i="2"/>
  <c r="DN62" i="2"/>
  <c r="DN65" i="2"/>
  <c r="DN63" i="2"/>
  <c r="DN61" i="2"/>
  <c r="DN59" i="2"/>
  <c r="DN60" i="2"/>
  <c r="DN58" i="2"/>
  <c r="DF64" i="2"/>
  <c r="DF62" i="2"/>
  <c r="DF65" i="2"/>
  <c r="DF63" i="2"/>
  <c r="DF61" i="2"/>
  <c r="DF59" i="2"/>
  <c r="DF60" i="2"/>
  <c r="DF58" i="2"/>
  <c r="DV64" i="2"/>
  <c r="DV62" i="2"/>
  <c r="DV65" i="2"/>
  <c r="DV63" i="2"/>
  <c r="DV61" i="2"/>
  <c r="DV59" i="2"/>
  <c r="DV60" i="2"/>
  <c r="DV58" i="2"/>
  <c r="DR64" i="2"/>
  <c r="DR62" i="2"/>
  <c r="DR65" i="2"/>
  <c r="DR63" i="2"/>
  <c r="DR61" i="2"/>
  <c r="DR59" i="2"/>
  <c r="DR60" i="2"/>
  <c r="DR58" i="2"/>
  <c r="DJ64" i="2"/>
  <c r="DJ62" i="2"/>
  <c r="DJ65" i="2"/>
  <c r="DJ63" i="2"/>
  <c r="DJ61" i="2"/>
  <c r="DJ59" i="2"/>
  <c r="DJ60" i="2"/>
  <c r="DJ58" i="2"/>
  <c r="DN56" i="2"/>
  <c r="DN54" i="2"/>
  <c r="DN57" i="2"/>
  <c r="DN53" i="2"/>
  <c r="DN55" i="2"/>
  <c r="DN52" i="2"/>
  <c r="DN50" i="2"/>
  <c r="DN48" i="2"/>
  <c r="DN46" i="2"/>
  <c r="DN51" i="2"/>
  <c r="DN49" i="2"/>
  <c r="DN47" i="2"/>
  <c r="DN45" i="2"/>
  <c r="DN44" i="2"/>
  <c r="DN43" i="2"/>
  <c r="DF56" i="2"/>
  <c r="DF54" i="2"/>
  <c r="DF57" i="2"/>
  <c r="DF53" i="2"/>
  <c r="DF55" i="2"/>
  <c r="DF52" i="2"/>
  <c r="DF50" i="2"/>
  <c r="DF48" i="2"/>
  <c r="DF46" i="2"/>
  <c r="DF51" i="2"/>
  <c r="DF49" i="2"/>
  <c r="DF47" i="2"/>
  <c r="DF45" i="2"/>
  <c r="DF44" i="2"/>
  <c r="DF43" i="2"/>
  <c r="DV56" i="2"/>
  <c r="DV54" i="2"/>
  <c r="DV57" i="2"/>
  <c r="DV53" i="2"/>
  <c r="DV55" i="2"/>
  <c r="DV52" i="2"/>
  <c r="DV50" i="2"/>
  <c r="DV48" i="2"/>
  <c r="DV46" i="2"/>
  <c r="DV51" i="2"/>
  <c r="DV49" i="2"/>
  <c r="DV47" i="2"/>
  <c r="DV45" i="2"/>
  <c r="DV44" i="2"/>
  <c r="DV43" i="2"/>
  <c r="DR56" i="2"/>
  <c r="DR54" i="2"/>
  <c r="DR57" i="2"/>
  <c r="DR53" i="2"/>
  <c r="DR55" i="2"/>
  <c r="DR52" i="2"/>
  <c r="DR50" i="2"/>
  <c r="DR48" i="2"/>
  <c r="DR46" i="2"/>
  <c r="DR51" i="2"/>
  <c r="DR49" i="2"/>
  <c r="DR47" i="2"/>
  <c r="DR45" i="2"/>
  <c r="DR44" i="2"/>
  <c r="DR43" i="2"/>
  <c r="DJ56" i="2"/>
  <c r="DJ54" i="2"/>
  <c r="DJ57" i="2"/>
  <c r="DJ53" i="2"/>
  <c r="DJ55" i="2"/>
  <c r="DJ52" i="2"/>
  <c r="DJ50" i="2"/>
  <c r="DJ48" i="2"/>
  <c r="DJ46" i="2"/>
  <c r="DJ51" i="2"/>
  <c r="DJ49" i="2"/>
  <c r="DJ47" i="2"/>
  <c r="DJ45" i="2"/>
  <c r="DJ44" i="2"/>
  <c r="DJ43" i="2"/>
  <c r="DJ34" i="2"/>
  <c r="DJ40" i="2"/>
  <c r="DJ30" i="2"/>
  <c r="DJ31" i="2"/>
  <c r="DJ25" i="2"/>
  <c r="DJ14" i="2"/>
  <c r="DJ26" i="2"/>
  <c r="DJ18" i="2"/>
  <c r="DJ11" i="2"/>
  <c r="DJ27" i="2"/>
  <c r="DJ17" i="2"/>
  <c r="DK9" i="2"/>
  <c r="DJ20" i="2"/>
  <c r="DJ13" i="2"/>
  <c r="DJ37" i="2"/>
  <c r="DJ32" i="2"/>
  <c r="DJ23" i="2"/>
  <c r="DJ39" i="2"/>
  <c r="DJ29" i="2"/>
  <c r="DJ35" i="2"/>
  <c r="DJ41" i="2"/>
  <c r="DJ36" i="2"/>
  <c r="DJ19" i="2"/>
  <c r="DJ10" i="2"/>
  <c r="DJ22" i="2"/>
  <c r="DJ15" i="2"/>
  <c r="DJ42" i="2"/>
  <c r="DJ21" i="2"/>
  <c r="DJ12" i="2"/>
  <c r="DJ24" i="2"/>
  <c r="DJ16" i="2"/>
  <c r="DJ38" i="2"/>
  <c r="DJ28" i="2"/>
  <c r="DJ33" i="2"/>
  <c r="DN34" i="2"/>
  <c r="DN30" i="2"/>
  <c r="DN35" i="2"/>
  <c r="DN41" i="2"/>
  <c r="DN27" i="2"/>
  <c r="DN17" i="2"/>
  <c r="DO9" i="2"/>
  <c r="DN20" i="2"/>
  <c r="DN13" i="2"/>
  <c r="DN25" i="2"/>
  <c r="DN14" i="2"/>
  <c r="DN26" i="2"/>
  <c r="DN18" i="2"/>
  <c r="DN11" i="2"/>
  <c r="DN28" i="2"/>
  <c r="DN37" i="2"/>
  <c r="DN23" i="2"/>
  <c r="DN39" i="2"/>
  <c r="DN29" i="2"/>
  <c r="DN40" i="2"/>
  <c r="DN36" i="2"/>
  <c r="DN31" i="2"/>
  <c r="DN21" i="2"/>
  <c r="DN12" i="2"/>
  <c r="DN24" i="2"/>
  <c r="DN16" i="2"/>
  <c r="DN42" i="2"/>
  <c r="DN19" i="2"/>
  <c r="DN10" i="2"/>
  <c r="DN22" i="2"/>
  <c r="DN15" i="2"/>
  <c r="DN38" i="2"/>
  <c r="DN33" i="2"/>
  <c r="DN32" i="2"/>
  <c r="DF34" i="2"/>
  <c r="DF30" i="2"/>
  <c r="DF35" i="2"/>
  <c r="DF41" i="2"/>
  <c r="DF25" i="2"/>
  <c r="DF14" i="2"/>
  <c r="DF24" i="2"/>
  <c r="DF16" i="2"/>
  <c r="DF42" i="2"/>
  <c r="DF21" i="2"/>
  <c r="DF12" i="2"/>
  <c r="DF22" i="2"/>
  <c r="DF15" i="2"/>
  <c r="DF38" i="2"/>
  <c r="DF33" i="2"/>
  <c r="DF32" i="2"/>
  <c r="DF39" i="2"/>
  <c r="DF29" i="2"/>
  <c r="DF40" i="2"/>
  <c r="DF36" i="2"/>
  <c r="DF31" i="2"/>
  <c r="DF19" i="2"/>
  <c r="DF10" i="2"/>
  <c r="DF20" i="2"/>
  <c r="DF13" i="2"/>
  <c r="DF27" i="2"/>
  <c r="DF17" i="2"/>
  <c r="DF26" i="2"/>
  <c r="DF18" i="2"/>
  <c r="DF11" i="2"/>
  <c r="DF28" i="2"/>
  <c r="DF37" i="2"/>
  <c r="DF23" i="2"/>
  <c r="EA9" i="2"/>
  <c r="DV34" i="2"/>
  <c r="DW9" i="2"/>
  <c r="DV20" i="2"/>
  <c r="DV13" i="2"/>
  <c r="DV21" i="2"/>
  <c r="DV12" i="2"/>
  <c r="DV22" i="2"/>
  <c r="DV15" i="2"/>
  <c r="DV25" i="2"/>
  <c r="DV14" i="2"/>
  <c r="DV30" i="2"/>
  <c r="DV35" i="2"/>
  <c r="DV41" i="2"/>
  <c r="DV42" i="2"/>
  <c r="DV28" i="2"/>
  <c r="DV37" i="2"/>
  <c r="DV23" i="2"/>
  <c r="DV39" i="2"/>
  <c r="DV29" i="2"/>
  <c r="DV24" i="2"/>
  <c r="DV16" i="2"/>
  <c r="DV27" i="2"/>
  <c r="DV17" i="2"/>
  <c r="DV26" i="2"/>
  <c r="DV18" i="2"/>
  <c r="DV11" i="2"/>
  <c r="DV19" i="2"/>
  <c r="DV10" i="2"/>
  <c r="DV40" i="2"/>
  <c r="DV36" i="2"/>
  <c r="DV31" i="2"/>
  <c r="DV38" i="2"/>
  <c r="DV33" i="2"/>
  <c r="DV32" i="2"/>
  <c r="DR34" i="2"/>
  <c r="DR40" i="2"/>
  <c r="DR30" i="2"/>
  <c r="DR31" i="2"/>
  <c r="DR27" i="2"/>
  <c r="DR17" i="2"/>
  <c r="DS9" i="2"/>
  <c r="DR20" i="2"/>
  <c r="DR13" i="2"/>
  <c r="DR25" i="2"/>
  <c r="DR14" i="2"/>
  <c r="DR26" i="2"/>
  <c r="DR18" i="2"/>
  <c r="DR11" i="2"/>
  <c r="DR37" i="2"/>
  <c r="DR32" i="2"/>
  <c r="DR23" i="2"/>
  <c r="DR42" i="2"/>
  <c r="DR10" i="2"/>
  <c r="DR15" i="2"/>
  <c r="DR28" i="2"/>
  <c r="DR39" i="2"/>
  <c r="DR29" i="2"/>
  <c r="DR35" i="2"/>
  <c r="DR41" i="2"/>
  <c r="DR36" i="2"/>
  <c r="DR21" i="2"/>
  <c r="DR12" i="2"/>
  <c r="DR24" i="2"/>
  <c r="DR16" i="2"/>
  <c r="DR19" i="2"/>
  <c r="DR22" i="2"/>
  <c r="DR38" i="2"/>
  <c r="DR33" i="2"/>
  <c r="DW65" i="2"/>
  <c r="DW63" i="2"/>
  <c r="DW64" i="2"/>
  <c r="DW62" i="2"/>
  <c r="DW60" i="2"/>
  <c r="DW61" i="2"/>
  <c r="DW59" i="2"/>
  <c r="DW58" i="2"/>
  <c r="EA65" i="2"/>
  <c r="EA63" i="2"/>
  <c r="EA64" i="2"/>
  <c r="EA62" i="2"/>
  <c r="EA60" i="2"/>
  <c r="EA61" i="2"/>
  <c r="EA59" i="2"/>
  <c r="EA58" i="2"/>
  <c r="DK65" i="2"/>
  <c r="DK63" i="2"/>
  <c r="DK64" i="2"/>
  <c r="DK62" i="2"/>
  <c r="DK60" i="2"/>
  <c r="DK61" i="2"/>
  <c r="DK59" i="2"/>
  <c r="DK58" i="2"/>
  <c r="DS65" i="2"/>
  <c r="DS63" i="2"/>
  <c r="DS64" i="2"/>
  <c r="DS62" i="2"/>
  <c r="DS60" i="2"/>
  <c r="DS61" i="2"/>
  <c r="DS59" i="2"/>
  <c r="DS58" i="2"/>
  <c r="DO65" i="2"/>
  <c r="DO63" i="2"/>
  <c r="DO64" i="2"/>
  <c r="DO62" i="2"/>
  <c r="DO60" i="2"/>
  <c r="DO61" i="2"/>
  <c r="DO59" i="2"/>
  <c r="DO58" i="2"/>
  <c r="DW57" i="2"/>
  <c r="DW55" i="2"/>
  <c r="DW56" i="2"/>
  <c r="DW54" i="2"/>
  <c r="DW52" i="2"/>
  <c r="DW53" i="2"/>
  <c r="DW51" i="2"/>
  <c r="DW49" i="2"/>
  <c r="DW47" i="2"/>
  <c r="DW45" i="2"/>
  <c r="DW50" i="2"/>
  <c r="DW48" i="2"/>
  <c r="DW46" i="2"/>
  <c r="DW43" i="2"/>
  <c r="DW44" i="2"/>
  <c r="EA57" i="2"/>
  <c r="EA55" i="2"/>
  <c r="EA56" i="2"/>
  <c r="EA54" i="2"/>
  <c r="EA52" i="2"/>
  <c r="EA53" i="2"/>
  <c r="EA51" i="2"/>
  <c r="EA49" i="2"/>
  <c r="EA47" i="2"/>
  <c r="EA45" i="2"/>
  <c r="EA50" i="2"/>
  <c r="EA48" i="2"/>
  <c r="EA46" i="2"/>
  <c r="EA43" i="2"/>
  <c r="EA44" i="2"/>
  <c r="DK57" i="2"/>
  <c r="DK55" i="2"/>
  <c r="DK56" i="2"/>
  <c r="DK54" i="2"/>
  <c r="DK52" i="2"/>
  <c r="DK53" i="2"/>
  <c r="DK51" i="2"/>
  <c r="DK49" i="2"/>
  <c r="DK47" i="2"/>
  <c r="DK45" i="2"/>
  <c r="DK50" i="2"/>
  <c r="DK48" i="2"/>
  <c r="DK46" i="2"/>
  <c r="DK43" i="2"/>
  <c r="DK44" i="2"/>
  <c r="DS57" i="2"/>
  <c r="DS55" i="2"/>
  <c r="DS56" i="2"/>
  <c r="DS54" i="2"/>
  <c r="DS52" i="2"/>
  <c r="DS53" i="2"/>
  <c r="DS51" i="2"/>
  <c r="DS49" i="2"/>
  <c r="DS47" i="2"/>
  <c r="DS45" i="2"/>
  <c r="DS50" i="2"/>
  <c r="DS48" i="2"/>
  <c r="DS46" i="2"/>
  <c r="DS43" i="2"/>
  <c r="DS44" i="2"/>
  <c r="DO57" i="2"/>
  <c r="DO55" i="2"/>
  <c r="DO56" i="2"/>
  <c r="DO54" i="2"/>
  <c r="DO52" i="2"/>
  <c r="DO53" i="2"/>
  <c r="DO51" i="2"/>
  <c r="DO49" i="2"/>
  <c r="DO47" i="2"/>
  <c r="DO45" i="2"/>
  <c r="DO50" i="2"/>
  <c r="DO48" i="2"/>
  <c r="DO46" i="2"/>
  <c r="DO43" i="2"/>
  <c r="DO44" i="2"/>
  <c r="DS34" i="2"/>
  <c r="DS35" i="2"/>
  <c r="DS40" i="2"/>
  <c r="DS41" i="2"/>
  <c r="DS24" i="2"/>
  <c r="DS16" i="2"/>
  <c r="DS27" i="2"/>
  <c r="DS19" i="2"/>
  <c r="DS10" i="2"/>
  <c r="DS42" i="2"/>
  <c r="DS37" i="2"/>
  <c r="DS32" i="2"/>
  <c r="DS22" i="2"/>
  <c r="DS15" i="2"/>
  <c r="DS25" i="2"/>
  <c r="DS17" i="2"/>
  <c r="DT9" i="2"/>
  <c r="DS28" i="2"/>
  <c r="DS12" i="2"/>
  <c r="DS39" i="2"/>
  <c r="DS29" i="2"/>
  <c r="DS30" i="2"/>
  <c r="DS36" i="2"/>
  <c r="DS31" i="2"/>
  <c r="DS20" i="2"/>
  <c r="DS13" i="2"/>
  <c r="DS23" i="2"/>
  <c r="DS14" i="2"/>
  <c r="DS38" i="2"/>
  <c r="DS33" i="2"/>
  <c r="DS26" i="2"/>
  <c r="DS18" i="2"/>
  <c r="DS11" i="2"/>
  <c r="DS21" i="2"/>
  <c r="DO34" i="2"/>
  <c r="DO35" i="2"/>
  <c r="DO40" i="2"/>
  <c r="DO41" i="2"/>
  <c r="DO42" i="2"/>
  <c r="DO32" i="2"/>
  <c r="DO22" i="2"/>
  <c r="DO15" i="2"/>
  <c r="DO25" i="2"/>
  <c r="DO17" i="2"/>
  <c r="DP9" i="2"/>
  <c r="DO33" i="2"/>
  <c r="DO24" i="2"/>
  <c r="DO16" i="2"/>
  <c r="DO27" i="2"/>
  <c r="DO19" i="2"/>
  <c r="DO10" i="2"/>
  <c r="DO29" i="2"/>
  <c r="DO36" i="2"/>
  <c r="DO37" i="2"/>
  <c r="DO26" i="2"/>
  <c r="DO11" i="2"/>
  <c r="DO12" i="2"/>
  <c r="DO28" i="2"/>
  <c r="DO13" i="2"/>
  <c r="DO14" i="2"/>
  <c r="DO39" i="2"/>
  <c r="DO30" i="2"/>
  <c r="DO31" i="2"/>
  <c r="DO18" i="2"/>
  <c r="DO21" i="2"/>
  <c r="DO38" i="2"/>
  <c r="DO20" i="2"/>
  <c r="DO23" i="2"/>
  <c r="DW39" i="2"/>
  <c r="DW29" i="2"/>
  <c r="DW30" i="2"/>
  <c r="DW25" i="2"/>
  <c r="DW14" i="2"/>
  <c r="DW24" i="2"/>
  <c r="DW16" i="2"/>
  <c r="DX9" i="2"/>
  <c r="DW21" i="2"/>
  <c r="DW12" i="2"/>
  <c r="DW22" i="2"/>
  <c r="DW15" i="2"/>
  <c r="DW36" i="2"/>
  <c r="DW31" i="2"/>
  <c r="DW37" i="2"/>
  <c r="DW38" i="2"/>
  <c r="DW28" i="2"/>
  <c r="DW34" i="2"/>
  <c r="DW40" i="2"/>
  <c r="DW10" i="2"/>
  <c r="DW13" i="2"/>
  <c r="DW17" i="2"/>
  <c r="DW26" i="2"/>
  <c r="DW11" i="2"/>
  <c r="DW42" i="2"/>
  <c r="DW33" i="2"/>
  <c r="DW35" i="2"/>
  <c r="DW19" i="2"/>
  <c r="DW20" i="2"/>
  <c r="DW27" i="2"/>
  <c r="DW18" i="2"/>
  <c r="DW41" i="2"/>
  <c r="DW32" i="2"/>
  <c r="DW23" i="2"/>
  <c r="EA39" i="2"/>
  <c r="EA29" i="2"/>
  <c r="EA30" i="2"/>
  <c r="EA19" i="2"/>
  <c r="EA10" i="2"/>
  <c r="EA20" i="2"/>
  <c r="EA13" i="2"/>
  <c r="EA40" i="2"/>
  <c r="EA21" i="2"/>
  <c r="EA12" i="2"/>
  <c r="EA22" i="2"/>
  <c r="EA15" i="2"/>
  <c r="EB9" i="2"/>
  <c r="EA41" i="2"/>
  <c r="EA38" i="2"/>
  <c r="EA33" i="2"/>
  <c r="EA28" i="2"/>
  <c r="EA23" i="2"/>
  <c r="EA34" i="2"/>
  <c r="EA25" i="2"/>
  <c r="EA24" i="2"/>
  <c r="EA16" i="2"/>
  <c r="EA27" i="2"/>
  <c r="EA26" i="2"/>
  <c r="EA11" i="2"/>
  <c r="EA31" i="2"/>
  <c r="EA37" i="2"/>
  <c r="EA35" i="2"/>
  <c r="EA14" i="2"/>
  <c r="EF9" i="2"/>
  <c r="EA17" i="2"/>
  <c r="EA18" i="2"/>
  <c r="EA36" i="2"/>
  <c r="EA42" i="2"/>
  <c r="EA32" i="2"/>
  <c r="DK34" i="2"/>
  <c r="DK35" i="2"/>
  <c r="DK40" i="2"/>
  <c r="DK41" i="2"/>
  <c r="DK24" i="2"/>
  <c r="DK16" i="2"/>
  <c r="DK27" i="2"/>
  <c r="DK19" i="2"/>
  <c r="DK10" i="2"/>
  <c r="DK42" i="2"/>
  <c r="DK37" i="2"/>
  <c r="DK32" i="2"/>
  <c r="DK22" i="2"/>
  <c r="DK15" i="2"/>
  <c r="DK25" i="2"/>
  <c r="DK17" i="2"/>
  <c r="DK29" i="2"/>
  <c r="DK36" i="2"/>
  <c r="DK31" i="2"/>
  <c r="DK13" i="2"/>
  <c r="DK14" i="2"/>
  <c r="DK33" i="2"/>
  <c r="DK26" i="2"/>
  <c r="DK11" i="2"/>
  <c r="DK21" i="2"/>
  <c r="DK39" i="2"/>
  <c r="DK30" i="2"/>
  <c r="DK20" i="2"/>
  <c r="DK23" i="2"/>
  <c r="DK38" i="2"/>
  <c r="DK28" i="2"/>
  <c r="DK18" i="2"/>
  <c r="DK12" i="2"/>
  <c r="EF64" i="2"/>
  <c r="EF62" i="2"/>
  <c r="EF65" i="2"/>
  <c r="EF63" i="2"/>
  <c r="EF61" i="2"/>
  <c r="EF59" i="2"/>
  <c r="EF60" i="2"/>
  <c r="EF58" i="2"/>
  <c r="DX64" i="2"/>
  <c r="DX62" i="2"/>
  <c r="DX65" i="2"/>
  <c r="DX63" i="2"/>
  <c r="DX61" i="2"/>
  <c r="DX59" i="2"/>
  <c r="DX60" i="2"/>
  <c r="DX58" i="2"/>
  <c r="EB64" i="2"/>
  <c r="EB62" i="2"/>
  <c r="EB65" i="2"/>
  <c r="EB63" i="2"/>
  <c r="EB61" i="2"/>
  <c r="EB59" i="2"/>
  <c r="EB60" i="2"/>
  <c r="EB58" i="2"/>
  <c r="DP64" i="2"/>
  <c r="DP62" i="2"/>
  <c r="DP65" i="2"/>
  <c r="DP63" i="2"/>
  <c r="DP61" i="2"/>
  <c r="DP59" i="2"/>
  <c r="DP60" i="2"/>
  <c r="DP58" i="2"/>
  <c r="DT64" i="2"/>
  <c r="DT62" i="2"/>
  <c r="DT65" i="2"/>
  <c r="DT63" i="2"/>
  <c r="DT61" i="2"/>
  <c r="DT59" i="2"/>
  <c r="DT60" i="2"/>
  <c r="DT58" i="2"/>
  <c r="EF56" i="2"/>
  <c r="EF54" i="2"/>
  <c r="EF57" i="2"/>
  <c r="EF55" i="2"/>
  <c r="EF53" i="2"/>
  <c r="EF52" i="2"/>
  <c r="EF51" i="2"/>
  <c r="EF50" i="2"/>
  <c r="EF48" i="2"/>
  <c r="EF46" i="2"/>
  <c r="EF49" i="2"/>
  <c r="EF47" i="2"/>
  <c r="EF45" i="2"/>
  <c r="EF44" i="2"/>
  <c r="EF43" i="2"/>
  <c r="DX56" i="2"/>
  <c r="DX54" i="2"/>
  <c r="DX57" i="2"/>
  <c r="DX55" i="2"/>
  <c r="DX53" i="2"/>
  <c r="DX52" i="2"/>
  <c r="DX51" i="2"/>
  <c r="DX50" i="2"/>
  <c r="DX48" i="2"/>
  <c r="DX46" i="2"/>
  <c r="DX49" i="2"/>
  <c r="DX47" i="2"/>
  <c r="DX45" i="2"/>
  <c r="DX44" i="2"/>
  <c r="DX43" i="2"/>
  <c r="EB56" i="2"/>
  <c r="EB54" i="2"/>
  <c r="EB57" i="2"/>
  <c r="EB55" i="2"/>
  <c r="EB53" i="2"/>
  <c r="EB52" i="2"/>
  <c r="EB51" i="2"/>
  <c r="EB50" i="2"/>
  <c r="EB48" i="2"/>
  <c r="EB46" i="2"/>
  <c r="EB49" i="2"/>
  <c r="EB47" i="2"/>
  <c r="EB45" i="2"/>
  <c r="EB44" i="2"/>
  <c r="EB43" i="2"/>
  <c r="DP56" i="2"/>
  <c r="DP54" i="2"/>
  <c r="DP57" i="2"/>
  <c r="DP55" i="2"/>
  <c r="DP53" i="2"/>
  <c r="DP52" i="2"/>
  <c r="DP51" i="2"/>
  <c r="DP50" i="2"/>
  <c r="DP48" i="2"/>
  <c r="DP46" i="2"/>
  <c r="DP49" i="2"/>
  <c r="DP47" i="2"/>
  <c r="DP45" i="2"/>
  <c r="DP44" i="2"/>
  <c r="DP43" i="2"/>
  <c r="DT56" i="2"/>
  <c r="DT54" i="2"/>
  <c r="DT57" i="2"/>
  <c r="DT55" i="2"/>
  <c r="DT53" i="2"/>
  <c r="DT52" i="2"/>
  <c r="DT51" i="2"/>
  <c r="DT50" i="2"/>
  <c r="DT48" i="2"/>
  <c r="DT46" i="2"/>
  <c r="DT49" i="2"/>
  <c r="DT47" i="2"/>
  <c r="DT45" i="2"/>
  <c r="DT44" i="2"/>
  <c r="DT43" i="2"/>
  <c r="EB39" i="2"/>
  <c r="EB29" i="2"/>
  <c r="EB22" i="2"/>
  <c r="EB15" i="2"/>
  <c r="EB25" i="2"/>
  <c r="EB14" i="2"/>
  <c r="EB40" i="2"/>
  <c r="EB30" i="2"/>
  <c r="EB20" i="2"/>
  <c r="EB13" i="2"/>
  <c r="EB21" i="2"/>
  <c r="EB12" i="2"/>
  <c r="EB36" i="2"/>
  <c r="EB31" i="2"/>
  <c r="EB37" i="2"/>
  <c r="EB33" i="2"/>
  <c r="EB28" i="2"/>
  <c r="EB34" i="2"/>
  <c r="EB18" i="2"/>
  <c r="EB19" i="2"/>
  <c r="EB35" i="2"/>
  <c r="EB16" i="2"/>
  <c r="EB17" i="2"/>
  <c r="EC9" i="2"/>
  <c r="EB42" i="2"/>
  <c r="EB38" i="2"/>
  <c r="EB26" i="2"/>
  <c r="EB11" i="2"/>
  <c r="EB10" i="2"/>
  <c r="EB24" i="2"/>
  <c r="EB27" i="2"/>
  <c r="EB41" i="2"/>
  <c r="EB32" i="2"/>
  <c r="EB23" i="2"/>
  <c r="DP39" i="2"/>
  <c r="DP29" i="2"/>
  <c r="DP35" i="2"/>
  <c r="DP41" i="2"/>
  <c r="DP36" i="2"/>
  <c r="DP37" i="2"/>
  <c r="DP33" i="2"/>
  <c r="DP28" i="2"/>
  <c r="DP21" i="2"/>
  <c r="DP12" i="2"/>
  <c r="DP22" i="2"/>
  <c r="DP15" i="2"/>
  <c r="DP27" i="2"/>
  <c r="DP19" i="2"/>
  <c r="DP10" i="2"/>
  <c r="DP20" i="2"/>
  <c r="DP13" i="2"/>
  <c r="DP40" i="2"/>
  <c r="DP31" i="2"/>
  <c r="DP32" i="2"/>
  <c r="DP25" i="2"/>
  <c r="DP26" i="2"/>
  <c r="DP18" i="2"/>
  <c r="DP23" i="2"/>
  <c r="DP24" i="2"/>
  <c r="DP34" i="2"/>
  <c r="DP30" i="2"/>
  <c r="DP42" i="2"/>
  <c r="DP38" i="2"/>
  <c r="DP17" i="2"/>
  <c r="DP11" i="2"/>
  <c r="DP14" i="2"/>
  <c r="DP16" i="2"/>
  <c r="DT34" i="2"/>
  <c r="DT40" i="2"/>
  <c r="DT30" i="2"/>
  <c r="DT41" i="2"/>
  <c r="DT42" i="2"/>
  <c r="DT32" i="2"/>
  <c r="DT38" i="2"/>
  <c r="DT25" i="2"/>
  <c r="DT17" i="2"/>
  <c r="DU9" i="2"/>
  <c r="DT20" i="2"/>
  <c r="DT13" i="2"/>
  <c r="DT23" i="2"/>
  <c r="DT14" i="2"/>
  <c r="DT26" i="2"/>
  <c r="DT18" i="2"/>
  <c r="DT11" i="2"/>
  <c r="DT39" i="2"/>
  <c r="DT35" i="2"/>
  <c r="DT31" i="2"/>
  <c r="DT33" i="2"/>
  <c r="DT21" i="2"/>
  <c r="DT12" i="2"/>
  <c r="DT16" i="2"/>
  <c r="DT19" i="2"/>
  <c r="DT22" i="2"/>
  <c r="DT29" i="2"/>
  <c r="DT36" i="2"/>
  <c r="DT37" i="2"/>
  <c r="DT28" i="2"/>
  <c r="DT24" i="2"/>
  <c r="DT27" i="2"/>
  <c r="DT10" i="2"/>
  <c r="DT15" i="2"/>
  <c r="EF34" i="2"/>
  <c r="EF40" i="2"/>
  <c r="EF30" i="2"/>
  <c r="EF20" i="2"/>
  <c r="EF13" i="2"/>
  <c r="EF21" i="2"/>
  <c r="EF12" i="2"/>
  <c r="EF26" i="2"/>
  <c r="EF18" i="2"/>
  <c r="EF11" i="2"/>
  <c r="EF19" i="2"/>
  <c r="EF10" i="2"/>
  <c r="EF41" i="2"/>
  <c r="EF36" i="2"/>
  <c r="EF37" i="2"/>
  <c r="EF33" i="2"/>
  <c r="EF28" i="2"/>
  <c r="EF39" i="2"/>
  <c r="EF35" i="2"/>
  <c r="EF24" i="2"/>
  <c r="EF27" i="2"/>
  <c r="EK9" i="2"/>
  <c r="EF15" i="2"/>
  <c r="EF14" i="2"/>
  <c r="EF31" i="2"/>
  <c r="EF42" i="2"/>
  <c r="EF38" i="2"/>
  <c r="EF29" i="2"/>
  <c r="EF16" i="2"/>
  <c r="EF17" i="2"/>
  <c r="EF22" i="2"/>
  <c r="EF25" i="2"/>
  <c r="EG9" i="2"/>
  <c r="EF32" i="2"/>
  <c r="EF23" i="2"/>
  <c r="DX39" i="2"/>
  <c r="DX29" i="2"/>
  <c r="DX35" i="2"/>
  <c r="DX26" i="2"/>
  <c r="DX18" i="2"/>
  <c r="DX11" i="2"/>
  <c r="DX19" i="2"/>
  <c r="DX10" i="2"/>
  <c r="DX20" i="2"/>
  <c r="DX13" i="2"/>
  <c r="DX21" i="2"/>
  <c r="DX12" i="2"/>
  <c r="DX41" i="2"/>
  <c r="DX36" i="2"/>
  <c r="DX37" i="2"/>
  <c r="DX33" i="2"/>
  <c r="DX28" i="2"/>
  <c r="DX34" i="2"/>
  <c r="DX30" i="2"/>
  <c r="DX15" i="2"/>
  <c r="DX25" i="2"/>
  <c r="DX24" i="2"/>
  <c r="DX27" i="2"/>
  <c r="DY9" i="2"/>
  <c r="DX42" i="2"/>
  <c r="DX38" i="2"/>
  <c r="DX23" i="2"/>
  <c r="DX40" i="2"/>
  <c r="DX22" i="2"/>
  <c r="DX14" i="2"/>
  <c r="DX16" i="2"/>
  <c r="DX17" i="2"/>
  <c r="DX31" i="2"/>
  <c r="DX32" i="2"/>
  <c r="DY65" i="2"/>
  <c r="DY63" i="2"/>
  <c r="DY64" i="2"/>
  <c r="DY62" i="2"/>
  <c r="DY60" i="2"/>
  <c r="DY61" i="2"/>
  <c r="DY59" i="2"/>
  <c r="DY58" i="2"/>
  <c r="EG65" i="2"/>
  <c r="EG63" i="2"/>
  <c r="EG64" i="2"/>
  <c r="EG62" i="2"/>
  <c r="EG60" i="2"/>
  <c r="EG61" i="2"/>
  <c r="EG59" i="2"/>
  <c r="EG58" i="2"/>
  <c r="EC65" i="2"/>
  <c r="EC63" i="2"/>
  <c r="EC64" i="2"/>
  <c r="EC62" i="2"/>
  <c r="EC60" i="2"/>
  <c r="EC61" i="2"/>
  <c r="EC59" i="2"/>
  <c r="EC58" i="2"/>
  <c r="EK65" i="2"/>
  <c r="EK63" i="2"/>
  <c r="EK64" i="2"/>
  <c r="EK62" i="2"/>
  <c r="EK60" i="2"/>
  <c r="EK61" i="2"/>
  <c r="EK59" i="2"/>
  <c r="EK58" i="2"/>
  <c r="DU65" i="2"/>
  <c r="DU63" i="2"/>
  <c r="DU64" i="2"/>
  <c r="DU62" i="2"/>
  <c r="DU60" i="2"/>
  <c r="DU61" i="2"/>
  <c r="DU59" i="2"/>
  <c r="DU58" i="2"/>
  <c r="EG57" i="2"/>
  <c r="EG55" i="2"/>
  <c r="EG56" i="2"/>
  <c r="EG52" i="2"/>
  <c r="EG54" i="2"/>
  <c r="EG53" i="2"/>
  <c r="EG51" i="2"/>
  <c r="EG49" i="2"/>
  <c r="EG47" i="2"/>
  <c r="EG45" i="2"/>
  <c r="EG50" i="2"/>
  <c r="EG48" i="2"/>
  <c r="EG46" i="2"/>
  <c r="EG43" i="2"/>
  <c r="EG44" i="2"/>
  <c r="EC57" i="2"/>
  <c r="EC55" i="2"/>
  <c r="EC56" i="2"/>
  <c r="EC52" i="2"/>
  <c r="EC54" i="2"/>
  <c r="EC53" i="2"/>
  <c r="EC51" i="2"/>
  <c r="EC49" i="2"/>
  <c r="EC47" i="2"/>
  <c r="EC45" i="2"/>
  <c r="EC50" i="2"/>
  <c r="EC48" i="2"/>
  <c r="EC46" i="2"/>
  <c r="EC43" i="2"/>
  <c r="EC44" i="2"/>
  <c r="DY57" i="2"/>
  <c r="DY55" i="2"/>
  <c r="DY56" i="2"/>
  <c r="DY52" i="2"/>
  <c r="DY54" i="2"/>
  <c r="DY53" i="2"/>
  <c r="DY51" i="2"/>
  <c r="DY49" i="2"/>
  <c r="DY47" i="2"/>
  <c r="DY45" i="2"/>
  <c r="DY50" i="2"/>
  <c r="DY48" i="2"/>
  <c r="DY46" i="2"/>
  <c r="DY43" i="2"/>
  <c r="DY44" i="2"/>
  <c r="EK57" i="2"/>
  <c r="EK55" i="2"/>
  <c r="EK56" i="2"/>
  <c r="EK52" i="2"/>
  <c r="EK54" i="2"/>
  <c r="EK53" i="2"/>
  <c r="EK51" i="2"/>
  <c r="EK49" i="2"/>
  <c r="EK47" i="2"/>
  <c r="EK45" i="2"/>
  <c r="EK50" i="2"/>
  <c r="EK48" i="2"/>
  <c r="EK46" i="2"/>
  <c r="EK44" i="2"/>
  <c r="EK43" i="2"/>
  <c r="DU57" i="2"/>
  <c r="DU55" i="2"/>
  <c r="DU56" i="2"/>
  <c r="DU52" i="2"/>
  <c r="DU54" i="2"/>
  <c r="DU53" i="2"/>
  <c r="DU51" i="2"/>
  <c r="DU49" i="2"/>
  <c r="DU47" i="2"/>
  <c r="DU45" i="2"/>
  <c r="DU50" i="2"/>
  <c r="DU48" i="2"/>
  <c r="DU46" i="2"/>
  <c r="DU43" i="2"/>
  <c r="DU44" i="2"/>
  <c r="EK34" i="2"/>
  <c r="EK40" i="2"/>
  <c r="EK30" i="2"/>
  <c r="EK21" i="2"/>
  <c r="EK12" i="2"/>
  <c r="EK26" i="2"/>
  <c r="EK18" i="2"/>
  <c r="EK11" i="2"/>
  <c r="EK19" i="2"/>
  <c r="EK10" i="2"/>
  <c r="EK24" i="2"/>
  <c r="EK16" i="2"/>
  <c r="EK36" i="2"/>
  <c r="EK31" i="2"/>
  <c r="EK42" i="2"/>
  <c r="EK37" i="2"/>
  <c r="EK32" i="2"/>
  <c r="EK29" i="2"/>
  <c r="EK27" i="2"/>
  <c r="EP9" i="2"/>
  <c r="EK15" i="2"/>
  <c r="EK14" i="2"/>
  <c r="EL9" i="2"/>
  <c r="EK13" i="2"/>
  <c r="EK38" i="2"/>
  <c r="EK28" i="2"/>
  <c r="EK39" i="2"/>
  <c r="EK35" i="2"/>
  <c r="EK17" i="2"/>
  <c r="EK22" i="2"/>
  <c r="EK25" i="2"/>
  <c r="EK20" i="2"/>
  <c r="EK41" i="2"/>
  <c r="EK33" i="2"/>
  <c r="EK23" i="2"/>
  <c r="DU39" i="2"/>
  <c r="DU29" i="2"/>
  <c r="DU35" i="2"/>
  <c r="DU36" i="2"/>
  <c r="DU31" i="2"/>
  <c r="DU42" i="2"/>
  <c r="DU37" i="2"/>
  <c r="DU32" i="2"/>
  <c r="DU22" i="2"/>
  <c r="DU15" i="2"/>
  <c r="DU25" i="2"/>
  <c r="DU17" i="2"/>
  <c r="DU24" i="2"/>
  <c r="DU16" i="2"/>
  <c r="DU27" i="2"/>
  <c r="DU19" i="2"/>
  <c r="DU10" i="2"/>
  <c r="DU34" i="2"/>
  <c r="DU30" i="2"/>
  <c r="DU38" i="2"/>
  <c r="DU28" i="2"/>
  <c r="DU26" i="2"/>
  <c r="DU11" i="2"/>
  <c r="DU12" i="2"/>
  <c r="DU13" i="2"/>
  <c r="DU14" i="2"/>
  <c r="DU40" i="2"/>
  <c r="DU41" i="2"/>
  <c r="DU33" i="2"/>
  <c r="DU18" i="2"/>
  <c r="DU21" i="2"/>
  <c r="DU20" i="2"/>
  <c r="DU23" i="2"/>
  <c r="DY34" i="2"/>
  <c r="DY40" i="2"/>
  <c r="DY30" i="2"/>
  <c r="DY31" i="2"/>
  <c r="DY21" i="2"/>
  <c r="DY12" i="2"/>
  <c r="DY22" i="2"/>
  <c r="DY15" i="2"/>
  <c r="DY36" i="2"/>
  <c r="DY19" i="2"/>
  <c r="DY10" i="2"/>
  <c r="DY20" i="2"/>
  <c r="DY13" i="2"/>
  <c r="DY38" i="2"/>
  <c r="DY32" i="2"/>
  <c r="DY42" i="2"/>
  <c r="DY23" i="2"/>
  <c r="DY29" i="2"/>
  <c r="DY41" i="2"/>
  <c r="DY17" i="2"/>
  <c r="DY18" i="2"/>
  <c r="DY11" i="2"/>
  <c r="DY14" i="2"/>
  <c r="DY16" i="2"/>
  <c r="DY33" i="2"/>
  <c r="DY28" i="2"/>
  <c r="DY39" i="2"/>
  <c r="DY35" i="2"/>
  <c r="DY27" i="2"/>
  <c r="DY26" i="2"/>
  <c r="DY25" i="2"/>
  <c r="DY24" i="2"/>
  <c r="DZ9" i="2"/>
  <c r="DY37" i="2"/>
  <c r="EG34" i="2"/>
  <c r="EG40" i="2"/>
  <c r="EG30" i="2"/>
  <c r="EG21" i="2"/>
  <c r="EG12" i="2"/>
  <c r="EG24" i="2"/>
  <c r="EG16" i="2"/>
  <c r="EG25" i="2"/>
  <c r="EG14" i="2"/>
  <c r="EG26" i="2"/>
  <c r="EG18" i="2"/>
  <c r="EG11" i="2"/>
  <c r="EG31" i="2"/>
  <c r="EG38" i="2"/>
  <c r="EG32" i="2"/>
  <c r="EG42" i="2"/>
  <c r="EG23" i="2"/>
  <c r="EG39" i="2"/>
  <c r="EG35" i="2"/>
  <c r="EG17" i="2"/>
  <c r="EH9" i="2"/>
  <c r="EG13" i="2"/>
  <c r="EG10" i="2"/>
  <c r="EG15" i="2"/>
  <c r="EG36" i="2"/>
  <c r="EG33" i="2"/>
  <c r="EG37" i="2"/>
  <c r="EG29" i="2"/>
  <c r="EG27" i="2"/>
  <c r="EG20" i="2"/>
  <c r="EG19" i="2"/>
  <c r="EG22" i="2"/>
  <c r="EG41" i="2"/>
  <c r="EG28" i="2"/>
  <c r="EC34" i="2"/>
  <c r="EC40" i="2"/>
  <c r="EC30" i="2"/>
  <c r="EC21" i="2"/>
  <c r="EC12" i="2"/>
  <c r="EC22" i="2"/>
  <c r="EC15" i="2"/>
  <c r="EC25" i="2"/>
  <c r="EC14" i="2"/>
  <c r="EC24" i="2"/>
  <c r="EC16" i="2"/>
  <c r="ED9" i="2"/>
  <c r="EC41" i="2"/>
  <c r="EC38" i="2"/>
  <c r="EC33" i="2"/>
  <c r="EC28" i="2"/>
  <c r="EC23" i="2"/>
  <c r="EC39" i="2"/>
  <c r="EC35" i="2"/>
  <c r="EC17" i="2"/>
  <c r="EC18" i="2"/>
  <c r="EC19" i="2"/>
  <c r="EC20" i="2"/>
  <c r="EC13" i="2"/>
  <c r="EC31" i="2"/>
  <c r="EC37" i="2"/>
  <c r="EC29" i="2"/>
  <c r="EC27" i="2"/>
  <c r="EC26" i="2"/>
  <c r="EC11" i="2"/>
  <c r="EC10" i="2"/>
  <c r="EC36" i="2"/>
  <c r="EC42" i="2"/>
  <c r="EC32" i="2"/>
  <c r="ED64" i="2"/>
  <c r="ED62" i="2"/>
  <c r="ED65" i="2"/>
  <c r="ED63" i="2"/>
  <c r="ED61" i="2"/>
  <c r="ED59" i="2"/>
  <c r="ED60" i="2"/>
  <c r="ED58" i="2"/>
  <c r="EP64" i="2"/>
  <c r="EP62" i="2"/>
  <c r="EP65" i="2"/>
  <c r="EP63" i="2"/>
  <c r="EP61" i="2"/>
  <c r="EP59" i="2"/>
  <c r="EP60" i="2"/>
  <c r="EP58" i="2"/>
  <c r="EH64" i="2"/>
  <c r="EH62" i="2"/>
  <c r="EH65" i="2"/>
  <c r="EH63" i="2"/>
  <c r="EH61" i="2"/>
  <c r="EH59" i="2"/>
  <c r="EH60" i="2"/>
  <c r="EH58" i="2"/>
  <c r="DZ64" i="2"/>
  <c r="DZ62" i="2"/>
  <c r="DZ65" i="2"/>
  <c r="DZ63" i="2"/>
  <c r="DZ61" i="2"/>
  <c r="DZ59" i="2"/>
  <c r="DZ60" i="2"/>
  <c r="DZ58" i="2"/>
  <c r="EL64" i="2"/>
  <c r="EL62" i="2"/>
  <c r="EL65" i="2"/>
  <c r="EL63" i="2"/>
  <c r="EL61" i="2"/>
  <c r="EL59" i="2"/>
  <c r="EL60" i="2"/>
  <c r="EL58" i="2"/>
  <c r="ED56" i="2"/>
  <c r="ED54" i="2"/>
  <c r="ED57" i="2"/>
  <c r="ED53" i="2"/>
  <c r="ED55" i="2"/>
  <c r="ED52" i="2"/>
  <c r="ED50" i="2"/>
  <c r="ED48" i="2"/>
  <c r="ED46" i="2"/>
  <c r="ED51" i="2"/>
  <c r="ED49" i="2"/>
  <c r="ED47" i="2"/>
  <c r="ED45" i="2"/>
  <c r="ED44" i="2"/>
  <c r="ED43" i="2"/>
  <c r="EP56" i="2"/>
  <c r="EP54" i="2"/>
  <c r="EP57" i="2"/>
  <c r="EP53" i="2"/>
  <c r="EP55" i="2"/>
  <c r="EP52" i="2"/>
  <c r="EP50" i="2"/>
  <c r="EP48" i="2"/>
  <c r="EP46" i="2"/>
  <c r="EP44" i="2"/>
  <c r="EP51" i="2"/>
  <c r="EP49" i="2"/>
  <c r="EP47" i="2"/>
  <c r="EP45" i="2"/>
  <c r="EP43" i="2"/>
  <c r="EH56" i="2"/>
  <c r="EH54" i="2"/>
  <c r="EH57" i="2"/>
  <c r="EH53" i="2"/>
  <c r="EH55" i="2"/>
  <c r="EH52" i="2"/>
  <c r="EH50" i="2"/>
  <c r="EH48" i="2"/>
  <c r="EH46" i="2"/>
  <c r="EH51" i="2"/>
  <c r="EH49" i="2"/>
  <c r="EH47" i="2"/>
  <c r="EH45" i="2"/>
  <c r="EH44" i="2"/>
  <c r="EH43" i="2"/>
  <c r="DZ56" i="2"/>
  <c r="DZ54" i="2"/>
  <c r="DZ57" i="2"/>
  <c r="DZ53" i="2"/>
  <c r="DZ55" i="2"/>
  <c r="DZ52" i="2"/>
  <c r="DZ50" i="2"/>
  <c r="DZ48" i="2"/>
  <c r="DZ46" i="2"/>
  <c r="DZ51" i="2"/>
  <c r="DZ49" i="2"/>
  <c r="DZ47" i="2"/>
  <c r="DZ45" i="2"/>
  <c r="DZ44" i="2"/>
  <c r="DZ43" i="2"/>
  <c r="EL56" i="2"/>
  <c r="EL54" i="2"/>
  <c r="EL57" i="2"/>
  <c r="EL53" i="2"/>
  <c r="EL55" i="2"/>
  <c r="EL52" i="2"/>
  <c r="EL50" i="2"/>
  <c r="EL48" i="2"/>
  <c r="EL46" i="2"/>
  <c r="EL51" i="2"/>
  <c r="EL49" i="2"/>
  <c r="EL47" i="2"/>
  <c r="EL45" i="2"/>
  <c r="EL44" i="2"/>
  <c r="EL43" i="2"/>
  <c r="EH34" i="2"/>
  <c r="EH40" i="2"/>
  <c r="EH30" i="2"/>
  <c r="EH31" i="2"/>
  <c r="EH22" i="2"/>
  <c r="EH15" i="2"/>
  <c r="EH25" i="2"/>
  <c r="EH14" i="2"/>
  <c r="EH36" i="2"/>
  <c r="EH20" i="2"/>
  <c r="EH13" i="2"/>
  <c r="EH21" i="2"/>
  <c r="EH12" i="2"/>
  <c r="EH38" i="2"/>
  <c r="EH37" i="2"/>
  <c r="EH32" i="2"/>
  <c r="EH23" i="2"/>
  <c r="EH39" i="2"/>
  <c r="EH35" i="2"/>
  <c r="EH26" i="2"/>
  <c r="EH11" i="2"/>
  <c r="EH19" i="2"/>
  <c r="EH24" i="2"/>
  <c r="EH27" i="2"/>
  <c r="EI9" i="2"/>
  <c r="EH28" i="2"/>
  <c r="EH29" i="2"/>
  <c r="EH41" i="2"/>
  <c r="EH18" i="2"/>
  <c r="EH10" i="2"/>
  <c r="EH16" i="2"/>
  <c r="EH17" i="2"/>
  <c r="EH42" i="2"/>
  <c r="EH33" i="2"/>
  <c r="DZ34" i="2"/>
  <c r="DZ40" i="2"/>
  <c r="DZ30" i="2"/>
  <c r="DZ31" i="2"/>
  <c r="DZ26" i="2"/>
  <c r="DZ18" i="2"/>
  <c r="DZ11" i="2"/>
  <c r="DZ19" i="2"/>
  <c r="DZ10" i="2"/>
  <c r="DZ24" i="2"/>
  <c r="DZ16" i="2"/>
  <c r="DZ27" i="2"/>
  <c r="DZ17" i="2"/>
  <c r="DZ38" i="2"/>
  <c r="DZ28" i="2"/>
  <c r="DZ33" i="2"/>
  <c r="DZ39" i="2"/>
  <c r="DZ35" i="2"/>
  <c r="DZ36" i="2"/>
  <c r="DZ22" i="2"/>
  <c r="DZ25" i="2"/>
  <c r="DZ42" i="2"/>
  <c r="DZ13" i="2"/>
  <c r="DZ12" i="2"/>
  <c r="DZ32" i="2"/>
  <c r="DZ29" i="2"/>
  <c r="DZ41" i="2"/>
  <c r="DZ15" i="2"/>
  <c r="DZ14" i="2"/>
  <c r="DZ20" i="2"/>
  <c r="DZ21" i="2"/>
  <c r="DZ37" i="2"/>
  <c r="DZ23" i="2"/>
  <c r="EL34" i="2"/>
  <c r="EL30" i="2"/>
  <c r="EL35" i="2"/>
  <c r="EL26" i="2"/>
  <c r="EL18" i="2"/>
  <c r="EL11" i="2"/>
  <c r="EL19" i="2"/>
  <c r="EL10" i="2"/>
  <c r="EL31" i="2"/>
  <c r="EL20" i="2"/>
  <c r="EL13" i="2"/>
  <c r="EL21" i="2"/>
  <c r="EL12" i="2"/>
  <c r="EL38" i="2"/>
  <c r="EL42" i="2"/>
  <c r="EL37" i="2"/>
  <c r="EL23" i="2"/>
  <c r="EL39" i="2"/>
  <c r="EL29" i="2"/>
  <c r="EL40" i="2"/>
  <c r="EL36" i="2"/>
  <c r="EL22" i="2"/>
  <c r="EL25" i="2"/>
  <c r="EL14" i="2"/>
  <c r="EL24" i="2"/>
  <c r="EL27" i="2"/>
  <c r="EM9" i="2"/>
  <c r="EL33" i="2"/>
  <c r="EL15" i="2"/>
  <c r="EL41" i="2"/>
  <c r="EL16" i="2"/>
  <c r="EL17" i="2"/>
  <c r="EL28" i="2"/>
  <c r="EL32" i="2"/>
  <c r="ED39" i="2"/>
  <c r="ED29" i="2"/>
  <c r="ED40" i="2"/>
  <c r="ED36" i="2"/>
  <c r="ED22" i="2"/>
  <c r="ED15" i="2"/>
  <c r="ED25" i="2"/>
  <c r="ED14" i="2"/>
  <c r="ED41" i="2"/>
  <c r="ED24" i="2"/>
  <c r="ED16" i="2"/>
  <c r="ED27" i="2"/>
  <c r="ED17" i="2"/>
  <c r="EE9" i="2"/>
  <c r="ED38" i="2"/>
  <c r="ED33" i="2"/>
  <c r="ED32" i="2"/>
  <c r="ED34" i="2"/>
  <c r="ED35" i="2"/>
  <c r="ED18" i="2"/>
  <c r="ED19" i="2"/>
  <c r="ED31" i="2"/>
  <c r="ED13" i="2"/>
  <c r="ED12" i="2"/>
  <c r="ED28" i="2"/>
  <c r="ED23" i="2"/>
  <c r="ED30" i="2"/>
  <c r="ED26" i="2"/>
  <c r="ED11" i="2"/>
  <c r="ED10" i="2"/>
  <c r="ED20" i="2"/>
  <c r="ED21" i="2"/>
  <c r="ED42" i="2"/>
  <c r="ED37" i="2"/>
  <c r="EP34" i="2"/>
  <c r="EP40" i="2"/>
  <c r="EP30" i="2"/>
  <c r="EP31" i="2"/>
  <c r="EP22" i="2"/>
  <c r="EP15" i="2"/>
  <c r="EP25" i="2"/>
  <c r="EP14" i="2"/>
  <c r="EP36" i="2"/>
  <c r="EP20" i="2"/>
  <c r="EP13" i="2"/>
  <c r="EP21" i="2"/>
  <c r="EP12" i="2"/>
  <c r="EP38" i="2"/>
  <c r="EP37" i="2"/>
  <c r="EP32" i="2"/>
  <c r="EP23" i="2"/>
  <c r="EP39" i="2"/>
  <c r="EP35" i="2"/>
  <c r="EP41" i="2"/>
  <c r="EP18" i="2"/>
  <c r="EP19" i="2"/>
  <c r="EP24" i="2"/>
  <c r="EP27" i="2"/>
  <c r="EQ9" i="2"/>
  <c r="EP28" i="2"/>
  <c r="EP29" i="2"/>
  <c r="EP26" i="2"/>
  <c r="EP11" i="2"/>
  <c r="EP10" i="2"/>
  <c r="EP16" i="2"/>
  <c r="EP17" i="2"/>
  <c r="EP42" i="2"/>
  <c r="EP33" i="2"/>
  <c r="EQ65" i="2"/>
  <c r="EQ63" i="2"/>
  <c r="EQ64" i="2"/>
  <c r="EQ62" i="2"/>
  <c r="EQ60" i="2"/>
  <c r="EQ61" i="2"/>
  <c r="EQ59" i="2"/>
  <c r="EQ58" i="2"/>
  <c r="EM65" i="2"/>
  <c r="EM63" i="2"/>
  <c r="EM64" i="2"/>
  <c r="EM62" i="2"/>
  <c r="EM60" i="2"/>
  <c r="EM61" i="2"/>
  <c r="EM59" i="2"/>
  <c r="EM58" i="2"/>
  <c r="EE65" i="2"/>
  <c r="EE63" i="2"/>
  <c r="EE64" i="2"/>
  <c r="EE62" i="2"/>
  <c r="EE60" i="2"/>
  <c r="EE61" i="2"/>
  <c r="EE59" i="2"/>
  <c r="EE58" i="2"/>
  <c r="EI65" i="2"/>
  <c r="EI63" i="2"/>
  <c r="EI64" i="2"/>
  <c r="EI62" i="2"/>
  <c r="EI60" i="2"/>
  <c r="EI61" i="2"/>
  <c r="EI59" i="2"/>
  <c r="EI58" i="2"/>
  <c r="EQ57" i="2"/>
  <c r="EQ55" i="2"/>
  <c r="EQ56" i="2"/>
  <c r="EQ54" i="2"/>
  <c r="EQ52" i="2"/>
  <c r="EQ53" i="2"/>
  <c r="EQ51" i="2"/>
  <c r="EQ49" i="2"/>
  <c r="EQ47" i="2"/>
  <c r="EQ45" i="2"/>
  <c r="EQ50" i="2"/>
  <c r="EQ48" i="2"/>
  <c r="EQ46" i="2"/>
  <c r="EQ44" i="2"/>
  <c r="EQ43" i="2"/>
  <c r="EM57" i="2"/>
  <c r="EM55" i="2"/>
  <c r="EM56" i="2"/>
  <c r="EM54" i="2"/>
  <c r="EM52" i="2"/>
  <c r="EM53" i="2"/>
  <c r="EM51" i="2"/>
  <c r="EM49" i="2"/>
  <c r="EM47" i="2"/>
  <c r="EM45" i="2"/>
  <c r="EM50" i="2"/>
  <c r="EM48" i="2"/>
  <c r="EM46" i="2"/>
  <c r="EM44" i="2"/>
  <c r="EM43" i="2"/>
  <c r="EE57" i="2"/>
  <c r="EE55" i="2"/>
  <c r="EE56" i="2"/>
  <c r="EE54" i="2"/>
  <c r="EE52" i="2"/>
  <c r="EE53" i="2"/>
  <c r="EE51" i="2"/>
  <c r="EE49" i="2"/>
  <c r="EE47" i="2"/>
  <c r="EE45" i="2"/>
  <c r="EE50" i="2"/>
  <c r="EE48" i="2"/>
  <c r="EE46" i="2"/>
  <c r="EE43" i="2"/>
  <c r="EE44" i="2"/>
  <c r="EI57" i="2"/>
  <c r="EI55" i="2"/>
  <c r="EI56" i="2"/>
  <c r="EI54" i="2"/>
  <c r="EI52" i="2"/>
  <c r="EI53" i="2"/>
  <c r="EI51" i="2"/>
  <c r="EI49" i="2"/>
  <c r="EI47" i="2"/>
  <c r="EI45" i="2"/>
  <c r="EI50" i="2"/>
  <c r="EI48" i="2"/>
  <c r="EI46" i="2"/>
  <c r="EI43" i="2"/>
  <c r="EI44" i="2"/>
  <c r="EE34" i="2"/>
  <c r="EE35" i="2"/>
  <c r="EE40" i="2"/>
  <c r="EE41" i="2"/>
  <c r="EE25" i="2"/>
  <c r="EE14" i="2"/>
  <c r="EE24" i="2"/>
  <c r="EE16" i="2"/>
  <c r="EE27" i="2"/>
  <c r="EE17" i="2"/>
  <c r="EE26" i="2"/>
  <c r="EE18" i="2"/>
  <c r="EE11" i="2"/>
  <c r="EE37" i="2"/>
  <c r="EE38" i="2"/>
  <c r="EE28" i="2"/>
  <c r="EE29" i="2"/>
  <c r="EE30" i="2"/>
  <c r="EE31" i="2"/>
  <c r="EE10" i="2"/>
  <c r="EE13" i="2"/>
  <c r="EE12" i="2"/>
  <c r="EE15" i="2"/>
  <c r="EE42" i="2"/>
  <c r="EE33" i="2"/>
  <c r="EE39" i="2"/>
  <c r="EE36" i="2"/>
  <c r="EE19" i="2"/>
  <c r="EE20" i="2"/>
  <c r="EE21" i="2"/>
  <c r="EE22" i="2"/>
  <c r="EE32" i="2"/>
  <c r="EE23" i="2"/>
  <c r="EI34" i="2"/>
  <c r="EI35" i="2"/>
  <c r="EI40" i="2"/>
  <c r="EI41" i="2"/>
  <c r="EI25" i="2"/>
  <c r="EI14" i="2"/>
  <c r="EI26" i="2"/>
  <c r="EI18" i="2"/>
  <c r="EI11" i="2"/>
  <c r="EI21" i="2"/>
  <c r="EI12" i="2"/>
  <c r="EI24" i="2"/>
  <c r="EI16" i="2"/>
  <c r="EI38" i="2"/>
  <c r="EI33" i="2"/>
  <c r="EI28" i="2"/>
  <c r="EI23" i="2"/>
  <c r="EI39" i="2"/>
  <c r="EI29" i="2"/>
  <c r="EI30" i="2"/>
  <c r="EI36" i="2"/>
  <c r="EI31" i="2"/>
  <c r="EI19" i="2"/>
  <c r="EI10" i="2"/>
  <c r="EI22" i="2"/>
  <c r="EI15" i="2"/>
  <c r="EI27" i="2"/>
  <c r="EI17" i="2"/>
  <c r="EJ9" i="2"/>
  <c r="EI20" i="2"/>
  <c r="EI13" i="2"/>
  <c r="EI42" i="2"/>
  <c r="EI37" i="2"/>
  <c r="EI32" i="2"/>
  <c r="EQ34" i="2"/>
  <c r="EQ35" i="2"/>
  <c r="EQ40" i="2"/>
  <c r="EQ31" i="2"/>
  <c r="EQ27" i="2"/>
  <c r="EQ17" i="2"/>
  <c r="ER9" i="2"/>
  <c r="EQ20" i="2"/>
  <c r="EQ13" i="2"/>
  <c r="EQ19" i="2"/>
  <c r="EQ10" i="2"/>
  <c r="EQ22" i="2"/>
  <c r="EQ15" i="2"/>
  <c r="EQ38" i="2"/>
  <c r="EQ33" i="2"/>
  <c r="EQ28" i="2"/>
  <c r="EQ23" i="2"/>
  <c r="EQ39" i="2"/>
  <c r="EQ29" i="2"/>
  <c r="EQ30" i="2"/>
  <c r="EQ41" i="2"/>
  <c r="EQ36" i="2"/>
  <c r="EQ21" i="2"/>
  <c r="EQ12" i="2"/>
  <c r="EQ24" i="2"/>
  <c r="EQ16" i="2"/>
  <c r="EQ25" i="2"/>
  <c r="EQ14" i="2"/>
  <c r="EQ26" i="2"/>
  <c r="EQ18" i="2"/>
  <c r="EQ11" i="2"/>
  <c r="EQ42" i="2"/>
  <c r="EQ37" i="2"/>
  <c r="EQ32" i="2"/>
  <c r="EM34" i="2"/>
  <c r="EM35" i="2"/>
  <c r="EM40" i="2"/>
  <c r="EM41" i="2"/>
  <c r="EM27" i="2"/>
  <c r="EM17" i="2"/>
  <c r="EN9" i="2"/>
  <c r="EM20" i="2"/>
  <c r="EM13" i="2"/>
  <c r="EM19" i="2"/>
  <c r="EM10" i="2"/>
  <c r="EM22" i="2"/>
  <c r="EM15" i="2"/>
  <c r="EM42" i="2"/>
  <c r="EM32" i="2"/>
  <c r="EM33" i="2"/>
  <c r="EM23" i="2"/>
  <c r="EM26" i="2"/>
  <c r="EM37" i="2"/>
  <c r="EM28" i="2"/>
  <c r="EM39" i="2"/>
  <c r="EM29" i="2"/>
  <c r="EM30" i="2"/>
  <c r="EM36" i="2"/>
  <c r="EM31" i="2"/>
  <c r="EM21" i="2"/>
  <c r="EM12" i="2"/>
  <c r="EM24" i="2"/>
  <c r="EM16" i="2"/>
  <c r="EM25" i="2"/>
  <c r="EM14" i="2"/>
  <c r="EM18" i="2"/>
  <c r="EM11" i="2"/>
  <c r="EM38" i="2"/>
  <c r="EN64" i="2"/>
  <c r="EN62" i="2"/>
  <c r="EN65" i="2"/>
  <c r="EN63" i="2"/>
  <c r="EN61" i="2"/>
  <c r="EN59" i="2"/>
  <c r="EN60" i="2"/>
  <c r="EN58" i="2"/>
  <c r="ER64" i="2"/>
  <c r="ER62" i="2"/>
  <c r="ER65" i="2"/>
  <c r="ER63" i="2"/>
  <c r="ER61" i="2"/>
  <c r="ER59" i="2"/>
  <c r="ER60" i="2"/>
  <c r="ER58" i="2"/>
  <c r="EJ64" i="2"/>
  <c r="EJ62" i="2"/>
  <c r="EJ65" i="2"/>
  <c r="EJ63" i="2"/>
  <c r="EJ61" i="2"/>
  <c r="EJ59" i="2"/>
  <c r="EJ60" i="2"/>
  <c r="EJ58" i="2"/>
  <c r="EN56" i="2"/>
  <c r="EN54" i="2"/>
  <c r="EN57" i="2"/>
  <c r="EN55" i="2"/>
  <c r="EN53" i="2"/>
  <c r="EN52" i="2"/>
  <c r="EN51" i="2"/>
  <c r="EN50" i="2"/>
  <c r="EN48" i="2"/>
  <c r="EN46" i="2"/>
  <c r="EN44" i="2"/>
  <c r="EN49" i="2"/>
  <c r="EN47" i="2"/>
  <c r="EN45" i="2"/>
  <c r="EN43" i="2"/>
  <c r="ER56" i="2"/>
  <c r="ER54" i="2"/>
  <c r="ER57" i="2"/>
  <c r="ER55" i="2"/>
  <c r="ER53" i="2"/>
  <c r="ER52" i="2"/>
  <c r="ER51" i="2"/>
  <c r="ER50" i="2"/>
  <c r="ER48" i="2"/>
  <c r="ER46" i="2"/>
  <c r="ER44" i="2"/>
  <c r="ER49" i="2"/>
  <c r="ER47" i="2"/>
  <c r="ER45" i="2"/>
  <c r="ER43" i="2"/>
  <c r="EJ56" i="2"/>
  <c r="EJ54" i="2"/>
  <c r="EJ57" i="2"/>
  <c r="EJ55" i="2"/>
  <c r="EJ53" i="2"/>
  <c r="EJ52" i="2"/>
  <c r="EJ51" i="2"/>
  <c r="EJ50" i="2"/>
  <c r="EJ48" i="2"/>
  <c r="EJ46" i="2"/>
  <c r="EJ49" i="2"/>
  <c r="EJ47" i="2"/>
  <c r="EJ45" i="2"/>
  <c r="EJ44" i="2"/>
  <c r="EJ43" i="2"/>
  <c r="EN39" i="2"/>
  <c r="EN29" i="2"/>
  <c r="EN35" i="2"/>
  <c r="EN41" i="2"/>
  <c r="EN36" i="2"/>
  <c r="EN37" i="2"/>
  <c r="EN33" i="2"/>
  <c r="EN20" i="2"/>
  <c r="EN13" i="2"/>
  <c r="EN23" i="2"/>
  <c r="EN14" i="2"/>
  <c r="EN38" i="2"/>
  <c r="EN26" i="2"/>
  <c r="EN18" i="2"/>
  <c r="EN11" i="2"/>
  <c r="EN21" i="2"/>
  <c r="EN12" i="2"/>
  <c r="EN10" i="2"/>
  <c r="EN22" i="2"/>
  <c r="EN25" i="2"/>
  <c r="EO9" i="2"/>
  <c r="EN34" i="2"/>
  <c r="EN40" i="2"/>
  <c r="EN30" i="2"/>
  <c r="EN31" i="2"/>
  <c r="EN42" i="2"/>
  <c r="EN32" i="2"/>
  <c r="EN24" i="2"/>
  <c r="EN16" i="2"/>
  <c r="EN27" i="2"/>
  <c r="EN19" i="2"/>
  <c r="EN28" i="2"/>
  <c r="EN15" i="2"/>
  <c r="EN17" i="2"/>
  <c r="ER39" i="2"/>
  <c r="ER29" i="2"/>
  <c r="ER35" i="2"/>
  <c r="ER36" i="2"/>
  <c r="ER31" i="2"/>
  <c r="ER32" i="2"/>
  <c r="ER33" i="2"/>
  <c r="ER22" i="2"/>
  <c r="ER15" i="2"/>
  <c r="ER25" i="2"/>
  <c r="ER17" i="2"/>
  <c r="ES9" i="2"/>
  <c r="ER28" i="2"/>
  <c r="ER20" i="2"/>
  <c r="ER13" i="2"/>
  <c r="ER23" i="2"/>
  <c r="ER14" i="2"/>
  <c r="ER40" i="2"/>
  <c r="ER41" i="2"/>
  <c r="ER37" i="2"/>
  <c r="ER26" i="2"/>
  <c r="ER18" i="2"/>
  <c r="ER21" i="2"/>
  <c r="ER38" i="2"/>
  <c r="ER16" i="2"/>
  <c r="ER19" i="2"/>
  <c r="ER34" i="2"/>
  <c r="ER30" i="2"/>
  <c r="ER42" i="2"/>
  <c r="ER11" i="2"/>
  <c r="ER12" i="2"/>
  <c r="ER24" i="2"/>
  <c r="ER27" i="2"/>
  <c r="ER10" i="2"/>
  <c r="EJ34" i="2"/>
  <c r="EJ40" i="2"/>
  <c r="EJ30" i="2"/>
  <c r="EJ41" i="2"/>
  <c r="EJ37" i="2"/>
  <c r="EJ42" i="2"/>
  <c r="EJ24" i="2"/>
  <c r="EJ16" i="2"/>
  <c r="EJ27" i="2"/>
  <c r="EJ19" i="2"/>
  <c r="EJ10" i="2"/>
  <c r="EJ28" i="2"/>
  <c r="EJ22" i="2"/>
  <c r="EJ15" i="2"/>
  <c r="EJ25" i="2"/>
  <c r="EJ17" i="2"/>
  <c r="EJ39" i="2"/>
  <c r="EJ29" i="2"/>
  <c r="EJ35" i="2"/>
  <c r="EJ36" i="2"/>
  <c r="EJ31" i="2"/>
  <c r="EJ32" i="2"/>
  <c r="EJ33" i="2"/>
  <c r="EJ20" i="2"/>
  <c r="EJ13" i="2"/>
  <c r="EJ23" i="2"/>
  <c r="EJ14" i="2"/>
  <c r="EJ38" i="2"/>
  <c r="EJ26" i="2"/>
  <c r="EJ18" i="2"/>
  <c r="EJ11" i="2"/>
  <c r="EJ21" i="2"/>
  <c r="EJ12" i="2"/>
  <c r="ES65" i="2"/>
  <c r="ES63" i="2"/>
  <c r="ES64" i="2"/>
  <c r="ES62" i="2"/>
  <c r="ES60" i="2"/>
  <c r="ES61" i="2"/>
  <c r="ES59" i="2"/>
  <c r="ES58" i="2"/>
  <c r="EO65" i="2"/>
  <c r="EO63" i="2"/>
  <c r="EO64" i="2"/>
  <c r="EO62" i="2"/>
  <c r="EO60" i="2"/>
  <c r="EO61" i="2"/>
  <c r="EO59" i="2"/>
  <c r="EO58" i="2"/>
  <c r="ES57" i="2"/>
  <c r="ES55" i="2"/>
  <c r="ES56" i="2"/>
  <c r="ES52" i="2"/>
  <c r="ES54" i="2"/>
  <c r="ES53" i="2"/>
  <c r="ES51" i="2"/>
  <c r="ES49" i="2"/>
  <c r="ES47" i="2"/>
  <c r="ES45" i="2"/>
  <c r="ES50" i="2"/>
  <c r="ES48" i="2"/>
  <c r="ES46" i="2"/>
  <c r="ES44" i="2"/>
  <c r="ES43" i="2"/>
  <c r="EO57" i="2"/>
  <c r="EO55" i="2"/>
  <c r="EO56" i="2"/>
  <c r="EO52" i="2"/>
  <c r="EO54" i="2"/>
  <c r="EO53" i="2"/>
  <c r="EO51" i="2"/>
  <c r="EO49" i="2"/>
  <c r="EO47" i="2"/>
  <c r="EO45" i="2"/>
  <c r="EO50" i="2"/>
  <c r="EO48" i="2"/>
  <c r="EO46" i="2"/>
  <c r="EO44" i="2"/>
  <c r="EO43" i="2"/>
  <c r="EO34" i="2"/>
  <c r="EO40" i="2"/>
  <c r="EO30" i="2"/>
  <c r="EO31" i="2"/>
  <c r="EO38" i="2"/>
  <c r="EO32" i="2"/>
  <c r="EO42" i="2"/>
  <c r="EO25" i="2"/>
  <c r="EO17" i="2"/>
  <c r="EO26" i="2"/>
  <c r="EO18" i="2"/>
  <c r="EO11" i="2"/>
  <c r="EO23" i="2"/>
  <c r="EO14" i="2"/>
  <c r="EO24" i="2"/>
  <c r="EO16" i="2"/>
  <c r="EO39" i="2"/>
  <c r="EO29" i="2"/>
  <c r="EO35" i="2"/>
  <c r="EO41" i="2"/>
  <c r="EO36" i="2"/>
  <c r="EO33" i="2"/>
  <c r="EO28" i="2"/>
  <c r="EO37" i="2"/>
  <c r="EO21" i="2"/>
  <c r="EO12" i="2"/>
  <c r="EO22" i="2"/>
  <c r="EO15" i="2"/>
  <c r="EO27" i="2"/>
  <c r="EO19" i="2"/>
  <c r="EO10" i="2"/>
  <c r="EO20" i="2"/>
  <c r="EO13" i="2"/>
  <c r="ES39" i="2"/>
  <c r="ES29" i="2"/>
  <c r="ES35" i="2"/>
  <c r="ES36" i="2"/>
  <c r="ES31" i="2"/>
  <c r="ES42" i="2"/>
  <c r="ES37" i="2"/>
  <c r="ES32" i="2"/>
  <c r="ES23" i="2"/>
  <c r="ES14" i="2"/>
  <c r="ES26" i="2"/>
  <c r="ES18" i="2"/>
  <c r="ES11" i="2"/>
  <c r="ES21" i="2"/>
  <c r="ES12" i="2"/>
  <c r="ES24" i="2"/>
  <c r="ES16" i="2"/>
  <c r="ES41" i="2"/>
  <c r="ES28" i="2"/>
  <c r="ES19" i="2"/>
  <c r="ES10" i="2"/>
  <c r="ES15" i="2"/>
  <c r="ES17" i="2"/>
  <c r="ES20" i="2"/>
  <c r="ES34" i="2"/>
  <c r="ES40" i="2"/>
  <c r="ES30" i="2"/>
  <c r="ES38" i="2"/>
  <c r="ES33" i="2"/>
  <c r="ES27" i="2"/>
  <c r="ES22" i="2"/>
  <c r="ES25" i="2"/>
  <c r="ET9" i="2"/>
  <c r="ES13" i="2"/>
  <c r="ET64" i="2"/>
  <c r="ET62" i="2"/>
  <c r="ET65" i="2"/>
  <c r="ET63" i="2"/>
  <c r="ET61" i="2"/>
  <c r="ET59" i="2"/>
  <c r="ET60" i="2"/>
  <c r="ET58" i="2"/>
  <c r="ET56" i="2"/>
  <c r="ET54" i="2"/>
  <c r="ET57" i="2"/>
  <c r="ET53" i="2"/>
  <c r="ET55" i="2"/>
  <c r="ET52" i="2"/>
  <c r="ET50" i="2"/>
  <c r="ET48" i="2"/>
  <c r="ET46" i="2"/>
  <c r="ET44" i="2"/>
  <c r="ET51" i="2"/>
  <c r="ET49" i="2"/>
  <c r="ET47" i="2"/>
  <c r="ET45" i="2"/>
  <c r="ET43" i="2"/>
  <c r="ET34" i="2"/>
  <c r="ET30" i="2"/>
  <c r="ET35" i="2"/>
  <c r="ET36" i="2"/>
  <c r="ET38" i="2"/>
  <c r="ET42" i="2"/>
  <c r="ET37" i="2"/>
  <c r="ET26" i="2"/>
  <c r="ET18" i="2"/>
  <c r="ET11" i="2"/>
  <c r="ET21" i="2"/>
  <c r="ET12" i="2"/>
  <c r="ET20" i="2"/>
  <c r="ET13" i="2"/>
  <c r="ET23" i="2"/>
  <c r="ET14" i="2"/>
  <c r="ET41" i="2"/>
  <c r="ET28" i="2"/>
  <c r="ET32" i="2"/>
  <c r="ET15" i="2"/>
  <c r="ET17" i="2"/>
  <c r="ET16" i="2"/>
  <c r="ET19" i="2"/>
  <c r="ET39" i="2"/>
  <c r="ET29" i="2"/>
  <c r="ET40" i="2"/>
  <c r="ET31" i="2"/>
  <c r="ET33" i="2"/>
  <c r="ET22" i="2"/>
  <c r="ET25" i="2"/>
  <c r="ET24" i="2"/>
  <c r="ET27" i="2"/>
  <c r="ET10" i="2"/>
</calcChain>
</file>

<file path=xl/comments1.xml><?xml version="1.0" encoding="utf-8"?>
<comments xmlns="http://schemas.openxmlformats.org/spreadsheetml/2006/main">
  <authors>
    <author>Ammarah Abbasi</author>
  </authors>
  <commentList>
    <comment ref="B25" authorId="0" shapeId="0">
      <text>
        <r>
          <rPr>
            <sz val="8"/>
            <color indexed="81"/>
            <rFont val="Tahoma"/>
            <family val="2"/>
          </rPr>
          <t xml:space="preserve">Note </t>
        </r>
        <r>
          <rPr>
            <b/>
            <sz val="8"/>
            <color indexed="81"/>
            <rFont val="Tahoma"/>
            <family val="2"/>
          </rPr>
          <t>A</t>
        </r>
        <r>
          <rPr>
            <sz val="8"/>
            <color indexed="81"/>
            <rFont val="Tahoma"/>
            <family val="2"/>
          </rPr>
          <t xml:space="preserve"> for assumptions, </t>
        </r>
        <r>
          <rPr>
            <b/>
            <sz val="8"/>
            <color indexed="81"/>
            <rFont val="Tahoma"/>
            <family val="2"/>
          </rPr>
          <t>C</t>
        </r>
        <r>
          <rPr>
            <sz val="8"/>
            <color indexed="81"/>
            <rFont val="Tahoma"/>
            <family val="2"/>
          </rPr>
          <t xml:space="preserve"> for constraints
</t>
        </r>
      </text>
    </comment>
    <comment ref="C26" authorId="0" shapeId="0">
      <text>
        <r>
          <rPr>
            <sz val="8"/>
            <color indexed="81"/>
            <rFont val="Tahoma"/>
            <family val="2"/>
          </rPr>
          <t>This is a field you can use to identify risks by categories such as technological, personnel, etc.</t>
        </r>
      </text>
    </comment>
  </commentList>
</comments>
</file>

<file path=xl/comments2.xml><?xml version="1.0" encoding="utf-8"?>
<comments xmlns="http://schemas.openxmlformats.org/spreadsheetml/2006/main">
  <authors>
    <author>simsr</author>
  </authors>
  <commentList>
    <comment ref="F16" authorId="0" shapeId="0">
      <text>
        <r>
          <rPr>
            <sz val="8"/>
            <color indexed="81"/>
            <rFont val="Tahoma"/>
            <family val="2"/>
          </rPr>
          <t>Include additional rows for resources, expenses and external costs by unhiding rows and adding more rows as needed</t>
        </r>
      </text>
    </comment>
  </commentList>
</comments>
</file>

<file path=xl/comments3.xml><?xml version="1.0" encoding="utf-8"?>
<comments xmlns="http://schemas.openxmlformats.org/spreadsheetml/2006/main">
  <authors>
    <author>simsr</author>
  </authors>
  <commentList>
    <comment ref="A7" authorId="0" shapeId="0">
      <text>
        <r>
          <rPr>
            <sz val="8"/>
            <color indexed="81"/>
            <rFont val="Tahoma"/>
            <family val="2"/>
          </rPr>
          <t>Edit labels for resources in the Requirements tab.</t>
        </r>
      </text>
    </comment>
    <comment ref="B11" authorId="0" shapeId="0">
      <text>
        <r>
          <rPr>
            <sz val="8"/>
            <color indexed="81"/>
            <rFont val="Tahoma"/>
            <family val="2"/>
          </rPr>
          <t>Add/edit/remove tasks as required.</t>
        </r>
      </text>
    </comment>
  </commentList>
</comments>
</file>

<file path=xl/comments4.xml><?xml version="1.0" encoding="utf-8"?>
<comments xmlns="http://schemas.openxmlformats.org/spreadsheetml/2006/main">
  <authors>
    <author>simsr</author>
  </authors>
  <commentList>
    <comment ref="B8" authorId="0" shapeId="0">
      <text>
        <r>
          <rPr>
            <sz val="8"/>
            <color indexed="81"/>
            <rFont val="Tahoma"/>
            <family val="2"/>
          </rPr>
          <t>Once you have entered your tasks in the M&amp;V Tasks tab, fill down cells A10:ET10 to place your tasks in the Gantt Chart</t>
        </r>
        <r>
          <rPr>
            <b/>
            <sz val="8"/>
            <color indexed="81"/>
            <rFont val="Tahoma"/>
            <family val="2"/>
          </rPr>
          <t xml:space="preserve">
</t>
        </r>
      </text>
    </comment>
    <comment ref="D8" authorId="0" shapeId="0">
      <text>
        <r>
          <rPr>
            <sz val="8"/>
            <color indexed="81"/>
            <rFont val="Tahoma"/>
            <family val="2"/>
          </rPr>
          <t>Enter start and end dates for each task</t>
        </r>
      </text>
    </comment>
    <comment ref="F8" authorId="0" shapeId="0">
      <text>
        <r>
          <rPr>
            <sz val="8"/>
            <color indexed="81"/>
            <rFont val="Tahoma"/>
            <family val="2"/>
          </rPr>
          <t xml:space="preserve">Enter the start date for your project timeline here
</t>
        </r>
      </text>
    </comment>
  </commentList>
</comments>
</file>

<file path=xl/sharedStrings.xml><?xml version="1.0" encoding="utf-8"?>
<sst xmlns="http://schemas.openxmlformats.org/spreadsheetml/2006/main" count="351" uniqueCount="264">
  <si>
    <t>Total Budget</t>
  </si>
  <si>
    <t>Total External Expenses</t>
  </si>
  <si>
    <t>Total Cost</t>
  </si>
  <si>
    <t>External Expenses</t>
  </si>
  <si>
    <t>Total Internal Expenses</t>
  </si>
  <si>
    <t># Hours</t>
  </si>
  <si>
    <t>Hourly Rate</t>
  </si>
  <si>
    <t>Internal Expenses</t>
  </si>
  <si>
    <t>Project manager</t>
  </si>
  <si>
    <t>Project #</t>
  </si>
  <si>
    <t>Tasks</t>
  </si>
  <si>
    <t>Plan Start</t>
  </si>
  <si>
    <t>Plan Finish</t>
  </si>
  <si>
    <t>Project Name</t>
  </si>
  <si>
    <t>Item</t>
  </si>
  <si>
    <t>Other Parameters to consider</t>
  </si>
  <si>
    <t>Objectives</t>
  </si>
  <si>
    <t>Scope</t>
  </si>
  <si>
    <t>In Scope</t>
  </si>
  <si>
    <t>Out of Scope</t>
  </si>
  <si>
    <t>Deliverables</t>
  </si>
  <si>
    <t>Deliverable</t>
  </si>
  <si>
    <t>Due Date</t>
  </si>
  <si>
    <t>Key considerations</t>
  </si>
  <si>
    <t>Assumptions &amp; Constraints</t>
  </si>
  <si>
    <t>Risks</t>
  </si>
  <si>
    <t>Category</t>
  </si>
  <si>
    <t>Risk Description</t>
  </si>
  <si>
    <t>Success criteria</t>
  </si>
  <si>
    <t xml:space="preserve">5 - </t>
  </si>
  <si>
    <t>Last Updated</t>
  </si>
  <si>
    <t>Description of ECM Project being implemented</t>
  </si>
  <si>
    <t>Key Dates</t>
  </si>
  <si>
    <t>Role</t>
  </si>
  <si>
    <t>Contact</t>
  </si>
  <si>
    <t>Name / Company</t>
  </si>
  <si>
    <t>Implementation Plan Description</t>
  </si>
  <si>
    <t>PROJECT INFORMATION</t>
  </si>
  <si>
    <t>Description of Measurement Boundary</t>
  </si>
  <si>
    <t>M&amp;V APPROACH</t>
  </si>
  <si>
    <t>M&amp;V Option Selected</t>
  </si>
  <si>
    <t>Key Parameters to be measured</t>
  </si>
  <si>
    <t>Potential interactive effects identified</t>
  </si>
  <si>
    <t>Key Stakeholders/Contacts</t>
  </si>
  <si>
    <t>MEASUREMENT AND VERIFICATION - BUDGET PLANNER</t>
  </si>
  <si>
    <t>KEY PARAMETERS AND VARIABLES</t>
  </si>
  <si>
    <t>Measurement period and duration</t>
  </si>
  <si>
    <t>Parameter</t>
  </si>
  <si>
    <t>Method for Collecting Data</t>
  </si>
  <si>
    <t>DESCRIPTION OF THE ECM PROJECT(S) BEING IMPLEMENTED</t>
  </si>
  <si>
    <t>Routine/Non Routine</t>
  </si>
  <si>
    <t>Method for Adjusting baseline</t>
  </si>
  <si>
    <t>Baseline Adjustments and Independent Variables that affect Energy Use within Boundary</t>
  </si>
  <si>
    <t>Type of Adjustment/Variable</t>
  </si>
  <si>
    <t>Interactive Effect</t>
  </si>
  <si>
    <t>Materiality</t>
  </si>
  <si>
    <t>Agreed Approach</t>
  </si>
  <si>
    <t>Equipment</t>
  </si>
  <si>
    <t>Period required</t>
  </si>
  <si>
    <t>EQUIPMENT REQUIREMENTS</t>
  </si>
  <si>
    <t>Measurement Equipment</t>
  </si>
  <si>
    <t>To be sourced from (who/when/how)</t>
  </si>
  <si>
    <t>CALCULATING RESULTS</t>
  </si>
  <si>
    <t>MEASUREMENT BOUNDARY</t>
  </si>
  <si>
    <t>Overall Approach</t>
  </si>
  <si>
    <t>Linked documents or drawings</t>
  </si>
  <si>
    <t>Resource</t>
  </si>
  <si>
    <t>ENERGY CONSERVATION MEASURE - PROJECT BACKGROUND</t>
  </si>
  <si>
    <t>Baseline Period</t>
  </si>
  <si>
    <t>Post-Retrofit Period</t>
  </si>
  <si>
    <t>Approach/method for calculating energy and demand savings</t>
  </si>
  <si>
    <t>Approach for extrapolating results</t>
  </si>
  <si>
    <t>Approach/method for calculating savings uncertainty</t>
  </si>
  <si>
    <t>other</t>
  </si>
  <si>
    <t>Approach for calculating cost savings and greenhouse gas emissions</t>
  </si>
  <si>
    <t>MEASUREMENT AND VERIFICATION - TASK LIST</t>
  </si>
  <si>
    <t>Week Commencing</t>
  </si>
  <si>
    <t>SUMMARY</t>
  </si>
  <si>
    <r>
      <t>Resource</t>
    </r>
    <r>
      <rPr>
        <b/>
        <sz val="10"/>
        <color indexed="62"/>
        <rFont val="Arial"/>
        <family val="2"/>
      </rPr>
      <t xml:space="preserve"> (insert name/role)</t>
    </r>
  </si>
  <si>
    <t>Total</t>
  </si>
  <si>
    <t>Total Hours</t>
  </si>
  <si>
    <t>Develop M&amp;V Plan</t>
  </si>
  <si>
    <t>Collect Baseline Data</t>
  </si>
  <si>
    <t>Collect Post-Retrofit Data</t>
  </si>
  <si>
    <t>Analyse Results and Calculate Savings</t>
  </si>
  <si>
    <t>Report Outcomes</t>
  </si>
  <si>
    <t>Conduct a meeting with site contact, contractor and project manager to agree on approach</t>
  </si>
  <si>
    <t>Review project drawings to determine measurement boundary</t>
  </si>
  <si>
    <t>Obtain information regarding the ECM(s) to be implemented</t>
  </si>
  <si>
    <t>Review each ECM and decide on the appropriate M&amp;V option, and key measurement parameter(s)</t>
  </si>
  <si>
    <t>Notes</t>
  </si>
  <si>
    <t>Document agreed approach using standard M&amp;V Plan proforma</t>
  </si>
  <si>
    <t>energy data logger to be hired for 1 week</t>
  </si>
  <si>
    <t>hard copy data entry sheet to be filled in by shift staff each hour</t>
  </si>
  <si>
    <t>electrician to install and remove</t>
  </si>
  <si>
    <t>use software supplied with logger to interrogate</t>
  </si>
  <si>
    <t>mid-week spot-check</t>
  </si>
  <si>
    <t>Project Management</t>
  </si>
  <si>
    <t>Develop preliminary budget estimate and evaluate cost/benefit</t>
  </si>
  <si>
    <t>Initiate M&amp;V project using internal processes</t>
  </si>
  <si>
    <t>Establish M&amp;V project team</t>
  </si>
  <si>
    <t>Close out M&amp;V project using internal processes</t>
  </si>
  <si>
    <t>Finalise M&amp;V budget and timing</t>
  </si>
  <si>
    <t>Prepare production data tracking sheet and discuss with equipment operator</t>
  </si>
  <si>
    <t>Hire electricity data logger</t>
  </si>
  <si>
    <t>Install data logger on equipment and log for 1 week</t>
  </si>
  <si>
    <t>Review throughput tracker to ensure quality data collection</t>
  </si>
  <si>
    <t>Download logger data and check to ensure completeness</t>
  </si>
  <si>
    <t>Enter hourly production data into spreadsheet</t>
  </si>
  <si>
    <t>Collate hourly energy use</t>
  </si>
  <si>
    <t>Analyse production data vs energy to develop relationship curves (before vs after)</t>
  </si>
  <si>
    <t>Use the curve to adjust the baseline figures for the production observed during the post-retrofit period</t>
  </si>
  <si>
    <t>Calculate savings by subtracting actual from adjusted baseline</t>
  </si>
  <si>
    <t>Calculate savings uncertainty</t>
  </si>
  <si>
    <t>Calculate cost and greenhouse savings</t>
  </si>
  <si>
    <t>Extrapolate measured savings from week across the year</t>
  </si>
  <si>
    <t>Prepare and distribute M&amp;V energy savings report</t>
  </si>
  <si>
    <t>Present findings to site and division management</t>
  </si>
  <si>
    <t>TASK LIST</t>
  </si>
  <si>
    <t>Peer review</t>
  </si>
  <si>
    <t>Qty</t>
  </si>
  <si>
    <t>Rate</t>
  </si>
  <si>
    <t>Notes/Comments</t>
  </si>
  <si>
    <t>MEASUREMENT AND VERIFICATION - TIMING</t>
  </si>
  <si>
    <t>Implement ECM(s)</t>
  </si>
  <si>
    <t>BUDGET DETAILS</t>
  </si>
  <si>
    <t>M&amp;V Percentage of Cost</t>
  </si>
  <si>
    <t>Project Savings / Implementation Cost</t>
  </si>
  <si>
    <t>$</t>
  </si>
  <si>
    <t>Estimated Annual Project Savings</t>
  </si>
  <si>
    <r>
      <t xml:space="preserve">Task list </t>
    </r>
    <r>
      <rPr>
        <b/>
        <sz val="10"/>
        <color indexed="30"/>
        <rFont val="Arial"/>
        <family val="2"/>
      </rPr>
      <t>(linked to Tasks worksheet)</t>
    </r>
  </si>
  <si>
    <t>Enter Dates</t>
  </si>
  <si>
    <t>MEASUREMENT AND VERIFICATION - PROJECT SUMMARY AND REQUIREMENTS</t>
  </si>
  <si>
    <t>Estimated Implementation Cost</t>
  </si>
  <si>
    <t>Adjusted Baseline</t>
  </si>
  <si>
    <t>Post-Retrofit</t>
  </si>
  <si>
    <t>Savings</t>
  </si>
  <si>
    <t>Energy (GJ)</t>
  </si>
  <si>
    <t>Demand</t>
  </si>
  <si>
    <t>Cost ($)</t>
  </si>
  <si>
    <t>Demand (kW)</t>
  </si>
  <si>
    <t>Demand (kVA)</t>
  </si>
  <si>
    <t>MEASUREMENT AND VERIFICATION - REPORTED OUTCOMES</t>
  </si>
  <si>
    <t>Unit of Measure</t>
  </si>
  <si>
    <t>GJ</t>
  </si>
  <si>
    <t>kWh</t>
  </si>
  <si>
    <t>MJ</t>
  </si>
  <si>
    <t>tbc</t>
  </si>
  <si>
    <t>kW</t>
  </si>
  <si>
    <t>kVA</t>
  </si>
  <si>
    <t>Electricity</t>
  </si>
  <si>
    <t>Natural Gas</t>
  </si>
  <si>
    <t>Energy and Demand Cost ($)</t>
  </si>
  <si>
    <r>
      <t>t. CO</t>
    </r>
    <r>
      <rPr>
        <vertAlign val="subscript"/>
        <sz val="10"/>
        <rFont val="Arial"/>
        <family val="2"/>
      </rPr>
      <t>2</t>
    </r>
    <r>
      <rPr>
        <sz val="10"/>
        <rFont val="Arial"/>
        <family val="2"/>
      </rPr>
      <t>-e</t>
    </r>
  </si>
  <si>
    <r>
      <t>t. CO</t>
    </r>
    <r>
      <rPr>
        <b/>
        <vertAlign val="subscript"/>
        <sz val="10"/>
        <rFont val="Arial"/>
        <family val="2"/>
      </rPr>
      <t>2</t>
    </r>
    <r>
      <rPr>
        <b/>
        <sz val="10"/>
        <rFont val="Arial"/>
        <family val="2"/>
      </rPr>
      <t>-e</t>
    </r>
  </si>
  <si>
    <t>Greenhouse Gas Emissions</t>
  </si>
  <si>
    <t>Savings %</t>
  </si>
  <si>
    <t>Component</t>
  </si>
  <si>
    <t>Total Energy</t>
  </si>
  <si>
    <t>Estimated Project Benefits</t>
  </si>
  <si>
    <r>
      <t>Greenhouse (t. CO</t>
    </r>
    <r>
      <rPr>
        <vertAlign val="subscript"/>
        <sz val="10"/>
        <rFont val="Arial"/>
        <family val="2"/>
      </rPr>
      <t>2</t>
    </r>
    <r>
      <rPr>
        <sz val="10"/>
        <rFont val="Arial"/>
        <family val="2"/>
      </rPr>
      <t>-e)</t>
    </r>
  </si>
  <si>
    <t>Estimated Implementation Cost ($)</t>
  </si>
  <si>
    <t>PROJECT BENEFITS - SUMMARY</t>
  </si>
  <si>
    <t>PROJECT BENEFITS - DETAILS</t>
  </si>
  <si>
    <t>Method for Considering/Estimating Data</t>
  </si>
  <si>
    <t>Reason for consideration</t>
  </si>
  <si>
    <t>Desired Accuracy (%)</t>
  </si>
  <si>
    <r>
      <t>Other Expenditure</t>
    </r>
    <r>
      <rPr>
        <b/>
        <sz val="10"/>
        <color indexed="30"/>
        <rFont val="Arial"/>
        <family val="2"/>
      </rPr>
      <t xml:space="preserve"> (eg equipment)</t>
    </r>
  </si>
  <si>
    <t>Other Internal Expenses</t>
  </si>
  <si>
    <r>
      <t>External Labour Costs</t>
    </r>
    <r>
      <rPr>
        <b/>
        <sz val="10"/>
        <color indexed="30"/>
        <rFont val="Arial"/>
        <family val="2"/>
      </rPr>
      <t xml:space="preserve"> (Consultants, Contractors)</t>
    </r>
  </si>
  <si>
    <t>M&amp;V BUDGET AS A PROPORTION OF PROJECT COST/SAVINGS</t>
  </si>
  <si>
    <t>Precision %</t>
  </si>
  <si>
    <t>Confidence %</t>
  </si>
  <si>
    <t>Implement ECM, and establish steady-state operation</t>
  </si>
  <si>
    <t>Project Team</t>
  </si>
  <si>
    <t>Preliminary Budget</t>
  </si>
  <si>
    <t>SITE DETAILS</t>
  </si>
  <si>
    <t>Site Name</t>
  </si>
  <si>
    <t>Address</t>
  </si>
  <si>
    <t>Site Overview</t>
  </si>
  <si>
    <t>MEASUREMENT AND VERIFICATION - M&amp;V DESIGN</t>
  </si>
  <si>
    <t>Worksheet Tab</t>
  </si>
  <si>
    <t>Purpose</t>
  </si>
  <si>
    <t>ECM Project Background</t>
  </si>
  <si>
    <t>To capture details for the site and ECM, including the estimated project benefits, implementation plan and key stakeholders</t>
  </si>
  <si>
    <t>M&amp;V Requirements</t>
  </si>
  <si>
    <t>To capture the M&amp;V requirements key considerations, desired outcomes and success criteria, as well as the M&amp;V project details.</t>
  </si>
  <si>
    <t>M&amp;V Design</t>
  </si>
  <si>
    <t>To capture the essential elements of the M&amp;V Plan. This includes preferred M&amp;V Option, measurement boundary definition, details of key parameters, and process information relating to conducting measurements, calculating saving and uncertainty.</t>
  </si>
  <si>
    <t>M&amp;V Budget</t>
  </si>
  <si>
    <t>To prepare a project budget, based on the tasks, resources, equipment and other needs. The final figure is measured against the ECM project costs and savings as a sanity check.</t>
  </si>
  <si>
    <t>M&amp;V Tasks</t>
  </si>
  <si>
    <t>To capture the step-by-step list of tasks, and allocation of resources</t>
  </si>
  <si>
    <t>M&amp;V Timing</t>
  </si>
  <si>
    <t>A Gantt Chart based timeline, where tasks are given a start and completion date, so that the overall project timeline can be developed.</t>
  </si>
  <si>
    <t>This M&amp;V planning tool has been developed to assist M&amp;V planners capture and incorporate the various M&amp;V design elements. The template is presented in a spreadsheet for ease of calculations, with the following contents:</t>
  </si>
  <si>
    <t>MEASUREMENT AND VERIFICATION - M&amp;V PLANNING TOOL</t>
  </si>
  <si>
    <t>INTRODUCTION</t>
  </si>
  <si>
    <t xml:space="preserve">The Measurement and Verification (M&amp;V) Operational Guide has been developed to help M&amp;V practitioners, business energy savings project managers, government energy efficiency program managers and policy makers translate M&amp;V theory into successful M&amp;V projects. </t>
  </si>
  <si>
    <t xml:space="preserve">By following this guide you will be implementing the International Performance Measurement and Verification Protocol (IPMVP) a typical M&amp;V process.  Practical tips, tools and scenario examples are provided to assist with decision making, planning, measuring, analysing and reporting outcomes. </t>
  </si>
  <si>
    <t xml:space="preserve">But what is M&amp;V exactly?  </t>
  </si>
  <si>
    <t xml:space="preserve">M&amp;V is the process of using measurement to reliably determine actual savings for energy, demand, cost and greenhouse gases within a site by an Energy Conservation Measure (ECM). Measurements are used to verify savings, rather than applying deemed savings or theoretical engineering calculations, which are based on previous studies, manufacturer-provided information or other indirect data. Savings are determined by comparing post-retrofit performance against a ‘business as usual’ forecast. </t>
  </si>
  <si>
    <t>Across Australia the use of M&amp;V has been growing, driven by business and as a requirement in government funding and financing programs.  M&amp;V enables:</t>
  </si>
  <si>
    <t>Using the M&amp;V Operational Guide</t>
  </si>
  <si>
    <t xml:space="preserve">The M&amp;V Operational Guide is structured in three main parts; Process, Planning and Applications. </t>
  </si>
  <si>
    <t xml:space="preserve">Process Guide: The Process Guide provides guidance that is common across all M&amp;V projects.  Practitioners new to M&amp;V should start with the Process Guide to gain an understanding of M&amp;V theory, principles, terminology and the overall process.  </t>
  </si>
  <si>
    <t>Application Guides are available for:</t>
  </si>
  <si>
    <t>MEASUREMENT AND VERIFICATION - PLANNING PROCESS</t>
  </si>
  <si>
    <r>
      <t xml:space="preserve">The suggested M&amp;V planning process listed below can be used as a basis for developing a M&amp;V plan. A full description of this process is provided in the </t>
    </r>
    <r>
      <rPr>
        <i/>
        <sz val="10"/>
        <color indexed="8"/>
        <rFont val="Arial"/>
        <family val="2"/>
      </rPr>
      <t>M&amp;V Operational Guide: Planning Guide</t>
    </r>
    <r>
      <rPr>
        <sz val="10"/>
        <color indexed="8"/>
        <rFont val="Arial"/>
        <family val="2"/>
      </rPr>
      <t>.</t>
    </r>
  </si>
  <si>
    <t>Enter the details of key stakeholders</t>
  </si>
  <si>
    <t>M&amp;V Plan</t>
  </si>
  <si>
    <t>Enter the details of the M&amp;V project manager and project team.</t>
  </si>
  <si>
    <t>Enter the names of resources who will be conducting tasks within the M&amp;V project</t>
  </si>
  <si>
    <t>Capture the M&amp;V requirements key considerations, desired outcomes and success criteria, as well as the M&amp;V project details.</t>
  </si>
  <si>
    <t>Enter the details of the site and ECM, including implementation dates, milestones and potential issues</t>
  </si>
  <si>
    <t>Enter the details of the M&amp;V requirements and desired outcomes. This includes the project scope and objective, considerations, risks, deliverables, and measures of success.</t>
  </si>
  <si>
    <t>Enter the preliminary budget figure.</t>
  </si>
  <si>
    <t>Enter the details of design and planning decisions, including notes and assumptions</t>
  </si>
  <si>
    <t>Enter details of the equipment requirements, proposed techniques for collecting and manipulating data, and for calculating savings.</t>
  </si>
  <si>
    <t>List the equipment/software/external expertise that has to be procured.</t>
  </si>
  <si>
    <t>Document the step-by-step list of tasks in order, allocating resources and budget time allocation.</t>
  </si>
  <si>
    <t xml:space="preserve">Starting with the ECM implementation date, determine the start and end dates for each task. </t>
  </si>
  <si>
    <t>Finalise the budget by completing cost elements for labour, equipment and other expenses.</t>
  </si>
  <si>
    <t>Review the requirements within this tab, against the M&amp;V design presented in the Plan, Budget and Timing tabs.</t>
  </si>
  <si>
    <t>The completed workbook contains the M&amp;V planning elements. Contents may be transferred into proposals or presentations if required to assist with business case approval.</t>
  </si>
  <si>
    <t>Process Step</t>
  </si>
  <si>
    <t>PLANNING PROCESS</t>
  </si>
  <si>
    <t>PLANNING TOOL REFERENCE</t>
  </si>
  <si>
    <t>M&amp;V Planning Process</t>
  </si>
  <si>
    <t>Describe the M&amp;V process and corresponding use of this tool</t>
  </si>
  <si>
    <t>THIS TOOL</t>
  </si>
  <si>
    <t>M&amp;V OPERATIONAL GUIDE</t>
  </si>
  <si>
    <t>- calculation of savings for projects that have high uncertainty or highly variable characteristics</t>
  </si>
  <si>
    <t>- verification of installed performance against manufacturer claims</t>
  </si>
  <si>
    <t>- a verified result which can be stated with confidence and can prove return on investment</t>
  </si>
  <si>
    <t>- demonstration of performance where a financial incentive or penalty is involved</t>
  </si>
  <si>
    <t>- effective management of energy costs</t>
  </si>
  <si>
    <t>- the building of robust business cases to promote successful outcomes</t>
  </si>
  <si>
    <t>Planning Guide: The Planning Guide is designed to assist both new and experienced practitioners to develop a robust M&amp;V Plan for your energy savings project, using a step-by-step process for designing a M&amp;V project.</t>
  </si>
  <si>
    <t xml:space="preserve">Applications Guides: Seven separate application-specific guides provide new and experienced M&amp;V practitioners with advice, considerations and examples for technologies found in typical commercial and industrial sites. The Applications Guides should be used in conjunction with the Planning Guide to understand application-specific considerations and design choices.  </t>
  </si>
  <si>
    <t>- Lighting</t>
  </si>
  <si>
    <t>- Motors, pumps and fans</t>
  </si>
  <si>
    <t>- Commercial heating, ventilation and cooling</t>
  </si>
  <si>
    <t>- Commercial and industrial refrigeration</t>
  </si>
  <si>
    <t>- Boilers, steam and compressed air</t>
  </si>
  <si>
    <t>- Whole buildings</t>
  </si>
  <si>
    <t>- Renewables and cogeneration</t>
  </si>
  <si>
    <t>The guide is intended to be used as per the following diagram:</t>
  </si>
  <si>
    <t>Your Guide to successful M&amp;V projects</t>
  </si>
  <si>
    <t>COPYRIGHT NOTICE</t>
  </si>
  <si>
    <t>In essence, Measurement and Verification is intended to answer the question, “how can I be sure I’m really saving money?”</t>
  </si>
  <si>
    <r>
      <t xml:space="preserve">© Copyright State of NSW and Office of Environment and Heritage
With the exception of photographs, the State of NSW and Office of Environment and Heritage are pleased to allow this material to be reproduced in whole or in part for educational and non-commercial use, provided the meaning is unchanged and its source, publisher and authorship are acknowledged. Specific permission is required for the reproduction of photographs.
The Office of Environment and Heritage (OEH) has compiled this guideline in good faith, exercising all due care and attention. No representation is made about the accuracy, completeness or suitability of the information in this publication for any particular purpose. OEH shall not be liable for any damage which may occur to any person or organisation taking action or not on the basis of this publication. Readers should seek appropriate advice when applying the information to their specific needs. 
Every effort has been made to ensure that the information in this document is accurate at the time of publication. However, as appropriate, readers should obtain independent advice before making any decision based on this information.
</t>
    </r>
    <r>
      <rPr>
        <b/>
        <sz val="9"/>
        <rFont val="Arial"/>
        <family val="2"/>
      </rPr>
      <t>Published by:</t>
    </r>
    <r>
      <rPr>
        <sz val="9"/>
        <rFont val="Arial"/>
        <family val="2"/>
      </rPr>
      <t xml:space="preserve">
Office of Environment and Heritage NSW
59 Goulburn Street, Sydney NSW 2000
PO Box A290, Sydney South NSW 1232
Phone: (02) 9995 5000 (switchboard)
Phone: 131 555 (environment information and publications requests)
Phone: 1300 361 967 (national parks, climate change and energy efficiency information,
and publications requests)
Fax: (02) 9995 5999
TTY: (02) 9211 4723
Email: info@environment.nsw.gov.au
Website: www.environment.nsw.gov.au
</t>
    </r>
    <r>
      <rPr>
        <b/>
        <sz val="9"/>
        <rFont val="Arial"/>
        <family val="2"/>
      </rPr>
      <t>Report pollution and environmental incidents</t>
    </r>
    <r>
      <rPr>
        <sz val="9"/>
        <rFont val="Arial"/>
        <family val="2"/>
      </rPr>
      <t xml:space="preserve">
Environment Line: 131 555 (NSW only) or info@environment.nsw.gov.au
See also www.environment.nsw.gov.au
OEH 2012/0999
December 2012</t>
    </r>
  </si>
  <si>
    <t>[Resource 1]</t>
  </si>
  <si>
    <t>[Resource 2]</t>
  </si>
  <si>
    <t>[Resource 3]</t>
  </si>
  <si>
    <t>[Resource 4]</t>
  </si>
  <si>
    <t>[Resource 5]</t>
  </si>
  <si>
    <t xml:space="preserve">1 - </t>
  </si>
  <si>
    <t xml:space="preserve">2 - </t>
  </si>
  <si>
    <t xml:space="preserve">3 - </t>
  </si>
  <si>
    <t xml:space="preserve">4 - </t>
  </si>
  <si>
    <t>[Resource 6]</t>
  </si>
  <si>
    <t>Enter external labour cost item</t>
  </si>
  <si>
    <t>Enter expense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</si>
</sst>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72" formatCode="&quot;$&quot;#,##0.00"/>
    <numFmt numFmtId="173" formatCode="d/mm"/>
    <numFmt numFmtId="174" formatCode="&quot;$&quot;#,##0"/>
    <numFmt numFmtId="175" formatCode="&quot;+-&quot;0%"/>
    <numFmt numFmtId="176" formatCode="&quot;+-&quot;0.0%"/>
    <numFmt numFmtId="177" formatCode="#,##0.0"/>
    <numFmt numFmtId="178" formatCode="0.0%"/>
  </numFmts>
  <fonts count="23" x14ac:knownFonts="1">
    <font>
      <sz val="10"/>
      <name val="Arial"/>
    </font>
    <font>
      <sz val="10"/>
      <name val="Arial"/>
      <family val="2"/>
    </font>
    <font>
      <b/>
      <sz val="12"/>
      <color indexed="9"/>
      <name val="Arial"/>
      <family val="2"/>
    </font>
    <font>
      <sz val="8"/>
      <name val="Arial"/>
      <family val="2"/>
    </font>
    <font>
      <sz val="10"/>
      <name val="Arial"/>
      <family val="2"/>
    </font>
    <font>
      <b/>
      <sz val="10"/>
      <name val="Arial"/>
      <family val="2"/>
    </font>
    <font>
      <i/>
      <sz val="10"/>
      <name val="Arial"/>
      <family val="2"/>
    </font>
    <font>
      <sz val="8"/>
      <color indexed="81"/>
      <name val="Tahoma"/>
      <family val="2"/>
    </font>
    <font>
      <b/>
      <sz val="8"/>
      <color indexed="81"/>
      <name val="Tahoma"/>
      <family val="2"/>
    </font>
    <font>
      <b/>
      <sz val="12"/>
      <color indexed="9"/>
      <name val="Arial"/>
      <family val="2"/>
    </font>
    <font>
      <b/>
      <i/>
      <sz val="10"/>
      <name val="Arial"/>
      <family val="2"/>
    </font>
    <font>
      <b/>
      <sz val="10"/>
      <color indexed="62"/>
      <name val="Arial"/>
      <family val="2"/>
    </font>
    <font>
      <sz val="12"/>
      <name val="Arial"/>
      <family val="2"/>
    </font>
    <font>
      <b/>
      <sz val="10"/>
      <color indexed="30"/>
      <name val="Arial"/>
      <family val="2"/>
    </font>
    <font>
      <sz val="8"/>
      <color indexed="30"/>
      <name val="Arial"/>
      <family val="2"/>
    </font>
    <font>
      <vertAlign val="subscript"/>
      <sz val="10"/>
      <name val="Arial"/>
      <family val="2"/>
    </font>
    <font>
      <b/>
      <vertAlign val="subscript"/>
      <sz val="10"/>
      <name val="Arial"/>
      <family val="2"/>
    </font>
    <font>
      <sz val="9"/>
      <name val="Arial"/>
      <family val="2"/>
    </font>
    <font>
      <b/>
      <sz val="9"/>
      <name val="Arial"/>
      <family val="2"/>
    </font>
    <font>
      <sz val="10"/>
      <color indexed="8"/>
      <name val="Arial"/>
      <family val="2"/>
    </font>
    <font>
      <i/>
      <sz val="10"/>
      <color indexed="8"/>
      <name val="Arial"/>
      <family val="2"/>
    </font>
    <font>
      <b/>
      <sz val="10"/>
      <color indexed="8"/>
      <name val="Arial"/>
      <family val="2"/>
    </font>
    <font>
      <sz val="10"/>
      <color theme="1"/>
      <name val="Calibri"/>
      <family val="2"/>
      <scheme val="minor"/>
    </font>
  </fonts>
  <fills count="13">
    <fill>
      <patternFill patternType="none"/>
    </fill>
    <fill>
      <patternFill patternType="gray125"/>
    </fill>
    <fill>
      <patternFill patternType="solid">
        <fgColor indexed="44"/>
        <bgColor indexed="64"/>
      </patternFill>
    </fill>
    <fill>
      <patternFill patternType="solid">
        <fgColor indexed="43"/>
        <bgColor indexed="64"/>
      </patternFill>
    </fill>
    <fill>
      <patternFill patternType="solid">
        <fgColor indexed="45"/>
        <bgColor indexed="64"/>
      </patternFill>
    </fill>
    <fill>
      <patternFill patternType="solid">
        <fgColor indexed="29"/>
        <bgColor indexed="64"/>
      </patternFill>
    </fill>
    <fill>
      <patternFill patternType="solid">
        <fgColor indexed="10"/>
        <bgColor indexed="64"/>
      </patternFill>
    </fill>
    <fill>
      <patternFill patternType="solid">
        <fgColor indexed="22"/>
        <bgColor indexed="64"/>
      </patternFill>
    </fill>
    <fill>
      <patternFill patternType="solid">
        <fgColor indexed="30"/>
        <bgColor indexed="64"/>
      </patternFill>
    </fill>
    <fill>
      <patternFill patternType="solid">
        <fgColor indexed="49"/>
        <bgColor indexed="64"/>
      </patternFill>
    </fill>
    <fill>
      <patternFill patternType="solid">
        <fgColor indexed="60"/>
        <bgColor indexed="64"/>
      </patternFill>
    </fill>
    <fill>
      <patternFill patternType="solid">
        <fgColor indexed="50"/>
        <bgColor indexed="64"/>
      </patternFill>
    </fill>
    <fill>
      <patternFill patternType="solid">
        <fgColor indexed="17"/>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double">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
    <xf numFmtId="0" fontId="0" fillId="0" borderId="0"/>
    <xf numFmtId="0" fontId="22" fillId="0" borderId="0"/>
    <xf numFmtId="0" fontId="4" fillId="0" borderId="0"/>
    <xf numFmtId="9" fontId="1" fillId="0" borderId="0" applyFont="0" applyFill="0" applyBorder="0" applyAlignment="0" applyProtection="0"/>
  </cellStyleXfs>
  <cellXfs count="252">
    <xf numFmtId="0" fontId="0" fillId="0" borderId="0" xfId="0"/>
    <xf numFmtId="0" fontId="4" fillId="0" borderId="0" xfId="2" applyFont="1" applyAlignment="1">
      <alignment vertical="center"/>
    </xf>
    <xf numFmtId="0" fontId="4" fillId="0" borderId="1" xfId="2" applyFont="1" applyFill="1" applyBorder="1" applyAlignment="1">
      <alignment vertical="center"/>
    </xf>
    <xf numFmtId="0" fontId="4" fillId="0" borderId="1" xfId="2" applyFont="1" applyFill="1" applyBorder="1" applyAlignment="1">
      <alignment vertical="center" wrapText="1"/>
    </xf>
    <xf numFmtId="0" fontId="4" fillId="0" borderId="1" xfId="2" applyFont="1" applyBorder="1" applyAlignment="1">
      <alignment vertical="center" wrapText="1"/>
    </xf>
    <xf numFmtId="0" fontId="4" fillId="0" borderId="1" xfId="2" applyFont="1" applyFill="1" applyBorder="1" applyAlignment="1">
      <alignment horizontal="center" vertical="center" wrapText="1"/>
    </xf>
    <xf numFmtId="0" fontId="4" fillId="0" borderId="0" xfId="0" applyFont="1" applyAlignment="1">
      <alignment vertical="center"/>
    </xf>
    <xf numFmtId="172" fontId="4" fillId="0" borderId="1" xfId="0" applyNumberFormat="1" applyFont="1" applyBorder="1" applyAlignment="1">
      <alignment horizontal="center" vertical="center"/>
    </xf>
    <xf numFmtId="2" fontId="4" fillId="0" borderId="1" xfId="0" applyNumberFormat="1" applyFont="1" applyBorder="1" applyAlignment="1">
      <alignment horizontal="center" vertical="center"/>
    </xf>
    <xf numFmtId="0" fontId="4" fillId="0" borderId="1" xfId="0" applyFont="1" applyFill="1" applyBorder="1" applyAlignment="1">
      <alignment horizontal="left" vertical="center"/>
    </xf>
    <xf numFmtId="0" fontId="4" fillId="0" borderId="1" xfId="2" applyFont="1" applyFill="1" applyBorder="1" applyAlignment="1">
      <alignment horizontal="left" vertical="center" wrapText="1"/>
    </xf>
    <xf numFmtId="0" fontId="4" fillId="0" borderId="2" xfId="2" applyFont="1" applyFill="1" applyBorder="1" applyAlignment="1">
      <alignment horizontal="left" vertical="center" wrapText="1"/>
    </xf>
    <xf numFmtId="0" fontId="4" fillId="0" borderId="1" xfId="2" applyFont="1" applyBorder="1" applyAlignment="1">
      <alignment horizontal="center" vertical="center"/>
    </xf>
    <xf numFmtId="3" fontId="4" fillId="0" borderId="1" xfId="2" applyNumberFormat="1" applyFont="1" applyBorder="1" applyAlignment="1">
      <alignment horizontal="center" vertical="center"/>
    </xf>
    <xf numFmtId="9" fontId="4" fillId="0" borderId="1" xfId="3" applyFont="1" applyBorder="1" applyAlignment="1">
      <alignment horizontal="center" vertical="center"/>
    </xf>
    <xf numFmtId="0" fontId="4" fillId="0" borderId="1" xfId="2" applyFont="1" applyFill="1" applyBorder="1" applyAlignment="1">
      <alignment horizontal="center" vertical="center"/>
    </xf>
    <xf numFmtId="0" fontId="5" fillId="0" borderId="1" xfId="2" applyFont="1" applyFill="1" applyBorder="1" applyAlignment="1">
      <alignment horizontal="center" vertical="center"/>
    </xf>
    <xf numFmtId="0" fontId="4" fillId="0" borderId="1" xfId="2" applyFont="1" applyBorder="1" applyAlignment="1">
      <alignment horizontal="left" vertical="center" wrapText="1"/>
    </xf>
    <xf numFmtId="0" fontId="4" fillId="0" borderId="1" xfId="2" applyFont="1" applyBorder="1" applyAlignment="1">
      <alignment horizontal="center" vertical="center" wrapText="1"/>
    </xf>
    <xf numFmtId="174" fontId="4" fillId="0" borderId="1" xfId="0" applyNumberFormat="1" applyFont="1" applyBorder="1" applyAlignment="1">
      <alignment horizontal="center" vertical="center"/>
    </xf>
    <xf numFmtId="0" fontId="4" fillId="0" borderId="0" xfId="0" applyNumberFormat="1" applyFont="1" applyAlignment="1">
      <alignment vertical="center"/>
    </xf>
    <xf numFmtId="0" fontId="4" fillId="0" borderId="1" xfId="0" applyNumberFormat="1" applyFont="1" applyBorder="1" applyAlignment="1">
      <alignment horizontal="center" vertical="center" wrapText="1"/>
    </xf>
    <xf numFmtId="0" fontId="6" fillId="0" borderId="1" xfId="0" applyFont="1" applyFill="1" applyBorder="1" applyAlignment="1">
      <alignment vertical="center"/>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4" fillId="0" borderId="0" xfId="0" applyFont="1" applyAlignment="1">
      <alignment vertical="center" wrapText="1"/>
    </xf>
    <xf numFmtId="15" fontId="5" fillId="0" borderId="1" xfId="0" applyNumberFormat="1" applyFont="1" applyFill="1" applyBorder="1" applyAlignment="1">
      <alignment horizontal="center" vertical="center"/>
    </xf>
    <xf numFmtId="15" fontId="4" fillId="0" borderId="1" xfId="0" applyNumberFormat="1" applyFont="1" applyFill="1" applyBorder="1" applyAlignment="1">
      <alignment horizontal="center" vertical="center"/>
    </xf>
    <xf numFmtId="0" fontId="3" fillId="0" borderId="1" xfId="0" applyFont="1" applyFill="1" applyBorder="1" applyAlignment="1">
      <alignment vertical="center"/>
    </xf>
    <xf numFmtId="0" fontId="3" fillId="0" borderId="1" xfId="0" applyFont="1" applyFill="1" applyBorder="1" applyAlignment="1">
      <alignment horizontal="center" vertical="center"/>
    </xf>
    <xf numFmtId="173" fontId="3" fillId="0" borderId="1" xfId="0" applyNumberFormat="1" applyFont="1" applyFill="1" applyBorder="1" applyAlignment="1">
      <alignment vertical="center" textRotation="90"/>
    </xf>
    <xf numFmtId="173" fontId="3" fillId="0" borderId="1" xfId="0" applyNumberFormat="1" applyFont="1" applyBorder="1" applyAlignment="1">
      <alignment vertical="center" textRotation="90"/>
    </xf>
    <xf numFmtId="0" fontId="3" fillId="0" borderId="0" xfId="0" applyFont="1" applyAlignment="1">
      <alignment vertical="center"/>
    </xf>
    <xf numFmtId="0" fontId="4" fillId="0" borderId="0" xfId="0" applyFont="1" applyAlignment="1">
      <alignment horizontal="center" vertical="center" wrapText="1"/>
    </xf>
    <xf numFmtId="174" fontId="4" fillId="0" borderId="1" xfId="0" applyNumberFormat="1" applyFont="1" applyFill="1" applyBorder="1" applyAlignment="1">
      <alignment horizontal="center" vertical="center"/>
    </xf>
    <xf numFmtId="9" fontId="4" fillId="0" borderId="1" xfId="3" applyFont="1" applyFill="1" applyBorder="1" applyAlignment="1">
      <alignment horizontal="center" vertical="center"/>
    </xf>
    <xf numFmtId="0" fontId="14" fillId="0" borderId="1" xfId="0" applyFont="1" applyFill="1" applyBorder="1" applyAlignment="1">
      <alignment horizontal="center" vertical="center"/>
    </xf>
    <xf numFmtId="3" fontId="4" fillId="0" borderId="2" xfId="2" applyNumberFormat="1" applyFont="1" applyBorder="1" applyAlignment="1">
      <alignment horizontal="center" vertical="center"/>
    </xf>
    <xf numFmtId="3" fontId="4" fillId="0" borderId="3" xfId="2" applyNumberFormat="1" applyFont="1" applyBorder="1" applyAlignment="1">
      <alignment horizontal="center" vertical="center"/>
    </xf>
    <xf numFmtId="0" fontId="4" fillId="0" borderId="1" xfId="2" applyFont="1" applyFill="1" applyBorder="1" applyAlignment="1">
      <alignment horizontal="left" vertical="center" wrapText="1" indent="1"/>
    </xf>
    <xf numFmtId="3" fontId="4" fillId="0" borderId="1" xfId="2" applyNumberFormat="1" applyFont="1" applyFill="1" applyBorder="1" applyAlignment="1">
      <alignment horizontal="center" vertical="center"/>
    </xf>
    <xf numFmtId="0" fontId="6" fillId="0" borderId="1" xfId="2" applyFont="1" applyFill="1" applyBorder="1" applyAlignment="1">
      <alignment horizontal="left" vertical="center" wrapText="1" indent="1"/>
    </xf>
    <xf numFmtId="0" fontId="5" fillId="0" borderId="1" xfId="2" applyFont="1" applyFill="1" applyBorder="1" applyAlignment="1">
      <alignment horizontal="left" vertical="center" wrapText="1"/>
    </xf>
    <xf numFmtId="3" fontId="4" fillId="0" borderId="1" xfId="2" applyNumberFormat="1" applyFont="1" applyBorder="1" applyAlignment="1">
      <alignment horizontal="center" vertical="center" wrapText="1"/>
    </xf>
    <xf numFmtId="174" fontId="4" fillId="0" borderId="1" xfId="2" applyNumberFormat="1" applyFont="1" applyBorder="1" applyAlignment="1">
      <alignment horizontal="center" vertical="center" wrapText="1"/>
    </xf>
    <xf numFmtId="3" fontId="4" fillId="0" borderId="1" xfId="2" applyNumberFormat="1" applyFont="1" applyFill="1" applyBorder="1" applyAlignment="1">
      <alignment horizontal="center" vertical="center" wrapText="1"/>
    </xf>
    <xf numFmtId="3" fontId="4" fillId="0" borderId="2" xfId="2" applyNumberFormat="1" applyFont="1" applyFill="1" applyBorder="1" applyAlignment="1">
      <alignment horizontal="center" vertical="center" wrapText="1"/>
    </xf>
    <xf numFmtId="3" fontId="4" fillId="0" borderId="3" xfId="2" applyNumberFormat="1" applyFont="1" applyFill="1" applyBorder="1" applyAlignment="1">
      <alignment horizontal="center" vertical="center" wrapText="1"/>
    </xf>
    <xf numFmtId="9" fontId="4" fillId="0" borderId="1" xfId="3" applyFont="1" applyFill="1" applyBorder="1" applyAlignment="1">
      <alignment horizontal="center" vertical="center" wrapText="1"/>
    </xf>
    <xf numFmtId="0" fontId="6" fillId="0" borderId="1" xfId="2" applyFont="1" applyFill="1" applyBorder="1" applyAlignment="1">
      <alignment horizontal="center" vertical="center" wrapText="1"/>
    </xf>
    <xf numFmtId="0" fontId="5" fillId="0" borderId="1" xfId="2" applyFont="1" applyFill="1" applyBorder="1" applyAlignment="1">
      <alignment horizontal="center" vertical="center" wrapText="1"/>
    </xf>
    <xf numFmtId="0" fontId="5" fillId="0" borderId="1" xfId="2" applyFont="1" applyFill="1" applyBorder="1" applyAlignment="1">
      <alignment vertical="center" wrapText="1"/>
    </xf>
    <xf numFmtId="175" fontId="4" fillId="0" borderId="1" xfId="3" applyNumberFormat="1" applyFont="1" applyBorder="1" applyAlignment="1">
      <alignment horizontal="center" vertical="center"/>
    </xf>
    <xf numFmtId="14" fontId="4" fillId="0" borderId="1" xfId="2" applyNumberFormat="1" applyFont="1" applyFill="1" applyBorder="1" applyAlignment="1">
      <alignment horizontal="left" vertical="center"/>
    </xf>
    <xf numFmtId="0" fontId="5" fillId="2" borderId="1" xfId="2" applyFont="1" applyFill="1" applyBorder="1" applyAlignment="1">
      <alignment horizontal="left" vertical="center" wrapText="1"/>
    </xf>
    <xf numFmtId="0" fontId="5" fillId="2" borderId="1" xfId="2" applyFont="1" applyFill="1" applyBorder="1" applyAlignment="1">
      <alignment vertical="center"/>
    </xf>
    <xf numFmtId="0" fontId="5" fillId="2" borderId="1" xfId="2" applyFont="1" applyFill="1" applyBorder="1" applyAlignment="1">
      <alignment horizontal="center" vertical="center"/>
    </xf>
    <xf numFmtId="176" fontId="4" fillId="0" borderId="1" xfId="3" applyNumberFormat="1" applyFont="1" applyBorder="1" applyAlignment="1">
      <alignment horizontal="center" vertical="center"/>
    </xf>
    <xf numFmtId="176" fontId="4" fillId="0" borderId="1" xfId="2" applyNumberFormat="1" applyFont="1" applyBorder="1" applyAlignment="1">
      <alignment horizontal="center" vertical="center"/>
    </xf>
    <xf numFmtId="177" fontId="4" fillId="0" borderId="3" xfId="2" applyNumberFormat="1" applyFont="1" applyBorder="1" applyAlignment="1">
      <alignment horizontal="center" vertical="center"/>
    </xf>
    <xf numFmtId="178" fontId="4" fillId="0" borderId="0" xfId="3" applyNumberFormat="1" applyFont="1" applyAlignment="1">
      <alignment vertical="center"/>
    </xf>
    <xf numFmtId="177" fontId="4" fillId="0" borderId="1" xfId="2" applyNumberFormat="1" applyFont="1" applyFill="1" applyBorder="1" applyAlignment="1">
      <alignment horizontal="center" vertical="center"/>
    </xf>
    <xf numFmtId="0" fontId="4" fillId="0" borderId="0" xfId="2" applyFont="1" applyAlignment="1">
      <alignment horizontal="center" vertical="center"/>
    </xf>
    <xf numFmtId="0" fontId="4" fillId="0" borderId="0" xfId="0" applyFont="1" applyAlignment="1">
      <alignment horizontal="center" vertical="center"/>
    </xf>
    <xf numFmtId="0" fontId="1" fillId="0" borderId="1" xfId="2" applyFont="1" applyFill="1" applyBorder="1" applyAlignment="1">
      <alignment vertical="center"/>
    </xf>
    <xf numFmtId="0" fontId="1" fillId="0" borderId="1" xfId="2" applyFont="1" applyFill="1" applyBorder="1" applyAlignment="1">
      <alignment vertical="center" wrapText="1"/>
    </xf>
    <xf numFmtId="0" fontId="4" fillId="0" borderId="1" xfId="0" applyFont="1" applyBorder="1" applyAlignment="1">
      <alignment horizontal="center" vertical="center" wrapText="1"/>
    </xf>
    <xf numFmtId="4" fontId="4" fillId="0" borderId="2" xfId="2" applyNumberFormat="1" applyFont="1" applyBorder="1" applyAlignment="1">
      <alignment horizontal="center" vertical="center"/>
    </xf>
    <xf numFmtId="4" fontId="4" fillId="0" borderId="3" xfId="2" applyNumberFormat="1" applyFont="1" applyBorder="1" applyAlignment="1">
      <alignment horizontal="center" vertical="center"/>
    </xf>
    <xf numFmtId="0" fontId="5" fillId="3" borderId="1" xfId="2" applyFont="1" applyFill="1" applyBorder="1" applyAlignment="1">
      <alignment horizontal="left" vertical="center"/>
    </xf>
    <xf numFmtId="0" fontId="5" fillId="3" borderId="1" xfId="2" applyFont="1" applyFill="1" applyBorder="1" applyAlignment="1">
      <alignment horizontal="left" vertical="center" wrapText="1"/>
    </xf>
    <xf numFmtId="0" fontId="5" fillId="3" borderId="1" xfId="2" applyFont="1" applyFill="1" applyBorder="1" applyAlignment="1">
      <alignment horizontal="center" vertical="center" wrapText="1"/>
    </xf>
    <xf numFmtId="0" fontId="5" fillId="3" borderId="2" xfId="2" applyFont="1" applyFill="1" applyBorder="1" applyAlignment="1">
      <alignment horizontal="center" vertical="center" wrapText="1"/>
    </xf>
    <xf numFmtId="0" fontId="5" fillId="3" borderId="3" xfId="2" applyFont="1" applyFill="1" applyBorder="1" applyAlignment="1">
      <alignment horizontal="center" vertical="center" wrapText="1"/>
    </xf>
    <xf numFmtId="3" fontId="5" fillId="3" borderId="1" xfId="2" applyNumberFormat="1" applyFont="1" applyFill="1" applyBorder="1" applyAlignment="1">
      <alignment horizontal="center" vertical="center" wrapText="1"/>
    </xf>
    <xf numFmtId="3" fontId="5" fillId="3" borderId="2" xfId="2" applyNumberFormat="1" applyFont="1" applyFill="1" applyBorder="1" applyAlignment="1">
      <alignment horizontal="center" vertical="center" wrapText="1"/>
    </xf>
    <xf numFmtId="3" fontId="5" fillId="3" borderId="3" xfId="2" applyNumberFormat="1" applyFont="1" applyFill="1" applyBorder="1" applyAlignment="1">
      <alignment horizontal="center" vertical="center" wrapText="1"/>
    </xf>
    <xf numFmtId="9" fontId="5" fillId="3" borderId="1" xfId="3" applyFont="1" applyFill="1" applyBorder="1" applyAlignment="1">
      <alignment horizontal="center" vertical="center" wrapText="1"/>
    </xf>
    <xf numFmtId="176" fontId="5" fillId="3" borderId="1" xfId="3" applyNumberFormat="1" applyFont="1" applyFill="1" applyBorder="1" applyAlignment="1">
      <alignment horizontal="center" vertical="center" wrapText="1"/>
    </xf>
    <xf numFmtId="0" fontId="1" fillId="0" borderId="1" xfId="2" applyFont="1" applyFill="1" applyBorder="1" applyAlignment="1">
      <alignment horizontal="left" vertical="center" wrapText="1"/>
    </xf>
    <xf numFmtId="0" fontId="5" fillId="4" borderId="1" xfId="2" applyFont="1" applyFill="1" applyBorder="1" applyAlignment="1">
      <alignment horizontal="left" vertical="center"/>
    </xf>
    <xf numFmtId="0" fontId="5" fillId="4" borderId="1" xfId="2" applyFont="1" applyFill="1" applyBorder="1" applyAlignment="1">
      <alignment vertical="center"/>
    </xf>
    <xf numFmtId="0" fontId="5" fillId="4" borderId="1" xfId="2" applyFont="1" applyFill="1" applyBorder="1" applyAlignment="1">
      <alignment horizontal="left" vertical="center" wrapText="1" indent="1"/>
    </xf>
    <xf numFmtId="0" fontId="5" fillId="4" borderId="1" xfId="2" applyFont="1" applyFill="1" applyBorder="1" applyAlignment="1">
      <alignment vertical="center" wrapText="1"/>
    </xf>
    <xf numFmtId="0" fontId="5" fillId="4" borderId="2" xfId="2" applyFont="1" applyFill="1" applyBorder="1" applyAlignment="1">
      <alignment vertical="center" wrapText="1"/>
    </xf>
    <xf numFmtId="0" fontId="5" fillId="4" borderId="1" xfId="2" applyFont="1" applyFill="1" applyBorder="1" applyAlignment="1">
      <alignment horizontal="center" vertical="center"/>
    </xf>
    <xf numFmtId="0" fontId="5" fillId="4" borderId="1" xfId="2" applyFont="1" applyFill="1" applyBorder="1" applyAlignment="1">
      <alignment horizontal="left" vertical="center" indent="1"/>
    </xf>
    <xf numFmtId="0" fontId="5" fillId="4" borderId="1" xfId="0" applyFont="1" applyFill="1" applyBorder="1" applyAlignment="1">
      <alignment horizontal="left" vertical="center"/>
    </xf>
    <xf numFmtId="0" fontId="5" fillId="4" borderId="1" xfId="0" applyFont="1" applyFill="1" applyBorder="1" applyAlignment="1">
      <alignment horizontal="center" vertical="center"/>
    </xf>
    <xf numFmtId="0" fontId="5" fillId="4" borderId="1" xfId="0" applyNumberFormat="1" applyFont="1" applyFill="1" applyBorder="1" applyAlignment="1">
      <alignment horizontal="center" vertical="center" wrapText="1"/>
    </xf>
    <xf numFmtId="174" fontId="5" fillId="4" borderId="1" xfId="0" applyNumberFormat="1" applyFont="1" applyFill="1" applyBorder="1" applyAlignment="1">
      <alignment horizontal="center" vertical="center"/>
    </xf>
    <xf numFmtId="0" fontId="5" fillId="4" borderId="1" xfId="0" applyFont="1" applyFill="1" applyBorder="1" applyAlignment="1">
      <alignment vertical="center"/>
    </xf>
    <xf numFmtId="0" fontId="5" fillId="4" borderId="2" xfId="0" applyFont="1" applyFill="1" applyBorder="1" applyAlignment="1">
      <alignment vertical="center"/>
    </xf>
    <xf numFmtId="0" fontId="4" fillId="4" borderId="4" xfId="0" applyFont="1" applyFill="1" applyBorder="1" applyAlignment="1">
      <alignment vertical="center"/>
    </xf>
    <xf numFmtId="0" fontId="4" fillId="4" borderId="5" xfId="0" applyFont="1" applyFill="1" applyBorder="1" applyAlignment="1">
      <alignment vertical="center"/>
    </xf>
    <xf numFmtId="174" fontId="5" fillId="5" borderId="1" xfId="0" applyNumberFormat="1" applyFont="1" applyFill="1" applyBorder="1" applyAlignment="1">
      <alignment horizontal="center" vertical="center"/>
    </xf>
    <xf numFmtId="0" fontId="5" fillId="5" borderId="1" xfId="0" applyNumberFormat="1" applyFont="1" applyFill="1" applyBorder="1" applyAlignment="1">
      <alignment horizontal="center" vertical="center" wrapText="1"/>
    </xf>
    <xf numFmtId="0" fontId="4" fillId="4" borderId="1" xfId="2" applyFont="1" applyFill="1" applyBorder="1" applyAlignment="1">
      <alignment horizontal="center" vertical="center" textRotation="90"/>
    </xf>
    <xf numFmtId="0" fontId="5" fillId="4" borderId="1" xfId="2" applyFont="1" applyFill="1" applyBorder="1" applyAlignment="1">
      <alignment horizontal="center" vertical="center" textRotation="90"/>
    </xf>
    <xf numFmtId="9" fontId="5" fillId="4" borderId="1" xfId="3" applyFont="1" applyFill="1" applyBorder="1" applyAlignment="1">
      <alignment horizontal="left" vertical="center"/>
    </xf>
    <xf numFmtId="0" fontId="10" fillId="5" borderId="4" xfId="0" applyFont="1" applyFill="1" applyBorder="1" applyAlignment="1">
      <alignment horizontal="center" vertical="center" wrapText="1"/>
    </xf>
    <xf numFmtId="0" fontId="10" fillId="5" borderId="4" xfId="0" applyFont="1" applyFill="1" applyBorder="1" applyAlignment="1">
      <alignment vertical="center"/>
    </xf>
    <xf numFmtId="0" fontId="5" fillId="5" borderId="4" xfId="0" applyFont="1" applyFill="1" applyBorder="1" applyAlignment="1">
      <alignment vertical="center"/>
    </xf>
    <xf numFmtId="0" fontId="4" fillId="4" borderId="1" xfId="0" applyFont="1" applyFill="1" applyBorder="1" applyAlignment="1">
      <alignment horizontal="center" vertical="center"/>
    </xf>
    <xf numFmtId="0" fontId="4" fillId="4" borderId="1" xfId="0" applyFont="1" applyFill="1" applyBorder="1" applyAlignment="1">
      <alignment vertical="center"/>
    </xf>
    <xf numFmtId="0" fontId="5" fillId="4" borderId="1" xfId="2" applyFont="1" applyFill="1" applyBorder="1" applyAlignment="1">
      <alignment horizontal="left" vertical="center" wrapText="1"/>
    </xf>
    <xf numFmtId="0" fontId="19" fillId="0" borderId="0" xfId="1" applyFont="1"/>
    <xf numFmtId="0" fontId="5" fillId="5" borderId="2" xfId="2" applyFont="1" applyFill="1" applyBorder="1" applyAlignment="1">
      <alignment horizontal="center" vertical="center"/>
    </xf>
    <xf numFmtId="0" fontId="19" fillId="0" borderId="1" xfId="1" applyFont="1" applyBorder="1" applyAlignment="1">
      <alignment vertical="center" wrapText="1"/>
    </xf>
    <xf numFmtId="0" fontId="21" fillId="0" borderId="0" xfId="1" applyFont="1"/>
    <xf numFmtId="0" fontId="19" fillId="0" borderId="0" xfId="1" applyFont="1" applyAlignment="1">
      <alignment vertical="top" wrapText="1"/>
    </xf>
    <xf numFmtId="0" fontId="21" fillId="5" borderId="1" xfId="1" applyFont="1" applyFill="1" applyBorder="1" applyAlignment="1">
      <alignment horizontal="center" vertical="center" wrapText="1"/>
    </xf>
    <xf numFmtId="0" fontId="19" fillId="0" borderId="6" xfId="1" applyFont="1" applyBorder="1"/>
    <xf numFmtId="0" fontId="19" fillId="0" borderId="7" xfId="1" applyFont="1" applyBorder="1"/>
    <xf numFmtId="0" fontId="19" fillId="0" borderId="8" xfId="1" applyFont="1" applyBorder="1" applyAlignment="1">
      <alignment vertical="center" wrapText="1"/>
    </xf>
    <xf numFmtId="0" fontId="19" fillId="0" borderId="9" xfId="1" applyFont="1" applyBorder="1" applyAlignment="1">
      <alignment vertical="center" wrapText="1"/>
    </xf>
    <xf numFmtId="0" fontId="19" fillId="0" borderId="10" xfId="1" applyFont="1" applyBorder="1" applyAlignment="1">
      <alignment vertical="center"/>
    </xf>
    <xf numFmtId="0" fontId="19" fillId="0" borderId="10" xfId="1" applyFont="1" applyBorder="1" applyAlignment="1">
      <alignment vertical="center" wrapText="1"/>
    </xf>
    <xf numFmtId="0" fontId="19" fillId="0" borderId="11" xfId="1" applyFont="1" applyBorder="1"/>
    <xf numFmtId="0" fontId="19" fillId="0" borderId="6" xfId="1" applyNumberFormat="1" applyFont="1" applyBorder="1" applyAlignment="1">
      <alignment horizontal="left" vertical="center" wrapText="1"/>
    </xf>
    <xf numFmtId="0" fontId="19" fillId="0" borderId="11" xfId="1" applyFont="1" applyBorder="1" applyAlignment="1">
      <alignment horizontal="left" vertical="center" wrapText="1"/>
    </xf>
    <xf numFmtId="0" fontId="19" fillId="0" borderId="6" xfId="1" applyFont="1" applyBorder="1" applyAlignment="1">
      <alignment horizontal="left" vertical="center" wrapText="1"/>
    </xf>
    <xf numFmtId="0" fontId="19" fillId="0" borderId="6" xfId="1" applyFont="1" applyBorder="1" applyAlignment="1">
      <alignment horizontal="left" vertical="center"/>
    </xf>
    <xf numFmtId="0" fontId="19" fillId="0" borderId="11" xfId="1" applyFont="1" applyBorder="1" applyAlignment="1">
      <alignment horizontal="left" vertical="center"/>
    </xf>
    <xf numFmtId="0" fontId="19" fillId="0" borderId="12" xfId="1" applyFont="1" applyBorder="1"/>
    <xf numFmtId="0" fontId="19" fillId="0" borderId="1" xfId="1" applyFont="1" applyBorder="1" applyAlignment="1">
      <alignment horizontal="center" vertical="center"/>
    </xf>
    <xf numFmtId="0" fontId="5" fillId="5" borderId="1" xfId="2" applyFont="1" applyFill="1" applyBorder="1" applyAlignment="1">
      <alignment horizontal="center" vertical="center"/>
    </xf>
    <xf numFmtId="0" fontId="5" fillId="5" borderId="5" xfId="0" applyFont="1" applyFill="1" applyBorder="1" applyAlignment="1">
      <alignment vertical="center"/>
    </xf>
    <xf numFmtId="0" fontId="5" fillId="5" borderId="1" xfId="0" applyFont="1" applyFill="1" applyBorder="1" applyAlignment="1">
      <alignment horizontal="left" vertical="center"/>
    </xf>
    <xf numFmtId="0" fontId="19" fillId="0" borderId="6" xfId="1" quotePrefix="1" applyFont="1" applyBorder="1" applyAlignment="1">
      <alignment horizontal="left" vertical="center" wrapText="1" indent="2"/>
    </xf>
    <xf numFmtId="0" fontId="19" fillId="0" borderId="11" xfId="1" applyFont="1" applyBorder="1" applyAlignment="1">
      <alignment horizontal="left" vertical="center" wrapText="1" indent="2"/>
    </xf>
    <xf numFmtId="0" fontId="2" fillId="6" borderId="2" xfId="2" applyFont="1" applyFill="1" applyBorder="1" applyAlignment="1">
      <alignment horizontal="center" vertical="center"/>
    </xf>
    <xf numFmtId="0" fontId="2" fillId="6" borderId="5" xfId="2" applyFont="1" applyFill="1" applyBorder="1" applyAlignment="1">
      <alignment horizontal="center" vertical="center"/>
    </xf>
    <xf numFmtId="0" fontId="19" fillId="0" borderId="6" xfId="1" applyFont="1" applyBorder="1" applyAlignment="1">
      <alignment horizontal="left" vertical="center" wrapText="1"/>
    </xf>
    <xf numFmtId="0" fontId="19" fillId="0" borderId="11" xfId="1" applyFont="1" applyBorder="1" applyAlignment="1">
      <alignment horizontal="left" vertical="center" wrapText="1"/>
    </xf>
    <xf numFmtId="0" fontId="17" fillId="7" borderId="2" xfId="0" applyFont="1" applyFill="1" applyBorder="1" applyAlignment="1">
      <alignment horizontal="left" vertical="center" wrapText="1"/>
    </xf>
    <xf numFmtId="0" fontId="17" fillId="7" borderId="5" xfId="0" applyFont="1" applyFill="1" applyBorder="1" applyAlignment="1">
      <alignment horizontal="left" vertical="center" wrapText="1"/>
    </xf>
    <xf numFmtId="0" fontId="19" fillId="0" borderId="6" xfId="1" applyNumberFormat="1" applyFont="1" applyBorder="1" applyAlignment="1">
      <alignment horizontal="left" vertical="center" wrapText="1"/>
    </xf>
    <xf numFmtId="0" fontId="19" fillId="0" borderId="11" xfId="1" applyNumberFormat="1" applyFont="1" applyBorder="1" applyAlignment="1">
      <alignment horizontal="left" vertical="center" wrapText="1"/>
    </xf>
    <xf numFmtId="0" fontId="2" fillId="6" borderId="1" xfId="2" applyFont="1" applyFill="1" applyBorder="1" applyAlignment="1">
      <alignment horizontal="center" vertical="center"/>
    </xf>
    <xf numFmtId="0" fontId="5" fillId="5" borderId="2" xfId="2" applyFont="1" applyFill="1" applyBorder="1" applyAlignment="1">
      <alignment horizontal="center" vertical="center"/>
    </xf>
    <xf numFmtId="0" fontId="5" fillId="5" borderId="5" xfId="2" applyFont="1" applyFill="1" applyBorder="1" applyAlignment="1">
      <alignment horizontal="center" vertical="center"/>
    </xf>
    <xf numFmtId="0" fontId="19" fillId="0" borderId="13" xfId="1" applyFont="1" applyBorder="1" applyAlignment="1">
      <alignment horizontal="left" vertical="center" wrapText="1"/>
    </xf>
    <xf numFmtId="0" fontId="19" fillId="0" borderId="14" xfId="1" applyFont="1" applyBorder="1" applyAlignment="1">
      <alignment horizontal="left" vertical="center" wrapText="1"/>
    </xf>
    <xf numFmtId="0" fontId="21" fillId="5" borderId="2" xfId="1" applyFont="1" applyFill="1" applyBorder="1" applyAlignment="1">
      <alignment horizontal="center" vertical="center"/>
    </xf>
    <xf numFmtId="0" fontId="21" fillId="5" borderId="5" xfId="1" applyFont="1" applyFill="1" applyBorder="1" applyAlignment="1">
      <alignment horizontal="center" vertical="center"/>
    </xf>
    <xf numFmtId="0" fontId="19" fillId="0" borderId="8" xfId="1" applyFont="1" applyBorder="1" applyAlignment="1">
      <alignment horizontal="left" vertical="center" wrapText="1"/>
    </xf>
    <xf numFmtId="0" fontId="19" fillId="0" borderId="9" xfId="1" applyFont="1" applyBorder="1" applyAlignment="1">
      <alignment horizontal="left" vertical="center" wrapText="1"/>
    </xf>
    <xf numFmtId="0" fontId="19" fillId="0" borderId="10" xfId="1" applyFont="1" applyBorder="1" applyAlignment="1">
      <alignment horizontal="left" vertical="center" wrapText="1"/>
    </xf>
    <xf numFmtId="0" fontId="5" fillId="5" borderId="2" xfId="2" applyFont="1" applyFill="1" applyBorder="1" applyAlignment="1">
      <alignment horizontal="left" vertical="center"/>
    </xf>
    <xf numFmtId="0" fontId="5" fillId="5" borderId="4" xfId="2" applyFont="1" applyFill="1" applyBorder="1" applyAlignment="1">
      <alignment horizontal="left" vertical="center"/>
    </xf>
    <xf numFmtId="0" fontId="5" fillId="5" borderId="5" xfId="2" applyFont="1" applyFill="1" applyBorder="1" applyAlignment="1">
      <alignment horizontal="left" vertical="center"/>
    </xf>
    <xf numFmtId="0" fontId="5" fillId="5" borderId="1" xfId="2" applyFont="1" applyFill="1" applyBorder="1" applyAlignment="1">
      <alignment horizontal="center" vertical="center"/>
    </xf>
    <xf numFmtId="0" fontId="19" fillId="0" borderId="7" xfId="1" applyFont="1" applyBorder="1" applyAlignment="1">
      <alignment horizontal="left" vertical="center" wrapText="1"/>
    </xf>
    <xf numFmtId="0" fontId="19" fillId="0" borderId="15" xfId="1" applyFont="1" applyBorder="1" applyAlignment="1">
      <alignment horizontal="left" vertical="center" wrapText="1"/>
    </xf>
    <xf numFmtId="0" fontId="19" fillId="0" borderId="12" xfId="1" applyFont="1" applyBorder="1" applyAlignment="1">
      <alignment horizontal="left" vertical="center" wrapText="1"/>
    </xf>
    <xf numFmtId="0" fontId="5" fillId="9" borderId="2" xfId="2" applyFont="1" applyFill="1" applyBorder="1" applyAlignment="1">
      <alignment horizontal="left" vertical="center"/>
    </xf>
    <xf numFmtId="0" fontId="5" fillId="9" borderId="4" xfId="2" applyFont="1" applyFill="1" applyBorder="1" applyAlignment="1">
      <alignment horizontal="left" vertical="center"/>
    </xf>
    <xf numFmtId="0" fontId="5" fillId="9" borderId="5" xfId="2" applyFont="1" applyFill="1" applyBorder="1" applyAlignment="1">
      <alignment horizontal="left" vertical="center"/>
    </xf>
    <xf numFmtId="0" fontId="1" fillId="0" borderId="2" xfId="2" applyFont="1" applyBorder="1" applyAlignment="1">
      <alignment horizontal="left" vertical="center" wrapText="1"/>
    </xf>
    <xf numFmtId="0" fontId="4" fillId="0" borderId="4" xfId="2" applyFont="1" applyBorder="1" applyAlignment="1">
      <alignment horizontal="left" vertical="center" wrapText="1"/>
    </xf>
    <xf numFmtId="0" fontId="4" fillId="0" borderId="5" xfId="2" applyFont="1" applyBorder="1" applyAlignment="1">
      <alignment horizontal="left" vertical="center" wrapText="1"/>
    </xf>
    <xf numFmtId="0" fontId="5" fillId="2" borderId="16" xfId="2" applyFont="1" applyFill="1" applyBorder="1" applyAlignment="1">
      <alignment horizontal="left" vertical="center"/>
    </xf>
    <xf numFmtId="0" fontId="5" fillId="2" borderId="17" xfId="2" applyFont="1" applyFill="1" applyBorder="1" applyAlignment="1">
      <alignment horizontal="left" vertical="center"/>
    </xf>
    <xf numFmtId="0" fontId="5" fillId="2" borderId="18" xfId="2" applyFont="1" applyFill="1" applyBorder="1" applyAlignment="1">
      <alignment horizontal="left" vertical="center"/>
    </xf>
    <xf numFmtId="0" fontId="2" fillId="8" borderId="2" xfId="2" applyFont="1" applyFill="1" applyBorder="1" applyAlignment="1">
      <alignment horizontal="center" vertical="center"/>
    </xf>
    <xf numFmtId="0" fontId="2" fillId="8" borderId="4" xfId="2" applyFont="1" applyFill="1" applyBorder="1" applyAlignment="1">
      <alignment horizontal="center" vertical="center"/>
    </xf>
    <xf numFmtId="0" fontId="2" fillId="8" borderId="5" xfId="2" applyFont="1" applyFill="1" applyBorder="1" applyAlignment="1">
      <alignment horizontal="center" vertical="center"/>
    </xf>
    <xf numFmtId="0" fontId="1" fillId="0" borderId="1" xfId="2" applyFont="1" applyBorder="1" applyAlignment="1">
      <alignment vertical="center" wrapText="1"/>
    </xf>
    <xf numFmtId="0" fontId="4" fillId="0" borderId="1" xfId="2" applyFont="1" applyBorder="1" applyAlignment="1">
      <alignment vertical="center" wrapText="1"/>
    </xf>
    <xf numFmtId="0" fontId="1" fillId="0" borderId="15" xfId="2" applyFont="1" applyBorder="1" applyAlignment="1">
      <alignment vertical="center" wrapText="1"/>
    </xf>
    <xf numFmtId="0" fontId="4" fillId="0" borderId="15" xfId="2" applyFont="1" applyBorder="1" applyAlignment="1">
      <alignment vertical="center" wrapText="1"/>
    </xf>
    <xf numFmtId="0" fontId="4" fillId="0" borderId="12" xfId="2" applyFont="1" applyBorder="1" applyAlignment="1">
      <alignment vertical="center" wrapText="1"/>
    </xf>
    <xf numFmtId="0" fontId="5" fillId="2" borderId="16" xfId="2" applyFont="1" applyFill="1" applyBorder="1" applyAlignment="1">
      <alignment horizontal="center" vertical="center" wrapText="1"/>
    </xf>
    <xf numFmtId="0" fontId="5" fillId="2" borderId="18" xfId="2" applyFont="1" applyFill="1" applyBorder="1" applyAlignment="1">
      <alignment horizontal="center" vertical="center" wrapText="1"/>
    </xf>
    <xf numFmtId="174" fontId="4" fillId="0" borderId="2" xfId="2" applyNumberFormat="1" applyFont="1" applyBorder="1" applyAlignment="1">
      <alignment horizontal="left" vertical="center" wrapText="1" indent="2"/>
    </xf>
    <xf numFmtId="174" fontId="4" fillId="0" borderId="4" xfId="2" applyNumberFormat="1" applyFont="1" applyBorder="1" applyAlignment="1">
      <alignment horizontal="left" vertical="center" wrapText="1" indent="2"/>
    </xf>
    <xf numFmtId="174" fontId="4" fillId="0" borderId="5" xfId="2" applyNumberFormat="1" applyFont="1" applyBorder="1" applyAlignment="1">
      <alignment horizontal="left" vertical="center" wrapText="1" indent="2"/>
    </xf>
    <xf numFmtId="0" fontId="5" fillId="4" borderId="16" xfId="2" applyFont="1" applyFill="1" applyBorder="1" applyAlignment="1">
      <alignment horizontal="left" vertical="center" indent="1"/>
    </xf>
    <xf numFmtId="0" fontId="5" fillId="4" borderId="17" xfId="2" applyFont="1" applyFill="1" applyBorder="1" applyAlignment="1">
      <alignment horizontal="left" vertical="center" indent="1"/>
    </xf>
    <xf numFmtId="0" fontId="5" fillId="4" borderId="18" xfId="2" applyFont="1" applyFill="1" applyBorder="1" applyAlignment="1">
      <alignment horizontal="left" vertical="center" indent="1"/>
    </xf>
    <xf numFmtId="0" fontId="5" fillId="4" borderId="16" xfId="2" applyFont="1" applyFill="1" applyBorder="1" applyAlignment="1">
      <alignment horizontal="center" vertical="center"/>
    </xf>
    <xf numFmtId="0" fontId="4" fillId="4" borderId="18" xfId="2" applyFont="1" applyFill="1" applyBorder="1" applyAlignment="1">
      <alignment horizontal="center" vertical="center"/>
    </xf>
    <xf numFmtId="0" fontId="5" fillId="4" borderId="2" xfId="2" applyFont="1" applyFill="1" applyBorder="1" applyAlignment="1">
      <alignment horizontal="center" vertical="center"/>
    </xf>
    <xf numFmtId="0" fontId="5" fillId="4" borderId="5" xfId="2" applyFont="1" applyFill="1" applyBorder="1" applyAlignment="1">
      <alignment horizontal="center" vertical="center"/>
    </xf>
    <xf numFmtId="0" fontId="4" fillId="4" borderId="17" xfId="2" applyFont="1" applyFill="1" applyBorder="1" applyAlignment="1">
      <alignment horizontal="left" vertical="center" indent="1"/>
    </xf>
    <xf numFmtId="0" fontId="4" fillId="4" borderId="18" xfId="2" applyFont="1" applyFill="1" applyBorder="1" applyAlignment="1">
      <alignment horizontal="left" vertical="center" indent="1"/>
    </xf>
    <xf numFmtId="0" fontId="1" fillId="0" borderId="1" xfId="2" applyFont="1" applyBorder="1" applyAlignment="1">
      <alignment horizontal="left" vertical="center"/>
    </xf>
    <xf numFmtId="0" fontId="4" fillId="0" borderId="1" xfId="2" applyFont="1" applyBorder="1" applyAlignment="1">
      <alignment horizontal="left" vertical="center"/>
    </xf>
    <xf numFmtId="0" fontId="5" fillId="4" borderId="1" xfId="2" applyFont="1" applyFill="1" applyBorder="1" applyAlignment="1">
      <alignment horizontal="left" vertical="center" wrapText="1" indent="1"/>
    </xf>
    <xf numFmtId="0" fontId="5" fillId="4" borderId="1" xfId="2" applyFont="1" applyFill="1" applyBorder="1" applyAlignment="1">
      <alignment vertical="center" wrapText="1"/>
    </xf>
    <xf numFmtId="0" fontId="4" fillId="4" borderId="1" xfId="2" applyFont="1" applyFill="1" applyBorder="1" applyAlignment="1">
      <alignment vertical="center" wrapText="1"/>
    </xf>
    <xf numFmtId="0" fontId="5" fillId="0" borderId="1" xfId="2" applyFont="1" applyFill="1" applyBorder="1" applyAlignment="1">
      <alignment vertical="center" wrapText="1"/>
    </xf>
    <xf numFmtId="14" fontId="4" fillId="0" borderId="1" xfId="2" applyNumberFormat="1" applyFont="1" applyFill="1" applyBorder="1" applyAlignment="1">
      <alignment horizontal="left" vertical="center" wrapText="1"/>
    </xf>
    <xf numFmtId="0" fontId="4" fillId="0" borderId="1" xfId="2" applyFont="1" applyBorder="1" applyAlignment="1">
      <alignment horizontal="left" vertical="center" wrapText="1"/>
    </xf>
    <xf numFmtId="0" fontId="5" fillId="4" borderId="16" xfId="2" applyFont="1" applyFill="1" applyBorder="1" applyAlignment="1">
      <alignment horizontal="left" vertical="center"/>
    </xf>
    <xf numFmtId="0" fontId="5" fillId="4" borderId="17" xfId="2" applyFont="1" applyFill="1" applyBorder="1" applyAlignment="1">
      <alignment horizontal="left" vertical="center"/>
    </xf>
    <xf numFmtId="0" fontId="5" fillId="4" borderId="18" xfId="2" applyFont="1" applyFill="1" applyBorder="1" applyAlignment="1">
      <alignment horizontal="left" vertical="center"/>
    </xf>
    <xf numFmtId="174" fontId="4" fillId="0" borderId="1" xfId="2" applyNumberFormat="1" applyFont="1" applyBorder="1" applyAlignment="1">
      <alignment horizontal="left" vertical="center"/>
    </xf>
    <xf numFmtId="0" fontId="2" fillId="10" borderId="2" xfId="2" applyFont="1" applyFill="1" applyBorder="1" applyAlignment="1">
      <alignment horizontal="center" vertical="center"/>
    </xf>
    <xf numFmtId="0" fontId="2" fillId="10" borderId="4" xfId="2" applyFont="1" applyFill="1" applyBorder="1" applyAlignment="1">
      <alignment horizontal="center" vertical="center"/>
    </xf>
    <xf numFmtId="0" fontId="2" fillId="10" borderId="5" xfId="2" applyFont="1" applyFill="1" applyBorder="1" applyAlignment="1">
      <alignment horizontal="center" vertical="center"/>
    </xf>
    <xf numFmtId="0" fontId="1" fillId="0" borderId="1" xfId="2" applyFont="1" applyFill="1" applyBorder="1" applyAlignment="1">
      <alignment horizontal="left" vertical="center" wrapText="1"/>
    </xf>
    <xf numFmtId="0" fontId="4" fillId="0" borderId="1" xfId="2" applyFont="1" applyFill="1" applyBorder="1" applyAlignment="1">
      <alignment horizontal="left" vertical="center" wrapText="1"/>
    </xf>
    <xf numFmtId="0" fontId="5" fillId="4" borderId="16" xfId="2" applyFont="1" applyFill="1" applyBorder="1" applyAlignment="1">
      <alignment horizontal="left" vertical="center" wrapText="1" indent="1"/>
    </xf>
    <xf numFmtId="0" fontId="5" fillId="4" borderId="17" xfId="2" applyFont="1" applyFill="1" applyBorder="1" applyAlignment="1">
      <alignment horizontal="left" vertical="center" wrapText="1" indent="1"/>
    </xf>
    <xf numFmtId="0" fontId="5" fillId="4" borderId="18" xfId="2" applyFont="1" applyFill="1" applyBorder="1" applyAlignment="1">
      <alignment horizontal="left" vertical="center" wrapText="1" indent="1"/>
    </xf>
    <xf numFmtId="0" fontId="5" fillId="5" borderId="1" xfId="2" applyFont="1" applyFill="1" applyBorder="1" applyAlignment="1">
      <alignment horizontal="left" vertical="center"/>
    </xf>
    <xf numFmtId="0" fontId="2" fillId="6" borderId="4" xfId="2" applyFont="1" applyFill="1" applyBorder="1" applyAlignment="1">
      <alignment horizontal="center" vertical="center"/>
    </xf>
    <xf numFmtId="0" fontId="5" fillId="4" borderId="16" xfId="2" applyFont="1" applyFill="1" applyBorder="1" applyAlignment="1">
      <alignment horizontal="center" vertical="center" wrapText="1"/>
    </xf>
    <xf numFmtId="0" fontId="5" fillId="4" borderId="17" xfId="2" applyFont="1" applyFill="1" applyBorder="1" applyAlignment="1">
      <alignment horizontal="center" vertical="center" wrapText="1"/>
    </xf>
    <xf numFmtId="0" fontId="4" fillId="0" borderId="1" xfId="0" applyFont="1" applyFill="1" applyBorder="1" applyAlignment="1">
      <alignment horizontal="right" vertical="center" indent="1"/>
    </xf>
    <xf numFmtId="0" fontId="5" fillId="5" borderId="1" xfId="0" applyFont="1" applyFill="1" applyBorder="1" applyAlignment="1">
      <alignment horizontal="center" vertical="center" wrapText="1"/>
    </xf>
    <xf numFmtId="0" fontId="5" fillId="4" borderId="2" xfId="0" applyFont="1" applyFill="1" applyBorder="1" applyAlignment="1">
      <alignment horizontal="right" vertical="center" indent="1"/>
    </xf>
    <xf numFmtId="0" fontId="5" fillId="4" borderId="4" xfId="0" applyFont="1" applyFill="1" applyBorder="1" applyAlignment="1">
      <alignment horizontal="right" vertical="center" indent="1"/>
    </xf>
    <xf numFmtId="0" fontId="5" fillId="4" borderId="5" xfId="0" applyFont="1" applyFill="1" applyBorder="1" applyAlignment="1">
      <alignment horizontal="right" vertical="center" indent="1"/>
    </xf>
    <xf numFmtId="0" fontId="5" fillId="5" borderId="1" xfId="0" applyFont="1" applyFill="1" applyBorder="1" applyAlignment="1">
      <alignment horizontal="center" vertical="center"/>
    </xf>
    <xf numFmtId="0" fontId="5" fillId="5" borderId="7" xfId="0" applyFont="1" applyFill="1" applyBorder="1" applyAlignment="1">
      <alignment horizontal="center" vertical="center"/>
    </xf>
    <xf numFmtId="0" fontId="5" fillId="5" borderId="15" xfId="0" applyFont="1" applyFill="1" applyBorder="1" applyAlignment="1">
      <alignment horizontal="center" vertical="center"/>
    </xf>
    <xf numFmtId="0" fontId="5" fillId="4" borderId="1" xfId="0" applyFont="1" applyFill="1" applyBorder="1" applyAlignment="1">
      <alignment horizontal="left" vertical="center"/>
    </xf>
    <xf numFmtId="0" fontId="4" fillId="4" borderId="1" xfId="0" applyFont="1" applyFill="1" applyBorder="1" applyAlignment="1">
      <alignment horizontal="left" vertical="center"/>
    </xf>
    <xf numFmtId="0" fontId="5" fillId="5" borderId="1" xfId="0" applyFont="1" applyFill="1" applyBorder="1" applyAlignment="1">
      <alignment vertical="center"/>
    </xf>
    <xf numFmtId="0" fontId="4" fillId="5" borderId="1" xfId="0" applyFont="1" applyFill="1" applyBorder="1" applyAlignment="1">
      <alignment vertical="center"/>
    </xf>
    <xf numFmtId="0" fontId="4" fillId="4" borderId="1" xfId="0" applyFont="1" applyFill="1" applyBorder="1" applyAlignment="1">
      <alignment vertical="center"/>
    </xf>
    <xf numFmtId="0" fontId="6" fillId="0" borderId="2" xfId="0" applyFont="1" applyFill="1" applyBorder="1" applyAlignment="1">
      <alignment horizontal="left" vertical="center"/>
    </xf>
    <xf numFmtId="0" fontId="6" fillId="0" borderId="4" xfId="0" applyFont="1" applyFill="1" applyBorder="1" applyAlignment="1">
      <alignment horizontal="left" vertical="center"/>
    </xf>
    <xf numFmtId="0" fontId="6" fillId="0" borderId="5" xfId="0" applyFont="1" applyFill="1" applyBorder="1" applyAlignment="1">
      <alignment horizontal="left" vertical="center"/>
    </xf>
    <xf numFmtId="0" fontId="9" fillId="10" borderId="1" xfId="0" applyFont="1" applyFill="1" applyBorder="1" applyAlignment="1">
      <alignment horizontal="center" vertical="center"/>
    </xf>
    <xf numFmtId="0" fontId="4" fillId="0" borderId="1" xfId="2" applyFont="1" applyFill="1" applyBorder="1" applyAlignment="1">
      <alignment horizontal="left" vertical="center"/>
    </xf>
    <xf numFmtId="14" fontId="4" fillId="0" borderId="1" xfId="2" applyNumberFormat="1" applyFont="1" applyFill="1" applyBorder="1" applyAlignment="1">
      <alignment horizontal="left" vertical="center"/>
    </xf>
    <xf numFmtId="0" fontId="5" fillId="4" borderId="1" xfId="2" applyFont="1" applyFill="1" applyBorder="1" applyAlignment="1">
      <alignment vertical="center"/>
    </xf>
    <xf numFmtId="0" fontId="4" fillId="4" borderId="1" xfId="2" applyFont="1" applyFill="1" applyBorder="1" applyAlignment="1">
      <alignment vertical="center"/>
    </xf>
    <xf numFmtId="0" fontId="5" fillId="0" borderId="2" xfId="2" applyFont="1" applyFill="1" applyBorder="1" applyAlignment="1">
      <alignment horizontal="left" vertical="center"/>
    </xf>
    <xf numFmtId="0" fontId="5" fillId="0" borderId="5" xfId="2" applyFont="1" applyFill="1" applyBorder="1" applyAlignment="1">
      <alignment horizontal="left" vertical="center"/>
    </xf>
    <xf numFmtId="0" fontId="2" fillId="10" borderId="1" xfId="2" applyFont="1" applyFill="1" applyBorder="1" applyAlignment="1">
      <alignment horizontal="center" vertical="center"/>
    </xf>
    <xf numFmtId="0" fontId="12" fillId="10" borderId="1" xfId="2" applyFont="1" applyFill="1" applyBorder="1" applyAlignment="1">
      <alignment vertical="center"/>
    </xf>
    <xf numFmtId="0" fontId="5" fillId="4" borderId="1" xfId="2" applyFont="1" applyFill="1" applyBorder="1" applyAlignment="1">
      <alignment horizontal="left" vertical="center"/>
    </xf>
    <xf numFmtId="0" fontId="5" fillId="5" borderId="2" xfId="2" applyFont="1" applyFill="1" applyBorder="1" applyAlignment="1">
      <alignment vertical="center"/>
    </xf>
    <xf numFmtId="0" fontId="5" fillId="5" borderId="4" xfId="2" applyFont="1" applyFill="1" applyBorder="1" applyAlignment="1">
      <alignment vertical="center"/>
    </xf>
    <xf numFmtId="0" fontId="5" fillId="5" borderId="5" xfId="2" applyFont="1" applyFill="1" applyBorder="1" applyAlignment="1">
      <alignment vertical="center"/>
    </xf>
    <xf numFmtId="0" fontId="5" fillId="4" borderId="1" xfId="2" applyFont="1" applyFill="1" applyBorder="1" applyAlignment="1">
      <alignment horizontal="left" vertical="center" wrapText="1"/>
    </xf>
    <xf numFmtId="0" fontId="9" fillId="10" borderId="2" xfId="0" applyFont="1" applyFill="1" applyBorder="1" applyAlignment="1">
      <alignment horizontal="center" vertical="center"/>
    </xf>
    <xf numFmtId="0" fontId="9" fillId="10" borderId="4" xfId="0" applyFont="1" applyFill="1" applyBorder="1" applyAlignment="1">
      <alignment horizontal="center" vertical="center"/>
    </xf>
    <xf numFmtId="0" fontId="4" fillId="10" borderId="4" xfId="0" applyFont="1" applyFill="1" applyBorder="1" applyAlignment="1">
      <alignment horizontal="center" vertical="center"/>
    </xf>
    <xf numFmtId="0" fontId="4" fillId="10" borderId="5" xfId="0" applyFont="1" applyFill="1" applyBorder="1" applyAlignment="1">
      <alignment horizontal="center" vertical="center"/>
    </xf>
    <xf numFmtId="15" fontId="4" fillId="0" borderId="1" xfId="0" applyNumberFormat="1" applyFont="1" applyFill="1" applyBorder="1" applyAlignment="1">
      <alignment horizontal="center" vertical="center"/>
    </xf>
    <xf numFmtId="15" fontId="4" fillId="3" borderId="2" xfId="0" applyNumberFormat="1" applyFont="1" applyFill="1" applyBorder="1" applyAlignment="1">
      <alignment horizontal="center" vertical="center"/>
    </xf>
    <xf numFmtId="15" fontId="4" fillId="3" borderId="4" xfId="0" applyNumberFormat="1" applyFont="1" applyFill="1" applyBorder="1" applyAlignment="1">
      <alignment horizontal="center" vertical="center"/>
    </xf>
    <xf numFmtId="15" fontId="4" fillId="3" borderId="5" xfId="0" applyNumberFormat="1" applyFont="1" applyFill="1" applyBorder="1" applyAlignment="1">
      <alignment horizontal="center" vertical="center"/>
    </xf>
    <xf numFmtId="0" fontId="5" fillId="11" borderId="1" xfId="2" applyFont="1" applyFill="1" applyBorder="1" applyAlignment="1">
      <alignment horizontal="center" vertical="center"/>
    </xf>
    <xf numFmtId="0" fontId="2" fillId="12" borderId="1" xfId="2" applyFont="1" applyFill="1" applyBorder="1" applyAlignment="1">
      <alignment horizontal="center" vertical="center"/>
    </xf>
    <xf numFmtId="0" fontId="5" fillId="3" borderId="1" xfId="2" applyFont="1" applyFill="1" applyBorder="1" applyAlignment="1">
      <alignment horizontal="left" vertical="center"/>
    </xf>
  </cellXfs>
  <cellStyles count="4">
    <cellStyle name="Normal" xfId="0" builtinId="0"/>
    <cellStyle name="Normal 2" xfId="1"/>
    <cellStyle name="Normal 3" xfId="2"/>
    <cellStyle name="Percent" xfId="3" builtinId="5"/>
  </cellStyles>
  <dxfs count="1">
    <dxf>
      <fill>
        <patternFill>
          <bgColor indexed="1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3.emf"/><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2" Type="http://schemas.openxmlformats.org/officeDocument/2006/relationships/image" Target="../media/image3.emf"/><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0</xdr:col>
      <xdr:colOff>590550</xdr:colOff>
      <xdr:row>49</xdr:row>
      <xdr:rowOff>66675</xdr:rowOff>
    </xdr:from>
    <xdr:to>
      <xdr:col>1</xdr:col>
      <xdr:colOff>3305175</xdr:colOff>
      <xdr:row>77</xdr:row>
      <xdr:rowOff>66675</xdr:rowOff>
    </xdr:to>
    <xdr:pic>
      <xdr:nvPicPr>
        <xdr:cNvPr id="11267" name="Picture 1">
          <a:extLst>
            <a:ext uri="{FF2B5EF4-FFF2-40B4-BE49-F238E27FC236}">
              <a16:creationId xmlns:a16="http://schemas.microsoft.com/office/drawing/2014/main" id="{1E1C9419-CC13-437D-A1D1-DE25A11685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0550" y="14325600"/>
          <a:ext cx="5400675" cy="453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38100</xdr:colOff>
      <xdr:row>5</xdr:row>
      <xdr:rowOff>38100</xdr:rowOff>
    </xdr:from>
    <xdr:to>
      <xdr:col>0</xdr:col>
      <xdr:colOff>1809750</xdr:colOff>
      <xdr:row>14</xdr:row>
      <xdr:rowOff>542925</xdr:rowOff>
    </xdr:to>
    <xdr:pic>
      <xdr:nvPicPr>
        <xdr:cNvPr id="12291" name="Picture 2">
          <a:extLst>
            <a:ext uri="{FF2B5EF4-FFF2-40B4-BE49-F238E27FC236}">
              <a16:creationId xmlns:a16="http://schemas.microsoft.com/office/drawing/2014/main" id="{1A4BC685-FB7C-45D4-87BB-4697E618D9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r="66501"/>
        <a:stretch>
          <a:fillRect/>
        </a:stretch>
      </xdr:blipFill>
      <xdr:spPr bwMode="auto">
        <a:xfrm>
          <a:off x="38100" y="1581150"/>
          <a:ext cx="1771650" cy="6334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5.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6.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0"/>
  <sheetViews>
    <sheetView showGridLines="0" tabSelected="1" zoomScaleNormal="100" workbookViewId="0">
      <selection sqref="A1:B1"/>
    </sheetView>
  </sheetViews>
  <sheetFormatPr defaultRowHeight="12.75" x14ac:dyDescent="0.2"/>
  <cols>
    <col min="1" max="1" width="40.28515625" style="106" customWidth="1"/>
    <col min="2" max="2" width="85.7109375" style="106" customWidth="1"/>
    <col min="3" max="16384" width="9.140625" style="106"/>
  </cols>
  <sheetData>
    <row r="1" spans="1:2" ht="24" customHeight="1" x14ac:dyDescent="0.2">
      <c r="A1" s="139" t="s">
        <v>196</v>
      </c>
      <c r="B1" s="139"/>
    </row>
    <row r="2" spans="1:2" ht="18.75" customHeight="1" x14ac:dyDescent="0.2">
      <c r="A2" s="140" t="s">
        <v>230</v>
      </c>
      <c r="B2" s="141"/>
    </row>
    <row r="3" spans="1:2" ht="41.25" customHeight="1" x14ac:dyDescent="0.2">
      <c r="A3" s="142" t="s">
        <v>195</v>
      </c>
      <c r="B3" s="143"/>
    </row>
    <row r="4" spans="1:2" x14ac:dyDescent="0.2">
      <c r="A4" s="112"/>
      <c r="B4" s="118"/>
    </row>
    <row r="5" spans="1:2" ht="18" customHeight="1" x14ac:dyDescent="0.2">
      <c r="A5" s="126" t="s">
        <v>181</v>
      </c>
      <c r="B5" s="126" t="s">
        <v>182</v>
      </c>
    </row>
    <row r="6" spans="1:2" ht="39" customHeight="1" x14ac:dyDescent="0.2">
      <c r="A6" s="125" t="s">
        <v>228</v>
      </c>
      <c r="B6" s="108" t="s">
        <v>229</v>
      </c>
    </row>
    <row r="7" spans="1:2" ht="39" customHeight="1" x14ac:dyDescent="0.2">
      <c r="A7" s="125" t="s">
        <v>183</v>
      </c>
      <c r="B7" s="108" t="s">
        <v>184</v>
      </c>
    </row>
    <row r="8" spans="1:2" ht="39" customHeight="1" x14ac:dyDescent="0.2">
      <c r="A8" s="125" t="s">
        <v>185</v>
      </c>
      <c r="B8" s="108" t="s">
        <v>186</v>
      </c>
    </row>
    <row r="9" spans="1:2" ht="39" customHeight="1" x14ac:dyDescent="0.2">
      <c r="A9" s="125" t="s">
        <v>187</v>
      </c>
      <c r="B9" s="108" t="s">
        <v>188</v>
      </c>
    </row>
    <row r="10" spans="1:2" ht="39" customHeight="1" x14ac:dyDescent="0.2">
      <c r="A10" s="125" t="s">
        <v>189</v>
      </c>
      <c r="B10" s="108" t="s">
        <v>190</v>
      </c>
    </row>
    <row r="11" spans="1:2" ht="39" customHeight="1" x14ac:dyDescent="0.2">
      <c r="A11" s="125" t="s">
        <v>191</v>
      </c>
      <c r="B11" s="108" t="s">
        <v>192</v>
      </c>
    </row>
    <row r="12" spans="1:2" ht="39" customHeight="1" x14ac:dyDescent="0.2">
      <c r="A12" s="125" t="s">
        <v>193</v>
      </c>
      <c r="B12" s="108" t="s">
        <v>194</v>
      </c>
    </row>
    <row r="13" spans="1:2" x14ac:dyDescent="0.2">
      <c r="A13" s="112"/>
      <c r="B13" s="118"/>
    </row>
    <row r="14" spans="1:2" x14ac:dyDescent="0.2">
      <c r="A14" s="112"/>
      <c r="B14" s="118"/>
    </row>
    <row r="15" spans="1:2" ht="18.75" customHeight="1" x14ac:dyDescent="0.2">
      <c r="A15" s="140" t="s">
        <v>231</v>
      </c>
      <c r="B15" s="141"/>
    </row>
    <row r="16" spans="1:2" ht="18.75" customHeight="1" x14ac:dyDescent="0.2">
      <c r="A16" s="144" t="s">
        <v>248</v>
      </c>
      <c r="B16" s="145"/>
    </row>
    <row r="17" spans="1:2" ht="36" customHeight="1" x14ac:dyDescent="0.2">
      <c r="A17" s="137" t="s">
        <v>198</v>
      </c>
      <c r="B17" s="138"/>
    </row>
    <row r="18" spans="1:2" ht="31.5" customHeight="1" x14ac:dyDescent="0.2">
      <c r="A18" s="137" t="s">
        <v>199</v>
      </c>
      <c r="B18" s="138"/>
    </row>
    <row r="19" spans="1:2" x14ac:dyDescent="0.2">
      <c r="A19" s="119"/>
      <c r="B19" s="120"/>
    </row>
    <row r="20" spans="1:2" x14ac:dyDescent="0.2">
      <c r="A20" s="121" t="s">
        <v>200</v>
      </c>
      <c r="B20" s="120"/>
    </row>
    <row r="21" spans="1:2" x14ac:dyDescent="0.2">
      <c r="A21" s="121"/>
      <c r="B21" s="120"/>
    </row>
    <row r="22" spans="1:2" ht="60" customHeight="1" x14ac:dyDescent="0.2">
      <c r="A22" s="137" t="s">
        <v>201</v>
      </c>
      <c r="B22" s="138"/>
    </row>
    <row r="23" spans="1:2" ht="29.25" customHeight="1" x14ac:dyDescent="0.2">
      <c r="A23" s="133" t="s">
        <v>202</v>
      </c>
      <c r="B23" s="134"/>
    </row>
    <row r="24" spans="1:2" ht="15.75" customHeight="1" x14ac:dyDescent="0.2">
      <c r="A24" s="129" t="s">
        <v>232</v>
      </c>
      <c r="B24" s="130"/>
    </row>
    <row r="25" spans="1:2" ht="15.75" customHeight="1" x14ac:dyDescent="0.2">
      <c r="A25" s="129" t="s">
        <v>233</v>
      </c>
      <c r="B25" s="130"/>
    </row>
    <row r="26" spans="1:2" ht="15.75" customHeight="1" x14ac:dyDescent="0.2">
      <c r="A26" s="129" t="s">
        <v>234</v>
      </c>
      <c r="B26" s="130"/>
    </row>
    <row r="27" spans="1:2" ht="15.75" customHeight="1" x14ac:dyDescent="0.2">
      <c r="A27" s="129" t="s">
        <v>235</v>
      </c>
      <c r="B27" s="130"/>
    </row>
    <row r="28" spans="1:2" ht="15.75" customHeight="1" x14ac:dyDescent="0.2">
      <c r="A28" s="129" t="s">
        <v>236</v>
      </c>
      <c r="B28" s="130"/>
    </row>
    <row r="29" spans="1:2" ht="15.75" customHeight="1" x14ac:dyDescent="0.2">
      <c r="A29" s="129" t="s">
        <v>237</v>
      </c>
      <c r="B29" s="130"/>
    </row>
    <row r="30" spans="1:2" x14ac:dyDescent="0.2">
      <c r="A30" s="121"/>
      <c r="B30" s="120"/>
    </row>
    <row r="31" spans="1:2" ht="21" customHeight="1" x14ac:dyDescent="0.2">
      <c r="A31" s="133" t="s">
        <v>250</v>
      </c>
      <c r="B31" s="134"/>
    </row>
    <row r="32" spans="1:2" x14ac:dyDescent="0.2">
      <c r="A32" s="122"/>
      <c r="B32" s="123"/>
    </row>
    <row r="33" spans="1:2" s="109" customFormat="1" ht="18.75" customHeight="1" x14ac:dyDescent="0.2">
      <c r="A33" s="144" t="s">
        <v>203</v>
      </c>
      <c r="B33" s="145"/>
    </row>
    <row r="34" spans="1:2" ht="28.5" customHeight="1" x14ac:dyDescent="0.2">
      <c r="A34" s="133" t="s">
        <v>204</v>
      </c>
      <c r="B34" s="134"/>
    </row>
    <row r="35" spans="1:2" ht="46.5" customHeight="1" x14ac:dyDescent="0.2">
      <c r="A35" s="133" t="s">
        <v>205</v>
      </c>
      <c r="B35" s="134"/>
    </row>
    <row r="36" spans="1:2" ht="38.25" customHeight="1" x14ac:dyDescent="0.2">
      <c r="A36" s="133" t="s">
        <v>238</v>
      </c>
      <c r="B36" s="134"/>
    </row>
    <row r="37" spans="1:2" ht="48.75" customHeight="1" x14ac:dyDescent="0.2">
      <c r="A37" s="133" t="s">
        <v>239</v>
      </c>
      <c r="B37" s="134"/>
    </row>
    <row r="38" spans="1:2" x14ac:dyDescent="0.2">
      <c r="A38" s="121"/>
      <c r="B38" s="120"/>
    </row>
    <row r="39" spans="1:2" ht="15" customHeight="1" x14ac:dyDescent="0.2">
      <c r="A39" s="133" t="s">
        <v>206</v>
      </c>
      <c r="B39" s="134"/>
    </row>
    <row r="40" spans="1:2" x14ac:dyDescent="0.2">
      <c r="A40" s="129" t="s">
        <v>240</v>
      </c>
      <c r="B40" s="130"/>
    </row>
    <row r="41" spans="1:2" x14ac:dyDescent="0.2">
      <c r="A41" s="129" t="s">
        <v>241</v>
      </c>
      <c r="B41" s="130"/>
    </row>
    <row r="42" spans="1:2" x14ac:dyDescent="0.2">
      <c r="A42" s="129" t="s">
        <v>242</v>
      </c>
      <c r="B42" s="130"/>
    </row>
    <row r="43" spans="1:2" x14ac:dyDescent="0.2">
      <c r="A43" s="129" t="s">
        <v>243</v>
      </c>
      <c r="B43" s="130"/>
    </row>
    <row r="44" spans="1:2" x14ac:dyDescent="0.2">
      <c r="A44" s="129" t="s">
        <v>244</v>
      </c>
      <c r="B44" s="130"/>
    </row>
    <row r="45" spans="1:2" x14ac:dyDescent="0.2">
      <c r="A45" s="129" t="s">
        <v>245</v>
      </c>
      <c r="B45" s="130"/>
    </row>
    <row r="46" spans="1:2" x14ac:dyDescent="0.2">
      <c r="A46" s="129" t="s">
        <v>246</v>
      </c>
      <c r="B46" s="130"/>
    </row>
    <row r="47" spans="1:2" x14ac:dyDescent="0.2">
      <c r="A47" s="112"/>
      <c r="B47" s="118"/>
    </row>
    <row r="48" spans="1:2" x14ac:dyDescent="0.2">
      <c r="A48" s="112" t="s">
        <v>247</v>
      </c>
      <c r="B48" s="118"/>
    </row>
    <row r="49" spans="1:2" x14ac:dyDescent="0.2">
      <c r="A49" s="112"/>
      <c r="B49" s="118"/>
    </row>
    <row r="50" spans="1:2" x14ac:dyDescent="0.2">
      <c r="A50" s="112"/>
      <c r="B50" s="118"/>
    </row>
    <row r="51" spans="1:2" x14ac:dyDescent="0.2">
      <c r="A51" s="112"/>
      <c r="B51" s="118"/>
    </row>
    <row r="52" spans="1:2" x14ac:dyDescent="0.2">
      <c r="A52" s="112"/>
      <c r="B52" s="118"/>
    </row>
    <row r="53" spans="1:2" x14ac:dyDescent="0.2">
      <c r="A53" s="112"/>
      <c r="B53" s="118"/>
    </row>
    <row r="54" spans="1:2" x14ac:dyDescent="0.2">
      <c r="A54" s="112"/>
      <c r="B54" s="118"/>
    </row>
    <row r="55" spans="1:2" x14ac:dyDescent="0.2">
      <c r="A55" s="112"/>
      <c r="B55" s="118"/>
    </row>
    <row r="56" spans="1:2" x14ac:dyDescent="0.2">
      <c r="A56" s="112"/>
      <c r="B56" s="118"/>
    </row>
    <row r="57" spans="1:2" x14ac:dyDescent="0.2">
      <c r="A57" s="112"/>
      <c r="B57" s="118"/>
    </row>
    <row r="58" spans="1:2" x14ac:dyDescent="0.2">
      <c r="A58" s="112"/>
      <c r="B58" s="118"/>
    </row>
    <row r="59" spans="1:2" x14ac:dyDescent="0.2">
      <c r="A59" s="112"/>
      <c r="B59" s="118"/>
    </row>
    <row r="60" spans="1:2" x14ac:dyDescent="0.2">
      <c r="A60" s="112"/>
      <c r="B60" s="118"/>
    </row>
    <row r="61" spans="1:2" x14ac:dyDescent="0.2">
      <c r="A61" s="112"/>
      <c r="B61" s="118"/>
    </row>
    <row r="62" spans="1:2" x14ac:dyDescent="0.2">
      <c r="A62" s="112"/>
      <c r="B62" s="118"/>
    </row>
    <row r="63" spans="1:2" x14ac:dyDescent="0.2">
      <c r="A63" s="112"/>
      <c r="B63" s="118"/>
    </row>
    <row r="64" spans="1:2" x14ac:dyDescent="0.2">
      <c r="A64" s="112"/>
      <c r="B64" s="118"/>
    </row>
    <row r="65" spans="1:2" x14ac:dyDescent="0.2">
      <c r="A65" s="112"/>
      <c r="B65" s="118"/>
    </row>
    <row r="66" spans="1:2" x14ac:dyDescent="0.2">
      <c r="A66" s="112"/>
      <c r="B66" s="118"/>
    </row>
    <row r="67" spans="1:2" x14ac:dyDescent="0.2">
      <c r="A67" s="112"/>
      <c r="B67" s="118"/>
    </row>
    <row r="68" spans="1:2" x14ac:dyDescent="0.2">
      <c r="A68" s="112"/>
      <c r="B68" s="118"/>
    </row>
    <row r="69" spans="1:2" x14ac:dyDescent="0.2">
      <c r="A69" s="112"/>
      <c r="B69" s="118"/>
    </row>
    <row r="70" spans="1:2" x14ac:dyDescent="0.2">
      <c r="A70" s="112"/>
      <c r="B70" s="118"/>
    </row>
    <row r="71" spans="1:2" x14ac:dyDescent="0.2">
      <c r="A71" s="112"/>
      <c r="B71" s="118"/>
    </row>
    <row r="72" spans="1:2" x14ac:dyDescent="0.2">
      <c r="A72" s="112"/>
      <c r="B72" s="118"/>
    </row>
    <row r="73" spans="1:2" x14ac:dyDescent="0.2">
      <c r="A73" s="112"/>
      <c r="B73" s="118"/>
    </row>
    <row r="74" spans="1:2" x14ac:dyDescent="0.2">
      <c r="A74" s="112"/>
      <c r="B74" s="118"/>
    </row>
    <row r="75" spans="1:2" x14ac:dyDescent="0.2">
      <c r="A75" s="112"/>
      <c r="B75" s="118"/>
    </row>
    <row r="76" spans="1:2" x14ac:dyDescent="0.2">
      <c r="A76" s="112"/>
      <c r="B76" s="118"/>
    </row>
    <row r="77" spans="1:2" x14ac:dyDescent="0.2">
      <c r="A77" s="112"/>
      <c r="B77" s="118"/>
    </row>
    <row r="78" spans="1:2" x14ac:dyDescent="0.2">
      <c r="A78" s="113"/>
      <c r="B78" s="124"/>
    </row>
    <row r="79" spans="1:2" ht="24" customHeight="1" x14ac:dyDescent="0.2">
      <c r="A79" s="131" t="s">
        <v>249</v>
      </c>
      <c r="B79" s="132"/>
    </row>
    <row r="80" spans="1:2" ht="361.5" customHeight="1" x14ac:dyDescent="0.2">
      <c r="A80" s="135" t="s">
        <v>251</v>
      </c>
      <c r="B80" s="136"/>
    </row>
  </sheetData>
  <mergeCells count="31">
    <mergeCell ref="A33:B33"/>
    <mergeCell ref="A25:B25"/>
    <mergeCell ref="A1:B1"/>
    <mergeCell ref="A2:B2"/>
    <mergeCell ref="A3:B3"/>
    <mergeCell ref="A16:B16"/>
    <mergeCell ref="A15:B15"/>
    <mergeCell ref="A17:B17"/>
    <mergeCell ref="A18:B18"/>
    <mergeCell ref="A26:B26"/>
    <mergeCell ref="A27:B27"/>
    <mergeCell ref="A28:B28"/>
    <mergeCell ref="A29:B29"/>
    <mergeCell ref="A34:B34"/>
    <mergeCell ref="A22:B22"/>
    <mergeCell ref="A23:B23"/>
    <mergeCell ref="A24:B24"/>
    <mergeCell ref="A31:B31"/>
    <mergeCell ref="A80:B80"/>
    <mergeCell ref="A39:B39"/>
    <mergeCell ref="A40:B40"/>
    <mergeCell ref="A41:B41"/>
    <mergeCell ref="A42:B42"/>
    <mergeCell ref="A43:B43"/>
    <mergeCell ref="A44:B44"/>
    <mergeCell ref="A45:B45"/>
    <mergeCell ref="A46:B46"/>
    <mergeCell ref="A79:B79"/>
    <mergeCell ref="A35:B35"/>
    <mergeCell ref="A36:B36"/>
    <mergeCell ref="A37:B37"/>
  </mergeCells>
  <phoneticPr fontId="0" type="noConversion"/>
  <pageMargins left="0.70866141732283472" right="0.70866141732283472" top="0.74803149606299213" bottom="0.74803149606299213" header="0.31496062992125984" footer="0.31496062992125984"/>
  <pageSetup paperSize="9" orientation="portrait" r:id="rId1"/>
  <headerFooter>
    <oddHeader>&amp;R&amp;G</oddHeader>
    <oddFooter xml:space="preserve">&amp;L&amp;G&amp;C&amp;"Arial,Regular"&amp;8&amp;A&amp;R&amp;"Arial,Regular"&amp;7© Energetics Pty Ltd 2010&amp;8         Page &amp;P  </oddFoot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0"/>
  <sheetViews>
    <sheetView zoomScale="77" zoomScaleNormal="77" workbookViewId="0">
      <selection sqref="A1:G1"/>
    </sheetView>
  </sheetViews>
  <sheetFormatPr defaultRowHeight="12.75" x14ac:dyDescent="0.2"/>
  <cols>
    <col min="1" max="1" width="28" style="106" customWidth="1"/>
    <col min="2" max="2" width="33.5703125" style="106" customWidth="1"/>
    <col min="3" max="3" width="39.5703125" style="106" customWidth="1"/>
    <col min="4" max="7" width="31.7109375" style="106" customWidth="1"/>
    <col min="8" max="16384" width="9.140625" style="106"/>
  </cols>
  <sheetData>
    <row r="1" spans="1:7" ht="24" customHeight="1" x14ac:dyDescent="0.2">
      <c r="A1" s="139" t="s">
        <v>207</v>
      </c>
      <c r="B1" s="139"/>
      <c r="C1" s="139"/>
      <c r="D1" s="139"/>
      <c r="E1" s="139"/>
      <c r="F1" s="139"/>
      <c r="G1" s="139"/>
    </row>
    <row r="2" spans="1:7" ht="18.75" customHeight="1" x14ac:dyDescent="0.2">
      <c r="A2" s="152" t="s">
        <v>197</v>
      </c>
      <c r="B2" s="152"/>
      <c r="C2" s="152"/>
      <c r="D2" s="152"/>
      <c r="E2" s="152"/>
      <c r="F2" s="152"/>
      <c r="G2" s="152"/>
    </row>
    <row r="3" spans="1:7" ht="41.25" customHeight="1" x14ac:dyDescent="0.2">
      <c r="A3" s="153" t="s">
        <v>208</v>
      </c>
      <c r="B3" s="154"/>
      <c r="C3" s="154"/>
      <c r="D3" s="154"/>
      <c r="E3" s="154"/>
      <c r="F3" s="154"/>
      <c r="G3" s="155"/>
    </row>
    <row r="4" spans="1:7" ht="18.75" customHeight="1" x14ac:dyDescent="0.2">
      <c r="A4" s="107" t="s">
        <v>226</v>
      </c>
      <c r="B4" s="149" t="s">
        <v>227</v>
      </c>
      <c r="C4" s="150"/>
      <c r="D4" s="150"/>
      <c r="E4" s="150"/>
      <c r="F4" s="150"/>
      <c r="G4" s="151"/>
    </row>
    <row r="5" spans="1:7" ht="18.75" customHeight="1" x14ac:dyDescent="0.2">
      <c r="A5" s="111" t="s">
        <v>225</v>
      </c>
      <c r="B5" s="111" t="s">
        <v>183</v>
      </c>
      <c r="C5" s="111" t="s">
        <v>185</v>
      </c>
      <c r="D5" s="111" t="s">
        <v>210</v>
      </c>
      <c r="E5" s="111" t="s">
        <v>189</v>
      </c>
      <c r="F5" s="111" t="s">
        <v>191</v>
      </c>
      <c r="G5" s="111" t="s">
        <v>193</v>
      </c>
    </row>
    <row r="6" spans="1:7" ht="51" customHeight="1" x14ac:dyDescent="0.2">
      <c r="A6" s="112"/>
      <c r="B6" s="114" t="s">
        <v>209</v>
      </c>
      <c r="C6" s="115" t="s">
        <v>213</v>
      </c>
      <c r="D6" s="115" t="s">
        <v>211</v>
      </c>
      <c r="E6" s="115" t="s">
        <v>212</v>
      </c>
      <c r="F6" s="115"/>
      <c r="G6" s="116"/>
    </row>
    <row r="7" spans="1:7" ht="51" customHeight="1" x14ac:dyDescent="0.2">
      <c r="A7" s="112"/>
      <c r="B7" s="114" t="s">
        <v>214</v>
      </c>
      <c r="C7" s="115"/>
      <c r="D7" s="115"/>
      <c r="E7" s="115"/>
      <c r="F7" s="115"/>
      <c r="G7" s="117"/>
    </row>
    <row r="8" spans="1:7" ht="51" customHeight="1" x14ac:dyDescent="0.2">
      <c r="A8" s="112"/>
      <c r="B8" s="114"/>
      <c r="C8" s="115" t="s">
        <v>215</v>
      </c>
      <c r="D8" s="115"/>
      <c r="E8" s="115"/>
      <c r="F8" s="115"/>
      <c r="G8" s="117"/>
    </row>
    <row r="9" spans="1:7" ht="51" customHeight="1" x14ac:dyDescent="0.2">
      <c r="A9" s="112"/>
      <c r="B9" s="114"/>
      <c r="C9" s="115" t="s">
        <v>216</v>
      </c>
      <c r="D9" s="115"/>
      <c r="E9" s="115"/>
      <c r="F9" s="115"/>
      <c r="G9" s="117"/>
    </row>
    <row r="10" spans="1:7" ht="51" customHeight="1" x14ac:dyDescent="0.2">
      <c r="A10" s="112"/>
      <c r="B10" s="114"/>
      <c r="C10" s="115"/>
      <c r="D10" s="115" t="s">
        <v>217</v>
      </c>
      <c r="E10" s="115"/>
      <c r="F10" s="115"/>
      <c r="G10" s="117"/>
    </row>
    <row r="11" spans="1:7" ht="51" customHeight="1" x14ac:dyDescent="0.2">
      <c r="A11" s="112"/>
      <c r="B11" s="114"/>
      <c r="C11" s="115"/>
      <c r="D11" s="115" t="s">
        <v>218</v>
      </c>
      <c r="E11" s="115" t="s">
        <v>219</v>
      </c>
      <c r="F11" s="115"/>
      <c r="G11" s="117"/>
    </row>
    <row r="12" spans="1:7" ht="51" customHeight="1" x14ac:dyDescent="0.2">
      <c r="A12" s="112"/>
      <c r="B12" s="114"/>
      <c r="C12" s="115"/>
      <c r="D12" s="115"/>
      <c r="E12" s="115"/>
      <c r="F12" s="115" t="s">
        <v>220</v>
      </c>
      <c r="G12" s="117" t="s">
        <v>221</v>
      </c>
    </row>
    <row r="13" spans="1:7" ht="51" customHeight="1" x14ac:dyDescent="0.2">
      <c r="A13" s="112"/>
      <c r="B13" s="114"/>
      <c r="C13" s="115"/>
      <c r="D13" s="115"/>
      <c r="E13" s="115" t="s">
        <v>222</v>
      </c>
      <c r="F13" s="115"/>
      <c r="G13" s="117"/>
    </row>
    <row r="14" spans="1:7" ht="51" customHeight="1" x14ac:dyDescent="0.2">
      <c r="A14" s="112"/>
      <c r="B14" s="114"/>
      <c r="C14" s="115" t="s">
        <v>223</v>
      </c>
      <c r="D14" s="115"/>
      <c r="E14" s="115"/>
      <c r="F14" s="115"/>
      <c r="G14" s="117"/>
    </row>
    <row r="15" spans="1:7" ht="51" customHeight="1" x14ac:dyDescent="0.2">
      <c r="A15" s="113"/>
      <c r="B15" s="146" t="s">
        <v>224</v>
      </c>
      <c r="C15" s="147"/>
      <c r="D15" s="147"/>
      <c r="E15" s="147"/>
      <c r="F15" s="147"/>
      <c r="G15" s="148"/>
    </row>
    <row r="16" spans="1:7" x14ac:dyDescent="0.2">
      <c r="B16" s="110"/>
      <c r="C16" s="110"/>
      <c r="D16" s="110"/>
      <c r="E16" s="110"/>
      <c r="F16" s="110"/>
      <c r="G16" s="110"/>
    </row>
    <row r="17" spans="2:7" x14ac:dyDescent="0.2">
      <c r="B17" s="110"/>
      <c r="C17" s="110"/>
      <c r="D17" s="110"/>
      <c r="E17" s="110"/>
      <c r="F17" s="110"/>
      <c r="G17" s="110"/>
    </row>
    <row r="18" spans="2:7" x14ac:dyDescent="0.2">
      <c r="B18" s="110"/>
      <c r="C18" s="110"/>
      <c r="D18" s="110"/>
      <c r="E18" s="110"/>
      <c r="F18" s="110"/>
      <c r="G18" s="110"/>
    </row>
    <row r="19" spans="2:7" x14ac:dyDescent="0.2">
      <c r="B19" s="110"/>
      <c r="C19" s="110"/>
      <c r="D19" s="110"/>
      <c r="E19" s="110"/>
      <c r="F19" s="110"/>
      <c r="G19" s="110"/>
    </row>
    <row r="20" spans="2:7" x14ac:dyDescent="0.2">
      <c r="B20" s="110"/>
      <c r="C20" s="110"/>
      <c r="D20" s="110"/>
      <c r="E20" s="110"/>
      <c r="F20" s="110"/>
      <c r="G20" s="110"/>
    </row>
  </sheetData>
  <mergeCells count="5">
    <mergeCell ref="B15:G15"/>
    <mergeCell ref="B4:G4"/>
    <mergeCell ref="A1:G1"/>
    <mergeCell ref="A2:G2"/>
    <mergeCell ref="A3:G3"/>
  </mergeCells>
  <phoneticPr fontId="0" type="noConversion"/>
  <pageMargins left="0.70866141732283472" right="0.70866141732283472" top="0.74803149606299213" bottom="0.74803149606299213" header="0.31496062992125984" footer="0.31496062992125984"/>
  <pageSetup paperSize="9" orientation="portrait" r:id="rId1"/>
  <headerFooter>
    <oddHeader>&amp;R&amp;G</oddHeader>
    <oddFooter xml:space="preserve">&amp;L&amp;G&amp;C&amp;"Arial,Regular"&amp;8&amp;A&amp;R&amp;"Arial,Regular"&amp;7© Energetics Pty Ltd 2010&amp;8         Page &amp;P  </oddFooter>
  </headerFooter>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19"/>
  <sheetViews>
    <sheetView showGridLines="0" workbookViewId="0">
      <selection sqref="A1:D1"/>
    </sheetView>
  </sheetViews>
  <sheetFormatPr defaultRowHeight="12.75" x14ac:dyDescent="0.2"/>
  <cols>
    <col min="1" max="1" width="25.28515625" style="1" customWidth="1"/>
    <col min="2" max="2" width="33.7109375" style="1" customWidth="1"/>
    <col min="3" max="3" width="33.28515625" style="1" customWidth="1"/>
    <col min="4" max="4" width="45" style="1" customWidth="1"/>
    <col min="5" max="16384" width="9.140625" style="1"/>
  </cols>
  <sheetData>
    <row r="1" spans="1:4" ht="24" customHeight="1" x14ac:dyDescent="0.2">
      <c r="A1" s="165" t="s">
        <v>67</v>
      </c>
      <c r="B1" s="166"/>
      <c r="C1" s="166"/>
      <c r="D1" s="167"/>
    </row>
    <row r="2" spans="1:4" ht="18.75" customHeight="1" x14ac:dyDescent="0.2">
      <c r="A2" s="156" t="s">
        <v>176</v>
      </c>
      <c r="B2" s="157"/>
      <c r="C2" s="157"/>
      <c r="D2" s="158"/>
    </row>
    <row r="3" spans="1:4" ht="32.25" customHeight="1" x14ac:dyDescent="0.2">
      <c r="A3" s="54" t="s">
        <v>177</v>
      </c>
      <c r="B3" s="159"/>
      <c r="C3" s="160"/>
      <c r="D3" s="161"/>
    </row>
    <row r="4" spans="1:4" ht="32.25" customHeight="1" x14ac:dyDescent="0.2">
      <c r="A4" s="54" t="s">
        <v>178</v>
      </c>
      <c r="B4" s="159"/>
      <c r="C4" s="160"/>
      <c r="D4" s="161"/>
    </row>
    <row r="5" spans="1:4" ht="73.5" customHeight="1" x14ac:dyDescent="0.2">
      <c r="A5" s="54" t="s">
        <v>179</v>
      </c>
      <c r="B5" s="159"/>
      <c r="C5" s="160"/>
      <c r="D5" s="161"/>
    </row>
    <row r="6" spans="1:4" ht="18.75" customHeight="1" x14ac:dyDescent="0.2">
      <c r="A6" s="156" t="s">
        <v>49</v>
      </c>
      <c r="B6" s="157"/>
      <c r="C6" s="157"/>
      <c r="D6" s="158"/>
    </row>
    <row r="7" spans="1:4" ht="219" customHeight="1" x14ac:dyDescent="0.2">
      <c r="A7" s="54" t="s">
        <v>31</v>
      </c>
      <c r="B7" s="168"/>
      <c r="C7" s="169"/>
      <c r="D7" s="169"/>
    </row>
    <row r="8" spans="1:4" ht="15.75" x14ac:dyDescent="0.2">
      <c r="A8" s="173" t="s">
        <v>159</v>
      </c>
      <c r="B8" s="56" t="s">
        <v>137</v>
      </c>
      <c r="C8" s="56" t="s">
        <v>139</v>
      </c>
      <c r="D8" s="56" t="s">
        <v>160</v>
      </c>
    </row>
    <row r="9" spans="1:4" ht="36" customHeight="1" x14ac:dyDescent="0.2">
      <c r="A9" s="174"/>
      <c r="B9" s="43">
        <v>0</v>
      </c>
      <c r="C9" s="44">
        <v>0</v>
      </c>
      <c r="D9" s="43">
        <v>0</v>
      </c>
    </row>
    <row r="10" spans="1:4" ht="31.5" customHeight="1" x14ac:dyDescent="0.2">
      <c r="A10" s="54" t="s">
        <v>161</v>
      </c>
      <c r="B10" s="175">
        <v>0</v>
      </c>
      <c r="C10" s="176"/>
      <c r="D10" s="177"/>
    </row>
    <row r="11" spans="1:4" ht="71.25" customHeight="1" x14ac:dyDescent="0.2">
      <c r="A11" s="54" t="s">
        <v>36</v>
      </c>
      <c r="B11" s="170"/>
      <c r="C11" s="171"/>
      <c r="D11" s="172"/>
    </row>
    <row r="12" spans="1:4" ht="43.5" customHeight="1" x14ac:dyDescent="0.2">
      <c r="A12" s="55" t="s">
        <v>32</v>
      </c>
      <c r="B12" s="171"/>
      <c r="C12" s="171"/>
      <c r="D12" s="172"/>
    </row>
    <row r="13" spans="1:4" ht="21" customHeight="1" x14ac:dyDescent="0.2">
      <c r="A13" s="162" t="s">
        <v>43</v>
      </c>
      <c r="B13" s="56" t="s">
        <v>35</v>
      </c>
      <c r="C13" s="56" t="s">
        <v>33</v>
      </c>
      <c r="D13" s="56" t="s">
        <v>34</v>
      </c>
    </row>
    <row r="14" spans="1:4" ht="16.5" customHeight="1" x14ac:dyDescent="0.2">
      <c r="A14" s="163"/>
      <c r="B14" s="65"/>
      <c r="C14" s="65"/>
      <c r="D14" s="65"/>
    </row>
    <row r="15" spans="1:4" ht="16.5" customHeight="1" x14ac:dyDescent="0.2">
      <c r="A15" s="163"/>
      <c r="B15" s="65"/>
      <c r="C15" s="65"/>
      <c r="D15" s="65"/>
    </row>
    <row r="16" spans="1:4" ht="16.5" customHeight="1" x14ac:dyDescent="0.2">
      <c r="A16" s="163"/>
      <c r="B16" s="65"/>
      <c r="C16" s="65"/>
      <c r="D16" s="65"/>
    </row>
    <row r="17" spans="1:4" ht="16.5" customHeight="1" x14ac:dyDescent="0.2">
      <c r="A17" s="163"/>
      <c r="B17" s="65"/>
      <c r="C17" s="65"/>
      <c r="D17" s="65"/>
    </row>
    <row r="18" spans="1:4" ht="16.5" customHeight="1" x14ac:dyDescent="0.2">
      <c r="A18" s="164"/>
      <c r="B18" s="65"/>
      <c r="C18" s="65"/>
      <c r="D18" s="65"/>
    </row>
    <row r="19" spans="1:4" ht="18.75" customHeight="1" x14ac:dyDescent="0.2"/>
  </sheetData>
  <mergeCells count="12">
    <mergeCell ref="A8:A9"/>
    <mergeCell ref="B10:D10"/>
    <mergeCell ref="A2:D2"/>
    <mergeCell ref="B3:D3"/>
    <mergeCell ref="B4:D4"/>
    <mergeCell ref="B5:D5"/>
    <mergeCell ref="A13:A18"/>
    <mergeCell ref="A1:D1"/>
    <mergeCell ref="A6:D6"/>
    <mergeCell ref="B7:D7"/>
    <mergeCell ref="B11:D11"/>
    <mergeCell ref="B12:D12"/>
  </mergeCells>
  <phoneticPr fontId="0" type="noConversion"/>
  <printOptions horizontalCentered="1"/>
  <pageMargins left="0.23622047244094491" right="0.23622047244094491" top="0.74803149606299213" bottom="0.59055118110236227" header="0.51181102362204722" footer="0.51181102362204722"/>
  <pageSetup paperSize="9" fitToHeight="0" orientation="landscape" r:id="rId1"/>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D38"/>
  <sheetViews>
    <sheetView showGridLines="0" workbookViewId="0">
      <selection sqref="A1:D1"/>
    </sheetView>
  </sheetViews>
  <sheetFormatPr defaultRowHeight="12.75" x14ac:dyDescent="0.2"/>
  <cols>
    <col min="1" max="1" width="30.5703125" style="1" customWidth="1"/>
    <col min="2" max="2" width="49.7109375" style="1" customWidth="1"/>
    <col min="3" max="3" width="21.28515625" style="1" customWidth="1"/>
    <col min="4" max="4" width="45" style="1" customWidth="1"/>
    <col min="5" max="16384" width="9.140625" style="1"/>
  </cols>
  <sheetData>
    <row r="1" spans="1:4" ht="24" customHeight="1" x14ac:dyDescent="0.2">
      <c r="A1" s="199" t="s">
        <v>132</v>
      </c>
      <c r="B1" s="200"/>
      <c r="C1" s="200"/>
      <c r="D1" s="201"/>
    </row>
    <row r="2" spans="1:4" ht="18.75" customHeight="1" x14ac:dyDescent="0.2">
      <c r="A2" s="149" t="s">
        <v>37</v>
      </c>
      <c r="B2" s="150"/>
      <c r="C2" s="150"/>
      <c r="D2" s="151"/>
    </row>
    <row r="3" spans="1:4" ht="35.25" customHeight="1" x14ac:dyDescent="0.2">
      <c r="A3" s="80" t="s">
        <v>13</v>
      </c>
      <c r="B3" s="10"/>
      <c r="C3" s="81" t="s">
        <v>9</v>
      </c>
      <c r="D3" s="2"/>
    </row>
    <row r="4" spans="1:4" ht="20.25" customHeight="1" x14ac:dyDescent="0.2">
      <c r="A4" s="80" t="s">
        <v>8</v>
      </c>
      <c r="B4" s="2"/>
      <c r="C4" s="81" t="s">
        <v>30</v>
      </c>
      <c r="D4" s="53"/>
    </row>
    <row r="5" spans="1:4" ht="21" customHeight="1" x14ac:dyDescent="0.2">
      <c r="A5" s="195" t="s">
        <v>174</v>
      </c>
      <c r="B5" s="85" t="s">
        <v>35</v>
      </c>
      <c r="C5" s="85" t="s">
        <v>33</v>
      </c>
      <c r="D5" s="85" t="s">
        <v>34</v>
      </c>
    </row>
    <row r="6" spans="1:4" x14ac:dyDescent="0.2">
      <c r="A6" s="196"/>
      <c r="B6" s="64" t="s">
        <v>252</v>
      </c>
      <c r="C6" s="65"/>
      <c r="D6" s="65"/>
    </row>
    <row r="7" spans="1:4" ht="16.5" customHeight="1" x14ac:dyDescent="0.2">
      <c r="A7" s="196"/>
      <c r="B7" s="64" t="s">
        <v>253</v>
      </c>
      <c r="C7" s="64"/>
      <c r="D7" s="64"/>
    </row>
    <row r="8" spans="1:4" ht="16.5" customHeight="1" x14ac:dyDescent="0.2">
      <c r="A8" s="196"/>
      <c r="B8" s="64" t="s">
        <v>254</v>
      </c>
      <c r="C8" s="65"/>
      <c r="D8" s="65"/>
    </row>
    <row r="9" spans="1:4" ht="16.5" customHeight="1" x14ac:dyDescent="0.2">
      <c r="A9" s="196"/>
      <c r="B9" s="64" t="s">
        <v>255</v>
      </c>
      <c r="C9" s="64"/>
      <c r="D9" s="64"/>
    </row>
    <row r="10" spans="1:4" ht="16.5" customHeight="1" x14ac:dyDescent="0.2">
      <c r="A10" s="196"/>
      <c r="B10" s="64" t="s">
        <v>256</v>
      </c>
      <c r="C10" s="65"/>
      <c r="D10" s="64"/>
    </row>
    <row r="11" spans="1:4" ht="16.5" customHeight="1" x14ac:dyDescent="0.2">
      <c r="A11" s="197"/>
      <c r="B11" s="64" t="s">
        <v>261</v>
      </c>
      <c r="C11" s="65"/>
      <c r="D11" s="64"/>
    </row>
    <row r="12" spans="1:4" x14ac:dyDescent="0.2">
      <c r="A12" s="80" t="s">
        <v>175</v>
      </c>
      <c r="B12" s="198"/>
      <c r="C12" s="198"/>
      <c r="D12" s="198"/>
    </row>
    <row r="15" spans="1:4" ht="18.75" customHeight="1" x14ac:dyDescent="0.2">
      <c r="A15" s="149" t="s">
        <v>77</v>
      </c>
      <c r="B15" s="150"/>
      <c r="C15" s="150"/>
      <c r="D15" s="151"/>
    </row>
    <row r="16" spans="1:4" ht="54.75" customHeight="1" x14ac:dyDescent="0.2">
      <c r="A16" s="86" t="s">
        <v>16</v>
      </c>
      <c r="B16" s="169"/>
      <c r="C16" s="169"/>
      <c r="D16" s="169"/>
    </row>
    <row r="17" spans="1:4" x14ac:dyDescent="0.2">
      <c r="A17" s="189" t="s">
        <v>17</v>
      </c>
      <c r="B17" s="81" t="s">
        <v>18</v>
      </c>
      <c r="C17" s="190" t="s">
        <v>19</v>
      </c>
      <c r="D17" s="191"/>
    </row>
    <row r="18" spans="1:4" x14ac:dyDescent="0.2">
      <c r="A18" s="189"/>
      <c r="B18" s="51"/>
      <c r="C18" s="192"/>
      <c r="D18" s="169"/>
    </row>
    <row r="19" spans="1:4" x14ac:dyDescent="0.2">
      <c r="A19" s="189"/>
      <c r="B19" s="51"/>
      <c r="C19" s="192"/>
      <c r="D19" s="169"/>
    </row>
    <row r="20" spans="1:4" x14ac:dyDescent="0.2">
      <c r="A20" s="189"/>
      <c r="B20" s="4"/>
      <c r="C20" s="169"/>
      <c r="D20" s="169"/>
    </row>
    <row r="21" spans="1:4" x14ac:dyDescent="0.2">
      <c r="A21" s="189" t="s">
        <v>20</v>
      </c>
      <c r="B21" s="81" t="s">
        <v>21</v>
      </c>
      <c r="C21" s="190" t="s">
        <v>22</v>
      </c>
      <c r="D21" s="191"/>
    </row>
    <row r="22" spans="1:4" x14ac:dyDescent="0.2">
      <c r="A22" s="189"/>
      <c r="B22" s="10"/>
      <c r="C22" s="193"/>
      <c r="D22" s="194"/>
    </row>
    <row r="23" spans="1:4" x14ac:dyDescent="0.2">
      <c r="A23" s="189"/>
      <c r="B23" s="10"/>
      <c r="C23" s="193"/>
      <c r="D23" s="194"/>
    </row>
    <row r="24" spans="1:4" x14ac:dyDescent="0.2">
      <c r="A24" s="189"/>
      <c r="B24" s="17"/>
      <c r="C24" s="194"/>
      <c r="D24" s="194"/>
    </row>
    <row r="25" spans="1:4" x14ac:dyDescent="0.2">
      <c r="A25" s="178" t="s">
        <v>23</v>
      </c>
      <c r="B25" s="181" t="s">
        <v>24</v>
      </c>
      <c r="C25" s="183" t="s">
        <v>25</v>
      </c>
      <c r="D25" s="184"/>
    </row>
    <row r="26" spans="1:4" x14ac:dyDescent="0.2">
      <c r="A26" s="179"/>
      <c r="B26" s="182"/>
      <c r="C26" s="85" t="s">
        <v>26</v>
      </c>
      <c r="D26" s="85" t="s">
        <v>27</v>
      </c>
    </row>
    <row r="27" spans="1:4" x14ac:dyDescent="0.2">
      <c r="A27" s="179"/>
      <c r="B27" s="10"/>
      <c r="C27" s="17"/>
      <c r="D27" s="17"/>
    </row>
    <row r="28" spans="1:4" x14ac:dyDescent="0.2">
      <c r="A28" s="179"/>
      <c r="B28" s="10"/>
      <c r="C28" s="17"/>
      <c r="D28" s="17"/>
    </row>
    <row r="29" spans="1:4" x14ac:dyDescent="0.2">
      <c r="A29" s="179"/>
      <c r="B29" s="10"/>
      <c r="C29" s="17"/>
      <c r="D29" s="17"/>
    </row>
    <row r="30" spans="1:4" x14ac:dyDescent="0.2">
      <c r="A30" s="179"/>
      <c r="B30" s="10"/>
      <c r="C30" s="17"/>
      <c r="D30" s="17"/>
    </row>
    <row r="31" spans="1:4" x14ac:dyDescent="0.2">
      <c r="A31" s="179"/>
      <c r="B31" s="10"/>
      <c r="C31" s="17"/>
      <c r="D31" s="17"/>
    </row>
    <row r="32" spans="1:4" x14ac:dyDescent="0.2">
      <c r="A32" s="179"/>
      <c r="B32" s="10"/>
      <c r="C32" s="17"/>
      <c r="D32" s="17"/>
    </row>
    <row r="33" spans="1:4" x14ac:dyDescent="0.2">
      <c r="A33" s="180"/>
      <c r="B33" s="10"/>
      <c r="C33" s="17"/>
      <c r="D33" s="17"/>
    </row>
    <row r="34" spans="1:4" x14ac:dyDescent="0.2">
      <c r="A34" s="178" t="s">
        <v>28</v>
      </c>
      <c r="B34" s="187" t="s">
        <v>257</v>
      </c>
      <c r="C34" s="188"/>
      <c r="D34" s="188"/>
    </row>
    <row r="35" spans="1:4" x14ac:dyDescent="0.2">
      <c r="A35" s="185"/>
      <c r="B35" s="187" t="s">
        <v>258</v>
      </c>
      <c r="C35" s="188"/>
      <c r="D35" s="188"/>
    </row>
    <row r="36" spans="1:4" x14ac:dyDescent="0.2">
      <c r="A36" s="185"/>
      <c r="B36" s="187" t="s">
        <v>259</v>
      </c>
      <c r="C36" s="188"/>
      <c r="D36" s="188"/>
    </row>
    <row r="37" spans="1:4" x14ac:dyDescent="0.2">
      <c r="A37" s="185"/>
      <c r="B37" s="187" t="s">
        <v>260</v>
      </c>
      <c r="C37" s="188"/>
      <c r="D37" s="188"/>
    </row>
    <row r="38" spans="1:4" x14ac:dyDescent="0.2">
      <c r="A38" s="186"/>
      <c r="B38" s="188" t="s">
        <v>29</v>
      </c>
      <c r="C38" s="188"/>
      <c r="D38" s="188"/>
    </row>
  </sheetData>
  <mergeCells count="25">
    <mergeCell ref="B16:D16"/>
    <mergeCell ref="A5:A11"/>
    <mergeCell ref="B12:D12"/>
    <mergeCell ref="A1:D1"/>
    <mergeCell ref="A2:D2"/>
    <mergeCell ref="A15:D15"/>
    <mergeCell ref="A17:A20"/>
    <mergeCell ref="C17:D17"/>
    <mergeCell ref="C18:D18"/>
    <mergeCell ref="C19:D19"/>
    <mergeCell ref="C20:D20"/>
    <mergeCell ref="A21:A24"/>
    <mergeCell ref="C21:D21"/>
    <mergeCell ref="C22:D22"/>
    <mergeCell ref="C23:D23"/>
    <mergeCell ref="C24:D24"/>
    <mergeCell ref="A25:A33"/>
    <mergeCell ref="B25:B26"/>
    <mergeCell ref="C25:D25"/>
    <mergeCell ref="A34:A38"/>
    <mergeCell ref="B34:D34"/>
    <mergeCell ref="B35:D35"/>
    <mergeCell ref="B36:D36"/>
    <mergeCell ref="B37:D37"/>
    <mergeCell ref="B38:D38"/>
  </mergeCells>
  <phoneticPr fontId="0" type="noConversion"/>
  <printOptions horizontalCentered="1"/>
  <pageMargins left="0.23622047244094491" right="0.23622047244094491" top="0.74803149606299213" bottom="0.59055118110236227" header="0.51181102362204722" footer="0.51181102362204722"/>
  <pageSetup paperSize="9" scale="99" fitToHeight="0" orientation="landscape" r:id="rId1"/>
  <headerFooter alignWithMargins="0"/>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40"/>
  <sheetViews>
    <sheetView showGridLines="0" workbookViewId="0">
      <selection sqref="A1:D1"/>
    </sheetView>
  </sheetViews>
  <sheetFormatPr defaultRowHeight="12.75" x14ac:dyDescent="0.2"/>
  <cols>
    <col min="1" max="1" width="30.5703125" style="1" customWidth="1"/>
    <col min="2" max="2" width="41.28515625" style="1" customWidth="1"/>
    <col min="3" max="3" width="28.7109375" style="1" customWidth="1"/>
    <col min="4" max="4" width="45" style="1" customWidth="1"/>
    <col min="5" max="16384" width="9.140625" style="1"/>
  </cols>
  <sheetData>
    <row r="1" spans="1:4" ht="24" customHeight="1" x14ac:dyDescent="0.2">
      <c r="A1" s="131" t="s">
        <v>180</v>
      </c>
      <c r="B1" s="208"/>
      <c r="C1" s="208"/>
      <c r="D1" s="132"/>
    </row>
    <row r="2" spans="1:4" ht="18.75" customHeight="1" x14ac:dyDescent="0.2">
      <c r="A2" s="149" t="s">
        <v>37</v>
      </c>
      <c r="B2" s="150"/>
      <c r="C2" s="150"/>
      <c r="D2" s="151"/>
    </row>
    <row r="3" spans="1:4" ht="35.25" customHeight="1" x14ac:dyDescent="0.2">
      <c r="A3" s="80" t="s">
        <v>13</v>
      </c>
      <c r="B3" s="10">
        <f>'M&amp;V Requirements'!B3</f>
        <v>0</v>
      </c>
      <c r="C3" s="81" t="s">
        <v>9</v>
      </c>
      <c r="D3" s="2">
        <f>'M&amp;V Requirements'!D3</f>
        <v>0</v>
      </c>
    </row>
    <row r="4" spans="1:4" ht="20.25" customHeight="1" x14ac:dyDescent="0.2">
      <c r="A4" s="80" t="s">
        <v>8</v>
      </c>
      <c r="B4" s="64">
        <f>'M&amp;V Requirements'!B4</f>
        <v>0</v>
      </c>
      <c r="C4" s="81" t="s">
        <v>30</v>
      </c>
      <c r="D4" s="53">
        <f>'M&amp;V Requirements'!D4</f>
        <v>0</v>
      </c>
    </row>
    <row r="6" spans="1:4" ht="9.75" customHeight="1" x14ac:dyDescent="0.2"/>
    <row r="7" spans="1:4" ht="18.75" customHeight="1" x14ac:dyDescent="0.2">
      <c r="A7" s="207" t="s">
        <v>39</v>
      </c>
      <c r="B7" s="207"/>
      <c r="C7" s="207"/>
      <c r="D7" s="207"/>
    </row>
    <row r="8" spans="1:4" ht="33.75" customHeight="1" x14ac:dyDescent="0.2">
      <c r="A8" s="82" t="s">
        <v>40</v>
      </c>
      <c r="B8" s="203"/>
      <c r="C8" s="203"/>
      <c r="D8" s="203"/>
    </row>
    <row r="9" spans="1:4" ht="33.75" customHeight="1" x14ac:dyDescent="0.2">
      <c r="A9" s="82" t="s">
        <v>166</v>
      </c>
      <c r="B9" s="203"/>
      <c r="C9" s="203"/>
      <c r="D9" s="203"/>
    </row>
    <row r="10" spans="1:4" ht="33.75" customHeight="1" x14ac:dyDescent="0.2">
      <c r="A10" s="82" t="s">
        <v>64</v>
      </c>
      <c r="B10" s="203"/>
      <c r="C10" s="203"/>
      <c r="D10" s="203"/>
    </row>
    <row r="11" spans="1:4" ht="33.75" customHeight="1" x14ac:dyDescent="0.2">
      <c r="A11" s="82" t="s">
        <v>68</v>
      </c>
      <c r="B11" s="193"/>
      <c r="C11" s="203"/>
      <c r="D11" s="203"/>
    </row>
    <row r="12" spans="1:4" ht="33.75" customHeight="1" x14ac:dyDescent="0.2">
      <c r="A12" s="82" t="s">
        <v>69</v>
      </c>
      <c r="B12" s="193"/>
      <c r="C12" s="203"/>
      <c r="D12" s="203"/>
    </row>
    <row r="13" spans="1:4" ht="18.75" customHeight="1" x14ac:dyDescent="0.2">
      <c r="A13" s="207" t="s">
        <v>63</v>
      </c>
      <c r="B13" s="207"/>
      <c r="C13" s="207"/>
      <c r="D13" s="207"/>
    </row>
    <row r="14" spans="1:4" ht="33.75" customHeight="1" x14ac:dyDescent="0.2">
      <c r="A14" s="82" t="s">
        <v>38</v>
      </c>
      <c r="B14" s="202"/>
      <c r="C14" s="203"/>
      <c r="D14" s="203"/>
    </row>
    <row r="15" spans="1:4" ht="33.75" customHeight="1" x14ac:dyDescent="0.2">
      <c r="A15" s="82" t="s">
        <v>65</v>
      </c>
      <c r="B15" s="203"/>
      <c r="C15" s="203"/>
      <c r="D15" s="203"/>
    </row>
    <row r="16" spans="1:4" ht="18.75" customHeight="1" x14ac:dyDescent="0.2">
      <c r="A16" s="207" t="s">
        <v>45</v>
      </c>
      <c r="B16" s="207"/>
      <c r="C16" s="207"/>
      <c r="D16" s="207"/>
    </row>
    <row r="17" spans="1:4" ht="30.75" customHeight="1" x14ac:dyDescent="0.2">
      <c r="A17" s="204" t="s">
        <v>41</v>
      </c>
      <c r="B17" s="83" t="s">
        <v>47</v>
      </c>
      <c r="C17" s="83" t="s">
        <v>46</v>
      </c>
      <c r="D17" s="83" t="s">
        <v>48</v>
      </c>
    </row>
    <row r="18" spans="1:4" ht="66.75" customHeight="1" x14ac:dyDescent="0.2">
      <c r="A18" s="205"/>
      <c r="B18" s="3"/>
      <c r="C18" s="3"/>
      <c r="D18" s="3"/>
    </row>
    <row r="19" spans="1:4" ht="33.75" customHeight="1" x14ac:dyDescent="0.2">
      <c r="A19" s="205"/>
      <c r="B19" s="10"/>
      <c r="C19" s="3"/>
      <c r="D19" s="3"/>
    </row>
    <row r="20" spans="1:4" ht="33.75" customHeight="1" x14ac:dyDescent="0.2">
      <c r="A20" s="206"/>
      <c r="B20" s="11"/>
      <c r="C20" s="3"/>
      <c r="D20" s="3"/>
    </row>
    <row r="21" spans="1:4" ht="30" customHeight="1" x14ac:dyDescent="0.2">
      <c r="A21" s="209" t="s">
        <v>15</v>
      </c>
      <c r="B21" s="84" t="s">
        <v>47</v>
      </c>
      <c r="C21" s="84" t="s">
        <v>165</v>
      </c>
      <c r="D21" s="83" t="s">
        <v>164</v>
      </c>
    </row>
    <row r="22" spans="1:4" ht="58.5" customHeight="1" x14ac:dyDescent="0.2">
      <c r="A22" s="210"/>
      <c r="B22" s="10"/>
      <c r="C22" s="10"/>
      <c r="D22" s="10"/>
    </row>
    <row r="23" spans="1:4" ht="48.75" customHeight="1" x14ac:dyDescent="0.2">
      <c r="A23" s="210"/>
      <c r="B23" s="10"/>
      <c r="C23" s="10"/>
      <c r="D23" s="10"/>
    </row>
    <row r="24" spans="1:4" ht="33.75" customHeight="1" x14ac:dyDescent="0.2">
      <c r="A24" s="210"/>
      <c r="B24" s="11"/>
      <c r="C24" s="10"/>
      <c r="D24" s="10"/>
    </row>
    <row r="25" spans="1:4" ht="33.75" customHeight="1" x14ac:dyDescent="0.2">
      <c r="A25" s="204" t="s">
        <v>52</v>
      </c>
      <c r="B25" s="84" t="s">
        <v>53</v>
      </c>
      <c r="C25" s="83" t="s">
        <v>50</v>
      </c>
      <c r="D25" s="83" t="s">
        <v>51</v>
      </c>
    </row>
    <row r="26" spans="1:4" ht="33.75" customHeight="1" x14ac:dyDescent="0.2">
      <c r="A26" s="205"/>
      <c r="B26" s="10"/>
      <c r="C26" s="10"/>
      <c r="D26" s="10"/>
    </row>
    <row r="27" spans="1:4" ht="33.75" customHeight="1" x14ac:dyDescent="0.2">
      <c r="A27" s="206"/>
      <c r="B27" s="10"/>
      <c r="C27" s="10"/>
      <c r="D27" s="10"/>
    </row>
    <row r="28" spans="1:4" ht="33.75" customHeight="1" x14ac:dyDescent="0.2">
      <c r="A28" s="204" t="s">
        <v>42</v>
      </c>
      <c r="B28" s="84" t="s">
        <v>54</v>
      </c>
      <c r="C28" s="83" t="s">
        <v>55</v>
      </c>
      <c r="D28" s="83" t="s">
        <v>56</v>
      </c>
    </row>
    <row r="29" spans="1:4" x14ac:dyDescent="0.2">
      <c r="A29" s="205"/>
      <c r="B29" s="79"/>
      <c r="C29" s="79"/>
      <c r="D29" s="79"/>
    </row>
    <row r="30" spans="1:4" ht="44.25" customHeight="1" x14ac:dyDescent="0.2">
      <c r="A30" s="206"/>
      <c r="B30" s="10"/>
      <c r="C30" s="10"/>
      <c r="D30" s="10"/>
    </row>
    <row r="31" spans="1:4" ht="18.75" customHeight="1" x14ac:dyDescent="0.2">
      <c r="A31" s="207" t="s">
        <v>59</v>
      </c>
      <c r="B31" s="207"/>
      <c r="C31" s="207"/>
      <c r="D31" s="207"/>
    </row>
    <row r="32" spans="1:4" ht="33.75" customHeight="1" x14ac:dyDescent="0.2">
      <c r="A32" s="204" t="s">
        <v>60</v>
      </c>
      <c r="B32" s="84" t="s">
        <v>57</v>
      </c>
      <c r="C32" s="83" t="s">
        <v>61</v>
      </c>
      <c r="D32" s="83" t="s">
        <v>58</v>
      </c>
    </row>
    <row r="33" spans="1:4" ht="33.75" customHeight="1" x14ac:dyDescent="0.2">
      <c r="A33" s="205"/>
      <c r="B33" s="79"/>
      <c r="C33" s="10"/>
      <c r="D33" s="10"/>
    </row>
    <row r="34" spans="1:4" ht="33.75" customHeight="1" x14ac:dyDescent="0.2">
      <c r="A34" s="205"/>
      <c r="B34" s="10"/>
      <c r="C34" s="10"/>
      <c r="D34" s="10"/>
    </row>
    <row r="35" spans="1:4" ht="33.75" customHeight="1" x14ac:dyDescent="0.2">
      <c r="A35" s="206"/>
      <c r="B35" s="10"/>
      <c r="C35" s="10"/>
      <c r="D35" s="10"/>
    </row>
    <row r="36" spans="1:4" ht="18.75" customHeight="1" x14ac:dyDescent="0.2">
      <c r="A36" s="207" t="s">
        <v>62</v>
      </c>
      <c r="B36" s="207"/>
      <c r="C36" s="207"/>
      <c r="D36" s="207"/>
    </row>
    <row r="37" spans="1:4" ht="57.75" customHeight="1" x14ac:dyDescent="0.2">
      <c r="A37" s="82" t="s">
        <v>70</v>
      </c>
      <c r="B37" s="203"/>
      <c r="C37" s="203"/>
      <c r="D37" s="203"/>
    </row>
    <row r="38" spans="1:4" ht="57.75" customHeight="1" x14ac:dyDescent="0.2">
      <c r="A38" s="82" t="s">
        <v>72</v>
      </c>
      <c r="B38" s="203"/>
      <c r="C38" s="203"/>
      <c r="D38" s="203"/>
    </row>
    <row r="39" spans="1:4" ht="51" customHeight="1" x14ac:dyDescent="0.2">
      <c r="A39" s="82" t="s">
        <v>74</v>
      </c>
      <c r="B39" s="202"/>
      <c r="C39" s="203"/>
      <c r="D39" s="203"/>
    </row>
    <row r="40" spans="1:4" ht="48" customHeight="1" x14ac:dyDescent="0.2">
      <c r="A40" s="82" t="s">
        <v>71</v>
      </c>
      <c r="B40" s="203"/>
      <c r="C40" s="203"/>
      <c r="D40" s="203"/>
    </row>
  </sheetData>
  <mergeCells count="23">
    <mergeCell ref="A28:A30"/>
    <mergeCell ref="B9:D9"/>
    <mergeCell ref="A13:D13"/>
    <mergeCell ref="B11:D11"/>
    <mergeCell ref="A2:D2"/>
    <mergeCell ref="B12:D12"/>
    <mergeCell ref="B40:D40"/>
    <mergeCell ref="A7:D7"/>
    <mergeCell ref="A31:D31"/>
    <mergeCell ref="A16:D16"/>
    <mergeCell ref="A17:A20"/>
    <mergeCell ref="A21:A24"/>
    <mergeCell ref="A25:A27"/>
    <mergeCell ref="B39:D39"/>
    <mergeCell ref="B38:D38"/>
    <mergeCell ref="A32:A35"/>
    <mergeCell ref="A36:D36"/>
    <mergeCell ref="B37:D37"/>
    <mergeCell ref="A1:D1"/>
    <mergeCell ref="B8:D8"/>
    <mergeCell ref="B14:D14"/>
    <mergeCell ref="B15:D15"/>
    <mergeCell ref="B10:D10"/>
  </mergeCells>
  <phoneticPr fontId="0" type="noConversion"/>
  <dataValidations count="1">
    <dataValidation type="list" allowBlank="1" showInputMessage="1" showErrorMessage="1" sqref="B8:D8">
      <formula1>"Option A - Retrofit Isolation: Key Parameter Measurement,Option B - Retrofit Isolation: All Parameter Measurement,Option C - Whole Facility,Option D - Calibrated Simulation,Other"</formula1>
    </dataValidation>
  </dataValidations>
  <printOptions horizontalCentered="1"/>
  <pageMargins left="0.23622047244094491" right="0.23622047244094491" top="0.74803149606299213" bottom="0.59055118110236227" header="0.51181102362204722" footer="0.51181102362204722"/>
  <pageSetup paperSize="9"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F36"/>
  <sheetViews>
    <sheetView showGridLines="0" workbookViewId="0">
      <selection sqref="A1:F1"/>
    </sheetView>
  </sheetViews>
  <sheetFormatPr defaultRowHeight="12.75" x14ac:dyDescent="0.2"/>
  <cols>
    <col min="1" max="1" width="30.7109375" style="6" customWidth="1"/>
    <col min="2" max="4" width="25.7109375" style="6" customWidth="1"/>
    <col min="5" max="5" width="10.7109375" style="6" customWidth="1"/>
    <col min="6" max="6" width="30.28515625" style="20" customWidth="1"/>
    <col min="7" max="16384" width="9.140625" style="6"/>
  </cols>
  <sheetData>
    <row r="1" spans="1:6" ht="26.25" customHeight="1" x14ac:dyDescent="0.2">
      <c r="A1" s="227" t="s">
        <v>44</v>
      </c>
      <c r="B1" s="227"/>
      <c r="C1" s="227"/>
      <c r="D1" s="227"/>
      <c r="E1" s="227"/>
      <c r="F1" s="227"/>
    </row>
    <row r="2" spans="1:6" s="1" customFormat="1" ht="18.75" customHeight="1" x14ac:dyDescent="0.2">
      <c r="A2" s="152" t="s">
        <v>37</v>
      </c>
      <c r="B2" s="152"/>
      <c r="C2" s="152"/>
      <c r="D2" s="152"/>
      <c r="E2" s="152"/>
      <c r="F2" s="152"/>
    </row>
    <row r="3" spans="1:6" s="1" customFormat="1" ht="35.25" customHeight="1" x14ac:dyDescent="0.2">
      <c r="A3" s="80" t="s">
        <v>13</v>
      </c>
      <c r="B3" s="203">
        <f>'M&amp;V Design'!B3</f>
        <v>0</v>
      </c>
      <c r="C3" s="203"/>
      <c r="D3" s="81" t="s">
        <v>9</v>
      </c>
      <c r="E3" s="228">
        <f>'M&amp;V Design'!D3</f>
        <v>0</v>
      </c>
      <c r="F3" s="228"/>
    </row>
    <row r="4" spans="1:6" s="1" customFormat="1" ht="20.25" customHeight="1" x14ac:dyDescent="0.2">
      <c r="A4" s="80" t="s">
        <v>8</v>
      </c>
      <c r="B4" s="228">
        <f>'M&amp;V Design'!B4</f>
        <v>0</v>
      </c>
      <c r="C4" s="228"/>
      <c r="D4" s="81" t="s">
        <v>30</v>
      </c>
      <c r="E4" s="229">
        <f>'M&amp;V Design'!D4</f>
        <v>0</v>
      </c>
      <c r="F4" s="229"/>
    </row>
    <row r="5" spans="1:6" s="1" customFormat="1" x14ac:dyDescent="0.2"/>
    <row r="6" spans="1:6" s="1" customFormat="1" x14ac:dyDescent="0.2"/>
    <row r="7" spans="1:6" ht="18.75" customHeight="1" x14ac:dyDescent="0.2">
      <c r="A7" s="212" t="s">
        <v>125</v>
      </c>
      <c r="B7" s="212"/>
      <c r="C7" s="212"/>
      <c r="D7" s="212"/>
      <c r="E7" s="212"/>
      <c r="F7" s="212"/>
    </row>
    <row r="8" spans="1:6" ht="13.5" customHeight="1" x14ac:dyDescent="0.2">
      <c r="A8" s="216" t="s">
        <v>7</v>
      </c>
      <c r="B8" s="216"/>
      <c r="C8" s="216"/>
      <c r="D8" s="216"/>
      <c r="E8" s="216"/>
      <c r="F8" s="216"/>
    </row>
    <row r="9" spans="1:6" ht="13.5" customHeight="1" x14ac:dyDescent="0.2">
      <c r="A9" s="87" t="s">
        <v>78</v>
      </c>
      <c r="B9" s="88" t="s">
        <v>6</v>
      </c>
      <c r="C9" s="88" t="s">
        <v>5</v>
      </c>
      <c r="D9" s="88" t="s">
        <v>2</v>
      </c>
      <c r="E9" s="223"/>
      <c r="F9" s="89" t="s">
        <v>122</v>
      </c>
    </row>
    <row r="10" spans="1:6" ht="13.5" customHeight="1" x14ac:dyDescent="0.2">
      <c r="A10" s="9" t="str">
        <f>'M&amp;V Requirements'!B6</f>
        <v>[Resource 1]</v>
      </c>
      <c r="B10" s="7">
        <v>140</v>
      </c>
      <c r="C10" s="8">
        <f>'M&amp;V Tasks'!C8</f>
        <v>1</v>
      </c>
      <c r="D10" s="19">
        <f t="shared" ref="D10:D15" si="0">SUM(B10*C10)</f>
        <v>140</v>
      </c>
      <c r="E10" s="223"/>
      <c r="F10" s="66"/>
    </row>
    <row r="11" spans="1:6" ht="13.5" customHeight="1" x14ac:dyDescent="0.2">
      <c r="A11" s="9" t="str">
        <f>'M&amp;V Requirements'!B7</f>
        <v>[Resource 2]</v>
      </c>
      <c r="B11" s="7">
        <v>120</v>
      </c>
      <c r="C11" s="8">
        <f>'M&amp;V Tasks'!D8</f>
        <v>0</v>
      </c>
      <c r="D11" s="19">
        <f t="shared" si="0"/>
        <v>0</v>
      </c>
      <c r="E11" s="223"/>
      <c r="F11" s="66"/>
    </row>
    <row r="12" spans="1:6" ht="13.5" customHeight="1" x14ac:dyDescent="0.2">
      <c r="A12" s="9" t="str">
        <f>'M&amp;V Requirements'!B8</f>
        <v>[Resource 3]</v>
      </c>
      <c r="B12" s="7">
        <v>80</v>
      </c>
      <c r="C12" s="8">
        <f>'M&amp;V Tasks'!E8</f>
        <v>0</v>
      </c>
      <c r="D12" s="19">
        <f t="shared" si="0"/>
        <v>0</v>
      </c>
      <c r="E12" s="223"/>
      <c r="F12" s="66"/>
    </row>
    <row r="13" spans="1:6" ht="13.5" customHeight="1" x14ac:dyDescent="0.2">
      <c r="A13" s="9" t="str">
        <f>'M&amp;V Requirements'!B9</f>
        <v>[Resource 4]</v>
      </c>
      <c r="B13" s="7">
        <v>90</v>
      </c>
      <c r="C13" s="8">
        <f>'M&amp;V Tasks'!F8</f>
        <v>0</v>
      </c>
      <c r="D13" s="19">
        <f t="shared" si="0"/>
        <v>0</v>
      </c>
      <c r="E13" s="223"/>
      <c r="F13" s="66"/>
    </row>
    <row r="14" spans="1:6" ht="13.5" customHeight="1" x14ac:dyDescent="0.2">
      <c r="A14" s="9" t="str">
        <f>'M&amp;V Requirements'!B10</f>
        <v>[Resource 5]</v>
      </c>
      <c r="B14" s="7">
        <v>80</v>
      </c>
      <c r="C14" s="8">
        <f>'M&amp;V Tasks'!G8</f>
        <v>0</v>
      </c>
      <c r="D14" s="19">
        <f t="shared" si="0"/>
        <v>0</v>
      </c>
      <c r="E14" s="223"/>
      <c r="F14" s="21"/>
    </row>
    <row r="15" spans="1:6" ht="13.5" customHeight="1" x14ac:dyDescent="0.2">
      <c r="A15" s="9" t="str">
        <f>'M&amp;V Requirements'!B11</f>
        <v>[Resource 6]</v>
      </c>
      <c r="B15" s="7">
        <v>80</v>
      </c>
      <c r="C15" s="8">
        <f>'M&amp;V Tasks'!H8</f>
        <v>0</v>
      </c>
      <c r="D15" s="19">
        <f t="shared" si="0"/>
        <v>0</v>
      </c>
      <c r="E15" s="223"/>
      <c r="F15" s="21"/>
    </row>
    <row r="16" spans="1:6" ht="13.5" customHeight="1" x14ac:dyDescent="0.2">
      <c r="A16" s="219" t="s">
        <v>168</v>
      </c>
      <c r="B16" s="220"/>
      <c r="C16" s="220"/>
      <c r="D16" s="88" t="s">
        <v>2</v>
      </c>
      <c r="E16" s="223"/>
      <c r="F16" s="89"/>
    </row>
    <row r="17" spans="1:6" ht="13.5" customHeight="1" x14ac:dyDescent="0.2">
      <c r="A17" s="224" t="s">
        <v>263</v>
      </c>
      <c r="B17" s="225"/>
      <c r="C17" s="226"/>
      <c r="D17" s="19">
        <v>0</v>
      </c>
      <c r="E17" s="223"/>
      <c r="F17" s="21"/>
    </row>
    <row r="18" spans="1:6" ht="13.5" customHeight="1" x14ac:dyDescent="0.2">
      <c r="A18" s="224" t="s">
        <v>263</v>
      </c>
      <c r="B18" s="225"/>
      <c r="C18" s="226"/>
      <c r="D18" s="19">
        <v>0</v>
      </c>
      <c r="E18" s="223"/>
      <c r="F18" s="21"/>
    </row>
    <row r="19" spans="1:6" ht="13.5" customHeight="1" x14ac:dyDescent="0.2">
      <c r="A19" s="224" t="s">
        <v>263</v>
      </c>
      <c r="B19" s="225"/>
      <c r="C19" s="226"/>
      <c r="D19" s="19">
        <v>0</v>
      </c>
      <c r="E19" s="223"/>
      <c r="F19" s="21"/>
    </row>
    <row r="20" spans="1:6" ht="13.5" customHeight="1" x14ac:dyDescent="0.2">
      <c r="A20" s="219" t="s">
        <v>4</v>
      </c>
      <c r="B20" s="220"/>
      <c r="C20" s="220"/>
      <c r="D20" s="223"/>
      <c r="E20" s="90">
        <f>SUM(D9:D19)</f>
        <v>140</v>
      </c>
      <c r="F20" s="89"/>
    </row>
    <row r="21" spans="1:6" ht="13.5" customHeight="1" x14ac:dyDescent="0.2">
      <c r="A21" s="217" t="s">
        <v>3</v>
      </c>
      <c r="B21" s="218"/>
      <c r="C21" s="218"/>
      <c r="D21" s="218"/>
      <c r="E21" s="218"/>
      <c r="F21" s="218"/>
    </row>
    <row r="22" spans="1:6" ht="13.5" customHeight="1" x14ac:dyDescent="0.2">
      <c r="A22" s="219" t="s">
        <v>169</v>
      </c>
      <c r="B22" s="220"/>
      <c r="C22" s="220"/>
      <c r="D22" s="88" t="s">
        <v>2</v>
      </c>
      <c r="E22" s="223"/>
      <c r="F22" s="89"/>
    </row>
    <row r="23" spans="1:6" ht="13.5" customHeight="1" x14ac:dyDescent="0.2">
      <c r="A23" s="224" t="s">
        <v>262</v>
      </c>
      <c r="B23" s="225"/>
      <c r="C23" s="226"/>
      <c r="D23" s="19">
        <v>0</v>
      </c>
      <c r="E23" s="223"/>
      <c r="F23" s="21"/>
    </row>
    <row r="24" spans="1:6" ht="13.5" customHeight="1" x14ac:dyDescent="0.2">
      <c r="A24" s="224" t="s">
        <v>262</v>
      </c>
      <c r="B24" s="225"/>
      <c r="C24" s="226"/>
      <c r="D24" s="19">
        <v>0</v>
      </c>
      <c r="E24" s="223"/>
      <c r="F24" s="21"/>
    </row>
    <row r="25" spans="1:6" ht="13.5" customHeight="1" x14ac:dyDescent="0.2">
      <c r="A25" s="224" t="s">
        <v>262</v>
      </c>
      <c r="B25" s="225"/>
      <c r="C25" s="226"/>
      <c r="D25" s="19">
        <v>0</v>
      </c>
      <c r="E25" s="223"/>
      <c r="F25" s="21"/>
    </row>
    <row r="26" spans="1:6" ht="13.5" customHeight="1" x14ac:dyDescent="0.2">
      <c r="A26" s="91" t="s">
        <v>167</v>
      </c>
      <c r="B26" s="88" t="s">
        <v>120</v>
      </c>
      <c r="C26" s="88" t="s">
        <v>121</v>
      </c>
      <c r="D26" s="88" t="s">
        <v>2</v>
      </c>
      <c r="E26" s="223"/>
      <c r="F26" s="89"/>
    </row>
    <row r="27" spans="1:6" ht="13.5" customHeight="1" x14ac:dyDescent="0.2">
      <c r="A27" s="22" t="s">
        <v>263</v>
      </c>
      <c r="B27" s="8"/>
      <c r="C27" s="19"/>
      <c r="D27" s="19">
        <f>B27*C27</f>
        <v>0</v>
      </c>
      <c r="E27" s="223"/>
      <c r="F27" s="21"/>
    </row>
    <row r="28" spans="1:6" ht="13.5" customHeight="1" x14ac:dyDescent="0.2">
      <c r="A28" s="22" t="s">
        <v>263</v>
      </c>
      <c r="B28" s="8"/>
      <c r="C28" s="19"/>
      <c r="D28" s="19">
        <f>B28*C28</f>
        <v>0</v>
      </c>
      <c r="E28" s="223"/>
      <c r="F28" s="21"/>
    </row>
    <row r="29" spans="1:6" ht="13.5" customHeight="1" x14ac:dyDescent="0.2">
      <c r="A29" s="22" t="s">
        <v>263</v>
      </c>
      <c r="B29" s="8"/>
      <c r="C29" s="19"/>
      <c r="D29" s="19">
        <f>B29*C29</f>
        <v>0</v>
      </c>
      <c r="E29" s="223"/>
      <c r="F29" s="21"/>
    </row>
    <row r="30" spans="1:6" ht="13.5" customHeight="1" x14ac:dyDescent="0.2">
      <c r="A30" s="92" t="s">
        <v>1</v>
      </c>
      <c r="B30" s="93"/>
      <c r="C30" s="93"/>
      <c r="D30" s="94"/>
      <c r="E30" s="90">
        <f>SUM(D22:D29)</f>
        <v>0</v>
      </c>
      <c r="F30" s="89"/>
    </row>
    <row r="31" spans="1:6" ht="13.5" customHeight="1" x14ac:dyDescent="0.2">
      <c r="A31" s="221" t="s">
        <v>0</v>
      </c>
      <c r="B31" s="221"/>
      <c r="C31" s="221"/>
      <c r="D31" s="222"/>
      <c r="E31" s="95">
        <f>SUM(E9:E30)</f>
        <v>140</v>
      </c>
      <c r="F31" s="96"/>
    </row>
    <row r="32" spans="1:6" ht="13.5" customHeight="1" x14ac:dyDescent="0.2"/>
    <row r="33" spans="1:6" ht="18.75" customHeight="1" x14ac:dyDescent="0.2">
      <c r="A33" s="212" t="s">
        <v>170</v>
      </c>
      <c r="B33" s="212"/>
      <c r="C33" s="212"/>
      <c r="D33" s="212"/>
      <c r="E33" s="212"/>
      <c r="F33" s="212"/>
    </row>
    <row r="34" spans="1:6" ht="18.75" customHeight="1" x14ac:dyDescent="0.2">
      <c r="A34" s="213" t="s">
        <v>127</v>
      </c>
      <c r="B34" s="214"/>
      <c r="C34" s="214"/>
      <c r="D34" s="215"/>
      <c r="E34" s="88" t="s">
        <v>128</v>
      </c>
      <c r="F34" s="88" t="s">
        <v>126</v>
      </c>
    </row>
    <row r="35" spans="1:6" ht="13.5" customHeight="1" x14ac:dyDescent="0.2">
      <c r="A35" s="211" t="s">
        <v>129</v>
      </c>
      <c r="B35" s="211"/>
      <c r="C35" s="211"/>
      <c r="D35" s="211"/>
      <c r="E35" s="34">
        <f>'ECM Project Background'!C9</f>
        <v>0</v>
      </c>
      <c r="F35" s="35" t="str">
        <f>IFERROR(E31/E35,"")</f>
        <v/>
      </c>
    </row>
    <row r="36" spans="1:6" ht="13.5" customHeight="1" x14ac:dyDescent="0.2">
      <c r="A36" s="211" t="s">
        <v>133</v>
      </c>
      <c r="B36" s="211"/>
      <c r="C36" s="211"/>
      <c r="D36" s="211"/>
      <c r="E36" s="34">
        <f>'ECM Project Background'!B10</f>
        <v>0</v>
      </c>
      <c r="F36" s="35" t="str">
        <f>IFERROR(E31/E36,"")</f>
        <v/>
      </c>
    </row>
  </sheetData>
  <mergeCells count="25">
    <mergeCell ref="A2:F2"/>
    <mergeCell ref="A19:C19"/>
    <mergeCell ref="A23:C23"/>
    <mergeCell ref="A7:F7"/>
    <mergeCell ref="B3:C3"/>
    <mergeCell ref="A1:F1"/>
    <mergeCell ref="B4:C4"/>
    <mergeCell ref="E3:F3"/>
    <mergeCell ref="E4:F4"/>
    <mergeCell ref="E9:E19"/>
    <mergeCell ref="A24:C24"/>
    <mergeCell ref="A25:C25"/>
    <mergeCell ref="A18:C18"/>
    <mergeCell ref="A22:C22"/>
    <mergeCell ref="A17:C17"/>
    <mergeCell ref="A36:D36"/>
    <mergeCell ref="A33:F33"/>
    <mergeCell ref="A34:D34"/>
    <mergeCell ref="A8:F8"/>
    <mergeCell ref="A21:F21"/>
    <mergeCell ref="A35:D35"/>
    <mergeCell ref="A16:C16"/>
    <mergeCell ref="A31:D31"/>
    <mergeCell ref="E22:E29"/>
    <mergeCell ref="A20:D20"/>
  </mergeCells>
  <phoneticPr fontId="0" type="noConversion"/>
  <printOptions horizontalCentered="1"/>
  <pageMargins left="0.23622047244094491" right="0.23622047244094491" top="0.74803149606299213" bottom="0.59055118110236227" header="0.51181102362204722" footer="0.51181102362204722"/>
  <pageSetup paperSize="9" scale="98" fitToHeight="0" orientation="landscape" r:id="rId1"/>
  <headerFooter alignWithMargins="0"/>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J63"/>
  <sheetViews>
    <sheetView showGridLines="0" workbookViewId="0">
      <selection sqref="A1:J1"/>
    </sheetView>
  </sheetViews>
  <sheetFormatPr defaultColWidth="3.140625" defaultRowHeight="12.75" x14ac:dyDescent="0.2"/>
  <cols>
    <col min="1" max="1" width="16.5703125" style="1" customWidth="1"/>
    <col min="2" max="2" width="49.5703125" style="1" customWidth="1"/>
    <col min="3" max="9" width="4.140625" style="1" customWidth="1"/>
    <col min="10" max="10" width="36.7109375" style="1" customWidth="1"/>
    <col min="11" max="245" width="9.140625" style="1" customWidth="1"/>
    <col min="246" max="246" width="3" style="1" customWidth="1"/>
    <col min="247" max="248" width="5.7109375" style="1" customWidth="1"/>
    <col min="249" max="249" width="55.5703125" style="1" customWidth="1"/>
    <col min="250" max="16384" width="3.140625" style="1"/>
  </cols>
  <sheetData>
    <row r="1" spans="1:10" ht="18.75" customHeight="1" x14ac:dyDescent="0.2">
      <c r="A1" s="234" t="s">
        <v>75</v>
      </c>
      <c r="B1" s="235"/>
      <c r="C1" s="235"/>
      <c r="D1" s="235"/>
      <c r="E1" s="235"/>
      <c r="F1" s="235"/>
      <c r="G1" s="235"/>
      <c r="H1" s="235"/>
      <c r="I1" s="235"/>
      <c r="J1" s="235"/>
    </row>
    <row r="2" spans="1:10" ht="18.75" customHeight="1" x14ac:dyDescent="0.2">
      <c r="A2" s="152" t="s">
        <v>37</v>
      </c>
      <c r="B2" s="152"/>
      <c r="C2" s="152"/>
      <c r="D2" s="152"/>
      <c r="E2" s="152"/>
      <c r="F2" s="152"/>
      <c r="G2" s="152"/>
      <c r="H2" s="152"/>
      <c r="I2" s="152"/>
      <c r="J2" s="152"/>
    </row>
    <row r="3" spans="1:10" ht="35.25" customHeight="1" x14ac:dyDescent="0.2">
      <c r="A3" s="80" t="s">
        <v>13</v>
      </c>
      <c r="B3" s="10">
        <f>'M&amp;V Design'!B3</f>
        <v>0</v>
      </c>
      <c r="C3" s="236" t="s">
        <v>9</v>
      </c>
      <c r="D3" s="236"/>
      <c r="E3" s="236"/>
      <c r="F3" s="236"/>
      <c r="G3" s="236"/>
      <c r="H3" s="236"/>
      <c r="I3" s="236"/>
      <c r="J3" s="2">
        <f>'M&amp;V Design'!D3</f>
        <v>0</v>
      </c>
    </row>
    <row r="4" spans="1:10" ht="20.25" customHeight="1" x14ac:dyDescent="0.2">
      <c r="A4" s="80" t="s">
        <v>8</v>
      </c>
      <c r="B4" s="2">
        <f>'M&amp;V Design'!B4</f>
        <v>0</v>
      </c>
      <c r="C4" s="236" t="s">
        <v>30</v>
      </c>
      <c r="D4" s="236"/>
      <c r="E4" s="236"/>
      <c r="F4" s="236"/>
      <c r="G4" s="236"/>
      <c r="H4" s="236"/>
      <c r="I4" s="236"/>
      <c r="J4" s="53">
        <f>'M&amp;V Design'!D4</f>
        <v>0</v>
      </c>
    </row>
    <row r="7" spans="1:10" ht="137.25" customHeight="1" x14ac:dyDescent="0.2">
      <c r="A7" s="230" t="s">
        <v>66</v>
      </c>
      <c r="B7" s="231"/>
      <c r="C7" s="97" t="str">
        <f>'M&amp;V Budget'!A10</f>
        <v>[Resource 1]</v>
      </c>
      <c r="D7" s="97" t="str">
        <f>'M&amp;V Budget'!A11</f>
        <v>[Resource 2]</v>
      </c>
      <c r="E7" s="97" t="str">
        <f>'M&amp;V Budget'!A12</f>
        <v>[Resource 3]</v>
      </c>
      <c r="F7" s="97" t="str">
        <f>'M&amp;V Budget'!A13</f>
        <v>[Resource 4]</v>
      </c>
      <c r="G7" s="97" t="str">
        <f>'M&amp;V Budget'!A14</f>
        <v>[Resource 5]</v>
      </c>
      <c r="H7" s="97" t="str">
        <f>'M&amp;V Budget'!A15</f>
        <v>[Resource 6]</v>
      </c>
      <c r="I7" s="98" t="s">
        <v>79</v>
      </c>
      <c r="J7" s="85" t="s">
        <v>90</v>
      </c>
    </row>
    <row r="8" spans="1:10" ht="18" customHeight="1" x14ac:dyDescent="0.2">
      <c r="A8" s="232" t="s">
        <v>80</v>
      </c>
      <c r="B8" s="233"/>
      <c r="C8" s="15">
        <f t="shared" ref="C8:H8" si="0">SUM(C10:C63)</f>
        <v>1</v>
      </c>
      <c r="D8" s="15">
        <f t="shared" si="0"/>
        <v>0</v>
      </c>
      <c r="E8" s="15">
        <f t="shared" si="0"/>
        <v>0</v>
      </c>
      <c r="F8" s="15">
        <f t="shared" si="0"/>
        <v>0</v>
      </c>
      <c r="G8" s="15">
        <f t="shared" si="0"/>
        <v>0</v>
      </c>
      <c r="H8" s="15">
        <f t="shared" si="0"/>
        <v>0</v>
      </c>
      <c r="I8" s="16">
        <f>SUM(C8:H8)</f>
        <v>1</v>
      </c>
      <c r="J8" s="16"/>
    </row>
    <row r="10" spans="1:10" ht="18.75" customHeight="1" x14ac:dyDescent="0.2">
      <c r="A10" s="149" t="s">
        <v>118</v>
      </c>
      <c r="B10" s="150"/>
      <c r="C10" s="150"/>
      <c r="D10" s="150"/>
      <c r="E10" s="150"/>
      <c r="F10" s="150"/>
      <c r="G10" s="150"/>
      <c r="H10" s="150"/>
      <c r="I10" s="150"/>
      <c r="J10" s="151"/>
    </row>
    <row r="11" spans="1:10" ht="32.25" customHeight="1" x14ac:dyDescent="0.2">
      <c r="A11" s="85"/>
      <c r="B11" s="80" t="s">
        <v>97</v>
      </c>
      <c r="C11" s="85"/>
      <c r="D11" s="85"/>
      <c r="E11" s="85"/>
      <c r="F11" s="85"/>
      <c r="G11" s="85"/>
      <c r="H11" s="85"/>
      <c r="I11" s="85">
        <f>SUM(I12:I17)</f>
        <v>1</v>
      </c>
      <c r="J11" s="99">
        <f>I11/$I$8</f>
        <v>1</v>
      </c>
    </row>
    <row r="12" spans="1:10" ht="32.25" customHeight="1" x14ac:dyDescent="0.2">
      <c r="A12" s="15">
        <v>1</v>
      </c>
      <c r="B12" s="4" t="s">
        <v>99</v>
      </c>
      <c r="C12" s="15">
        <v>1</v>
      </c>
      <c r="D12" s="15"/>
      <c r="E12" s="15"/>
      <c r="F12" s="15"/>
      <c r="G12" s="15"/>
      <c r="H12" s="15"/>
      <c r="I12" s="15">
        <f t="shared" ref="I12:I63" si="1">SUM(C12:H12)</f>
        <v>1</v>
      </c>
      <c r="J12" s="5"/>
    </row>
    <row r="13" spans="1:10" ht="32.25" customHeight="1" x14ac:dyDescent="0.2">
      <c r="A13" s="12">
        <v>2</v>
      </c>
      <c r="B13" s="4" t="s">
        <v>88</v>
      </c>
      <c r="C13" s="12"/>
      <c r="D13" s="12"/>
      <c r="E13" s="12"/>
      <c r="F13" s="12"/>
      <c r="G13" s="12"/>
      <c r="H13" s="12"/>
      <c r="I13" s="15">
        <f t="shared" si="1"/>
        <v>0</v>
      </c>
      <c r="J13" s="18"/>
    </row>
    <row r="14" spans="1:10" ht="32.25" customHeight="1" x14ac:dyDescent="0.2">
      <c r="A14" s="15">
        <v>3</v>
      </c>
      <c r="B14" s="4" t="s">
        <v>100</v>
      </c>
      <c r="C14" s="12"/>
      <c r="D14" s="12"/>
      <c r="E14" s="12"/>
      <c r="F14" s="12"/>
      <c r="G14" s="12"/>
      <c r="H14" s="12"/>
      <c r="I14" s="15">
        <f t="shared" si="1"/>
        <v>0</v>
      </c>
      <c r="J14" s="18"/>
    </row>
    <row r="15" spans="1:10" ht="32.25" customHeight="1" x14ac:dyDescent="0.2">
      <c r="A15" s="12">
        <v>4</v>
      </c>
      <c r="B15" s="4" t="s">
        <v>98</v>
      </c>
      <c r="C15" s="12"/>
      <c r="D15" s="12"/>
      <c r="E15" s="12"/>
      <c r="F15" s="12"/>
      <c r="G15" s="12"/>
      <c r="H15" s="12"/>
      <c r="I15" s="15">
        <f t="shared" si="1"/>
        <v>0</v>
      </c>
      <c r="J15" s="18"/>
    </row>
    <row r="16" spans="1:10" ht="32.25" customHeight="1" x14ac:dyDescent="0.2">
      <c r="A16" s="15">
        <v>5</v>
      </c>
      <c r="B16" s="4" t="s">
        <v>101</v>
      </c>
      <c r="C16" s="12"/>
      <c r="D16" s="12"/>
      <c r="E16" s="12"/>
      <c r="F16" s="12"/>
      <c r="G16" s="12"/>
      <c r="H16" s="12"/>
      <c r="I16" s="15">
        <f t="shared" si="1"/>
        <v>0</v>
      </c>
      <c r="J16" s="18"/>
    </row>
    <row r="17" spans="1:10" ht="33.950000000000003" customHeight="1" x14ac:dyDescent="0.2">
      <c r="A17" s="12">
        <v>6</v>
      </c>
      <c r="B17" s="4"/>
      <c r="C17" s="12"/>
      <c r="D17" s="12"/>
      <c r="E17" s="12"/>
      <c r="F17" s="12"/>
      <c r="G17" s="12"/>
      <c r="H17" s="12"/>
      <c r="I17" s="15">
        <f t="shared" si="1"/>
        <v>0</v>
      </c>
      <c r="J17" s="18"/>
    </row>
    <row r="18" spans="1:10" ht="32.25" customHeight="1" x14ac:dyDescent="0.2">
      <c r="A18" s="85"/>
      <c r="B18" s="80" t="s">
        <v>81</v>
      </c>
      <c r="C18" s="85"/>
      <c r="D18" s="85"/>
      <c r="E18" s="85"/>
      <c r="F18" s="85"/>
      <c r="G18" s="85"/>
      <c r="H18" s="85"/>
      <c r="I18" s="85">
        <f>SUM(I19:I24)</f>
        <v>0</v>
      </c>
      <c r="J18" s="99">
        <f>I18/$I$8</f>
        <v>0</v>
      </c>
    </row>
    <row r="19" spans="1:10" ht="32.25" customHeight="1" x14ac:dyDescent="0.2">
      <c r="A19" s="15">
        <v>1</v>
      </c>
      <c r="B19" s="4" t="s">
        <v>86</v>
      </c>
      <c r="C19" s="12"/>
      <c r="D19" s="12"/>
      <c r="E19" s="12"/>
      <c r="F19" s="12"/>
      <c r="G19" s="12"/>
      <c r="H19" s="12"/>
      <c r="I19" s="15">
        <f t="shared" si="1"/>
        <v>0</v>
      </c>
      <c r="J19" s="18"/>
    </row>
    <row r="20" spans="1:10" ht="32.25" customHeight="1" x14ac:dyDescent="0.2">
      <c r="A20" s="12">
        <v>2</v>
      </c>
      <c r="B20" s="4" t="s">
        <v>87</v>
      </c>
      <c r="C20" s="12"/>
      <c r="D20" s="12"/>
      <c r="E20" s="12"/>
      <c r="F20" s="12"/>
      <c r="G20" s="12"/>
      <c r="H20" s="12"/>
      <c r="I20" s="15">
        <f t="shared" si="1"/>
        <v>0</v>
      </c>
      <c r="J20" s="18"/>
    </row>
    <row r="21" spans="1:10" ht="32.25" customHeight="1" x14ac:dyDescent="0.2">
      <c r="A21" s="15">
        <v>3</v>
      </c>
      <c r="B21" s="4" t="s">
        <v>89</v>
      </c>
      <c r="C21" s="12"/>
      <c r="D21" s="12"/>
      <c r="E21" s="12"/>
      <c r="F21" s="12"/>
      <c r="G21" s="12"/>
      <c r="H21" s="12"/>
      <c r="I21" s="15">
        <f t="shared" si="1"/>
        <v>0</v>
      </c>
      <c r="J21" s="18"/>
    </row>
    <row r="22" spans="1:10" ht="32.25" customHeight="1" x14ac:dyDescent="0.2">
      <c r="A22" s="12">
        <v>4</v>
      </c>
      <c r="B22" s="4" t="s">
        <v>102</v>
      </c>
      <c r="C22" s="12"/>
      <c r="D22" s="12"/>
      <c r="E22" s="12"/>
      <c r="F22" s="12"/>
      <c r="G22" s="12"/>
      <c r="H22" s="12"/>
      <c r="I22" s="15">
        <f t="shared" si="1"/>
        <v>0</v>
      </c>
      <c r="J22" s="18"/>
    </row>
    <row r="23" spans="1:10" ht="32.25" customHeight="1" x14ac:dyDescent="0.2">
      <c r="A23" s="15">
        <v>5</v>
      </c>
      <c r="B23" s="4" t="s">
        <v>91</v>
      </c>
      <c r="C23" s="12"/>
      <c r="D23" s="12"/>
      <c r="E23" s="12"/>
      <c r="F23" s="12"/>
      <c r="G23" s="12"/>
      <c r="H23" s="12"/>
      <c r="I23" s="15">
        <f t="shared" si="1"/>
        <v>0</v>
      </c>
      <c r="J23" s="18"/>
    </row>
    <row r="24" spans="1:10" ht="33.950000000000003" customHeight="1" x14ac:dyDescent="0.2">
      <c r="A24" s="12">
        <v>6</v>
      </c>
      <c r="B24" s="4"/>
      <c r="C24" s="12"/>
      <c r="D24" s="12"/>
      <c r="E24" s="12"/>
      <c r="F24" s="12"/>
      <c r="G24" s="12"/>
      <c r="H24" s="12"/>
      <c r="I24" s="15">
        <f t="shared" si="1"/>
        <v>0</v>
      </c>
      <c r="J24" s="18"/>
    </row>
    <row r="25" spans="1:10" ht="32.25" customHeight="1" x14ac:dyDescent="0.2">
      <c r="A25" s="85"/>
      <c r="B25" s="80" t="s">
        <v>82</v>
      </c>
      <c r="C25" s="85"/>
      <c r="D25" s="85"/>
      <c r="E25" s="85"/>
      <c r="F25" s="85"/>
      <c r="G25" s="85"/>
      <c r="H25" s="85"/>
      <c r="I25" s="85">
        <f>SUM(I26:I31)</f>
        <v>0</v>
      </c>
      <c r="J25" s="99">
        <f>I25/$I$8</f>
        <v>0</v>
      </c>
    </row>
    <row r="26" spans="1:10" ht="32.25" customHeight="1" x14ac:dyDescent="0.2">
      <c r="A26" s="15">
        <v>1</v>
      </c>
      <c r="B26" s="4" t="s">
        <v>103</v>
      </c>
      <c r="C26" s="12"/>
      <c r="D26" s="12"/>
      <c r="E26" s="12"/>
      <c r="F26" s="12"/>
      <c r="G26" s="12"/>
      <c r="H26" s="12"/>
      <c r="I26" s="15">
        <f t="shared" si="1"/>
        <v>0</v>
      </c>
      <c r="J26" s="17" t="s">
        <v>93</v>
      </c>
    </row>
    <row r="27" spans="1:10" ht="32.25" customHeight="1" x14ac:dyDescent="0.2">
      <c r="A27" s="12">
        <v>2</v>
      </c>
      <c r="B27" s="4" t="s">
        <v>104</v>
      </c>
      <c r="C27" s="12"/>
      <c r="D27" s="12"/>
      <c r="E27" s="12"/>
      <c r="F27" s="12"/>
      <c r="G27" s="12"/>
      <c r="H27" s="12"/>
      <c r="I27" s="15">
        <f t="shared" si="1"/>
        <v>0</v>
      </c>
      <c r="J27" s="17" t="s">
        <v>92</v>
      </c>
    </row>
    <row r="28" spans="1:10" ht="32.25" customHeight="1" x14ac:dyDescent="0.2">
      <c r="A28" s="15">
        <v>3</v>
      </c>
      <c r="B28" s="4" t="s">
        <v>105</v>
      </c>
      <c r="C28" s="12"/>
      <c r="D28" s="12"/>
      <c r="E28" s="12"/>
      <c r="F28" s="12"/>
      <c r="G28" s="12"/>
      <c r="H28" s="12"/>
      <c r="I28" s="15">
        <f t="shared" si="1"/>
        <v>0</v>
      </c>
      <c r="J28" s="17" t="s">
        <v>94</v>
      </c>
    </row>
    <row r="29" spans="1:10" ht="32.25" customHeight="1" x14ac:dyDescent="0.2">
      <c r="A29" s="12">
        <v>4</v>
      </c>
      <c r="B29" s="4" t="s">
        <v>106</v>
      </c>
      <c r="C29" s="12"/>
      <c r="D29" s="12"/>
      <c r="E29" s="12"/>
      <c r="F29" s="12"/>
      <c r="G29" s="12"/>
      <c r="H29" s="12"/>
      <c r="I29" s="15">
        <f t="shared" si="1"/>
        <v>0</v>
      </c>
      <c r="J29" s="17" t="s">
        <v>96</v>
      </c>
    </row>
    <row r="30" spans="1:10" ht="32.25" customHeight="1" x14ac:dyDescent="0.2">
      <c r="A30" s="15">
        <v>5</v>
      </c>
      <c r="B30" s="4" t="s">
        <v>107</v>
      </c>
      <c r="C30" s="12"/>
      <c r="D30" s="12"/>
      <c r="E30" s="12"/>
      <c r="F30" s="12"/>
      <c r="G30" s="12"/>
      <c r="H30" s="12"/>
      <c r="I30" s="15">
        <f t="shared" si="1"/>
        <v>0</v>
      </c>
      <c r="J30" s="17" t="s">
        <v>95</v>
      </c>
    </row>
    <row r="31" spans="1:10" ht="33.950000000000003" customHeight="1" x14ac:dyDescent="0.2">
      <c r="A31" s="12">
        <v>6</v>
      </c>
      <c r="B31" s="4"/>
      <c r="C31" s="12"/>
      <c r="D31" s="12"/>
      <c r="E31" s="12"/>
      <c r="F31" s="12"/>
      <c r="G31" s="12"/>
      <c r="H31" s="12"/>
      <c r="I31" s="15">
        <f t="shared" si="1"/>
        <v>0</v>
      </c>
      <c r="J31" s="18"/>
    </row>
    <row r="32" spans="1:10" ht="32.25" customHeight="1" x14ac:dyDescent="0.2">
      <c r="A32" s="85"/>
      <c r="B32" s="80" t="s">
        <v>124</v>
      </c>
      <c r="C32" s="85"/>
      <c r="D32" s="85"/>
      <c r="E32" s="85"/>
      <c r="F32" s="85"/>
      <c r="G32" s="85"/>
      <c r="H32" s="85"/>
      <c r="I32" s="85">
        <f>SUM(I33:I34)</f>
        <v>0</v>
      </c>
      <c r="J32" s="99">
        <f>I32/$I$8</f>
        <v>0</v>
      </c>
    </row>
    <row r="33" spans="1:10" ht="32.25" customHeight="1" x14ac:dyDescent="0.2">
      <c r="A33" s="12">
        <v>1</v>
      </c>
      <c r="B33" s="4" t="s">
        <v>173</v>
      </c>
      <c r="C33" s="12"/>
      <c r="D33" s="12"/>
      <c r="E33" s="12"/>
      <c r="F33" s="12"/>
      <c r="G33" s="12"/>
      <c r="H33" s="12"/>
      <c r="I33" s="15">
        <f t="shared" si="1"/>
        <v>0</v>
      </c>
      <c r="J33" s="18"/>
    </row>
    <row r="34" spans="1:10" ht="33.950000000000003" customHeight="1" x14ac:dyDescent="0.2">
      <c r="A34" s="12">
        <v>2</v>
      </c>
      <c r="B34" s="4"/>
      <c r="C34" s="12"/>
      <c r="D34" s="12"/>
      <c r="E34" s="12"/>
      <c r="F34" s="12"/>
      <c r="G34" s="12"/>
      <c r="H34" s="12"/>
      <c r="I34" s="15">
        <f t="shared" si="1"/>
        <v>0</v>
      </c>
      <c r="J34" s="18"/>
    </row>
    <row r="35" spans="1:10" ht="32.25" customHeight="1" x14ac:dyDescent="0.2">
      <c r="A35" s="85"/>
      <c r="B35" s="80" t="s">
        <v>83</v>
      </c>
      <c r="C35" s="85"/>
      <c r="D35" s="85"/>
      <c r="E35" s="85"/>
      <c r="F35" s="85"/>
      <c r="G35" s="85"/>
      <c r="H35" s="85"/>
      <c r="I35" s="85">
        <f>SUM(I36:I45)</f>
        <v>0</v>
      </c>
      <c r="J35" s="99">
        <f>I35/$I$8</f>
        <v>0</v>
      </c>
    </row>
    <row r="36" spans="1:10" ht="32.25" customHeight="1" x14ac:dyDescent="0.2">
      <c r="A36" s="15">
        <v>1</v>
      </c>
      <c r="B36" s="4" t="s">
        <v>104</v>
      </c>
      <c r="C36" s="12"/>
      <c r="D36" s="12"/>
      <c r="E36" s="12"/>
      <c r="F36" s="12"/>
      <c r="G36" s="12"/>
      <c r="H36" s="12"/>
      <c r="I36" s="15"/>
      <c r="J36" s="17" t="s">
        <v>92</v>
      </c>
    </row>
    <row r="37" spans="1:10" ht="32.25" customHeight="1" x14ac:dyDescent="0.2">
      <c r="A37" s="12">
        <v>2</v>
      </c>
      <c r="B37" s="4" t="s">
        <v>105</v>
      </c>
      <c r="C37" s="12"/>
      <c r="D37" s="12"/>
      <c r="E37" s="12"/>
      <c r="F37" s="12"/>
      <c r="G37" s="12"/>
      <c r="H37" s="12"/>
      <c r="I37" s="15"/>
      <c r="J37" s="17" t="s">
        <v>94</v>
      </c>
    </row>
    <row r="38" spans="1:10" ht="32.25" customHeight="1" x14ac:dyDescent="0.2">
      <c r="A38" s="15">
        <v>3</v>
      </c>
      <c r="B38" s="4" t="s">
        <v>106</v>
      </c>
      <c r="C38" s="12"/>
      <c r="D38" s="12"/>
      <c r="E38" s="12"/>
      <c r="F38" s="12"/>
      <c r="G38" s="12"/>
      <c r="H38" s="12"/>
      <c r="I38" s="15"/>
      <c r="J38" s="17" t="s">
        <v>96</v>
      </c>
    </row>
    <row r="39" spans="1:10" ht="32.25" customHeight="1" x14ac:dyDescent="0.2">
      <c r="A39" s="12">
        <v>4</v>
      </c>
      <c r="B39" s="4" t="s">
        <v>107</v>
      </c>
      <c r="C39" s="12"/>
      <c r="D39" s="12"/>
      <c r="E39" s="12"/>
      <c r="F39" s="12"/>
      <c r="G39" s="12"/>
      <c r="H39" s="12"/>
      <c r="I39" s="15"/>
      <c r="J39" s="17" t="s">
        <v>95</v>
      </c>
    </row>
    <row r="40" spans="1:10" ht="33.950000000000003" customHeight="1" x14ac:dyDescent="0.2">
      <c r="A40" s="15">
        <v>5</v>
      </c>
      <c r="B40" s="4"/>
      <c r="C40" s="12"/>
      <c r="D40" s="12"/>
      <c r="E40" s="12"/>
      <c r="F40" s="12"/>
      <c r="G40" s="12"/>
      <c r="H40" s="12"/>
      <c r="I40" s="15">
        <f t="shared" si="1"/>
        <v>0</v>
      </c>
      <c r="J40" s="17"/>
    </row>
    <row r="41" spans="1:10" ht="33.950000000000003" customHeight="1" x14ac:dyDescent="0.2">
      <c r="A41" s="12">
        <v>6</v>
      </c>
      <c r="B41" s="4"/>
      <c r="C41" s="12"/>
      <c r="D41" s="12"/>
      <c r="E41" s="12"/>
      <c r="F41" s="12"/>
      <c r="G41" s="12"/>
      <c r="H41" s="12"/>
      <c r="I41" s="15">
        <f t="shared" si="1"/>
        <v>0</v>
      </c>
      <c r="J41" s="18"/>
    </row>
    <row r="42" spans="1:10" ht="33.950000000000003" customHeight="1" x14ac:dyDescent="0.2">
      <c r="A42" s="15">
        <v>7</v>
      </c>
      <c r="B42" s="4"/>
      <c r="C42" s="12"/>
      <c r="D42" s="12"/>
      <c r="E42" s="12"/>
      <c r="F42" s="12"/>
      <c r="G42" s="12"/>
      <c r="H42" s="12"/>
      <c r="I42" s="15">
        <f t="shared" si="1"/>
        <v>0</v>
      </c>
      <c r="J42" s="18"/>
    </row>
    <row r="43" spans="1:10" ht="33.950000000000003" customHeight="1" x14ac:dyDescent="0.2">
      <c r="A43" s="12">
        <v>8</v>
      </c>
      <c r="B43" s="4"/>
      <c r="C43" s="12"/>
      <c r="D43" s="12"/>
      <c r="E43" s="12"/>
      <c r="F43" s="12"/>
      <c r="G43" s="12"/>
      <c r="H43" s="12"/>
      <c r="I43" s="15">
        <f t="shared" si="1"/>
        <v>0</v>
      </c>
      <c r="J43" s="18"/>
    </row>
    <row r="44" spans="1:10" ht="33.950000000000003" customHeight="1" x14ac:dyDescent="0.2">
      <c r="A44" s="15">
        <v>9</v>
      </c>
      <c r="B44" s="4"/>
      <c r="C44" s="12"/>
      <c r="D44" s="12"/>
      <c r="E44" s="12"/>
      <c r="F44" s="12"/>
      <c r="G44" s="12"/>
      <c r="H44" s="12"/>
      <c r="I44" s="15">
        <f t="shared" si="1"/>
        <v>0</v>
      </c>
      <c r="J44" s="18"/>
    </row>
    <row r="45" spans="1:10" ht="33.950000000000003" customHeight="1" x14ac:dyDescent="0.2">
      <c r="A45" s="12">
        <v>10</v>
      </c>
      <c r="B45" s="4"/>
      <c r="C45" s="12"/>
      <c r="D45" s="12"/>
      <c r="E45" s="12"/>
      <c r="F45" s="12"/>
      <c r="G45" s="12"/>
      <c r="H45" s="12"/>
      <c r="I45" s="15">
        <f t="shared" si="1"/>
        <v>0</v>
      </c>
      <c r="J45" s="18"/>
    </row>
    <row r="46" spans="1:10" ht="32.25" customHeight="1" x14ac:dyDescent="0.2">
      <c r="A46" s="85"/>
      <c r="B46" s="80" t="s">
        <v>84</v>
      </c>
      <c r="C46" s="85"/>
      <c r="D46" s="85"/>
      <c r="E46" s="85"/>
      <c r="F46" s="85"/>
      <c r="G46" s="85"/>
      <c r="H46" s="85"/>
      <c r="I46" s="85">
        <f>SUM(I47:I56)</f>
        <v>0</v>
      </c>
      <c r="J46" s="99">
        <f>I46/$I$8</f>
        <v>0</v>
      </c>
    </row>
    <row r="47" spans="1:10" ht="32.25" customHeight="1" x14ac:dyDescent="0.2">
      <c r="A47" s="15">
        <v>1</v>
      </c>
      <c r="B47" s="4" t="s">
        <v>108</v>
      </c>
      <c r="C47" s="12"/>
      <c r="D47" s="12"/>
      <c r="E47" s="12"/>
      <c r="F47" s="12"/>
      <c r="G47" s="12"/>
      <c r="H47" s="12"/>
      <c r="I47" s="15">
        <f t="shared" si="1"/>
        <v>0</v>
      </c>
      <c r="J47" s="18"/>
    </row>
    <row r="48" spans="1:10" ht="32.25" customHeight="1" x14ac:dyDescent="0.2">
      <c r="A48" s="12">
        <v>2</v>
      </c>
      <c r="B48" s="4" t="s">
        <v>109</v>
      </c>
      <c r="C48" s="12"/>
      <c r="D48" s="12"/>
      <c r="E48" s="12"/>
      <c r="F48" s="12"/>
      <c r="G48" s="12"/>
      <c r="H48" s="12"/>
      <c r="I48" s="15">
        <f t="shared" si="1"/>
        <v>0</v>
      </c>
      <c r="J48" s="18"/>
    </row>
    <row r="49" spans="1:10" ht="32.25" customHeight="1" x14ac:dyDescent="0.2">
      <c r="A49" s="15">
        <v>3</v>
      </c>
      <c r="B49" s="4" t="s">
        <v>110</v>
      </c>
      <c r="C49" s="12"/>
      <c r="D49" s="12"/>
      <c r="E49" s="12"/>
      <c r="F49" s="12"/>
      <c r="G49" s="12"/>
      <c r="H49" s="12"/>
      <c r="I49" s="15">
        <f t="shared" si="1"/>
        <v>0</v>
      </c>
      <c r="J49" s="18"/>
    </row>
    <row r="50" spans="1:10" ht="32.25" customHeight="1" x14ac:dyDescent="0.2">
      <c r="A50" s="12">
        <v>4</v>
      </c>
      <c r="B50" s="4" t="s">
        <v>111</v>
      </c>
      <c r="C50" s="12"/>
      <c r="D50" s="12"/>
      <c r="E50" s="12"/>
      <c r="F50" s="12"/>
      <c r="G50" s="12"/>
      <c r="H50" s="12"/>
      <c r="I50" s="15">
        <f t="shared" si="1"/>
        <v>0</v>
      </c>
      <c r="J50" s="18"/>
    </row>
    <row r="51" spans="1:10" ht="32.25" customHeight="1" x14ac:dyDescent="0.2">
      <c r="A51" s="15">
        <v>5</v>
      </c>
      <c r="B51" s="4" t="s">
        <v>112</v>
      </c>
      <c r="C51" s="12"/>
      <c r="D51" s="12"/>
      <c r="E51" s="12"/>
      <c r="F51" s="12"/>
      <c r="G51" s="12"/>
      <c r="H51" s="12"/>
      <c r="I51" s="15">
        <f t="shared" si="1"/>
        <v>0</v>
      </c>
      <c r="J51" s="18"/>
    </row>
    <row r="52" spans="1:10" ht="32.25" customHeight="1" x14ac:dyDescent="0.2">
      <c r="A52" s="12">
        <v>6</v>
      </c>
      <c r="B52" s="4" t="s">
        <v>113</v>
      </c>
      <c r="C52" s="12"/>
      <c r="D52" s="12"/>
      <c r="E52" s="12"/>
      <c r="F52" s="12"/>
      <c r="G52" s="12"/>
      <c r="H52" s="12"/>
      <c r="I52" s="15">
        <f t="shared" si="1"/>
        <v>0</v>
      </c>
      <c r="J52" s="18"/>
    </row>
    <row r="53" spans="1:10" ht="32.25" customHeight="1" x14ac:dyDescent="0.2">
      <c r="A53" s="15">
        <v>7</v>
      </c>
      <c r="B53" s="4" t="s">
        <v>114</v>
      </c>
      <c r="C53" s="12"/>
      <c r="D53" s="12"/>
      <c r="E53" s="12"/>
      <c r="F53" s="12"/>
      <c r="G53" s="12"/>
      <c r="H53" s="12"/>
      <c r="I53" s="15">
        <f t="shared" si="1"/>
        <v>0</v>
      </c>
      <c r="J53" s="18"/>
    </row>
    <row r="54" spans="1:10" ht="32.25" customHeight="1" x14ac:dyDescent="0.2">
      <c r="A54" s="12">
        <v>8</v>
      </c>
      <c r="B54" s="4" t="s">
        <v>119</v>
      </c>
      <c r="C54" s="12"/>
      <c r="D54" s="12"/>
      <c r="E54" s="12"/>
      <c r="F54" s="12"/>
      <c r="G54" s="12"/>
      <c r="H54" s="12"/>
      <c r="I54" s="15">
        <f t="shared" si="1"/>
        <v>0</v>
      </c>
      <c r="J54" s="18"/>
    </row>
    <row r="55" spans="1:10" ht="33.950000000000003" customHeight="1" x14ac:dyDescent="0.2">
      <c r="A55" s="15">
        <v>9</v>
      </c>
      <c r="B55" s="4"/>
      <c r="C55" s="12"/>
      <c r="D55" s="12"/>
      <c r="E55" s="12"/>
      <c r="F55" s="12"/>
      <c r="G55" s="12"/>
      <c r="H55" s="12"/>
      <c r="I55" s="15">
        <f t="shared" si="1"/>
        <v>0</v>
      </c>
      <c r="J55" s="18"/>
    </row>
    <row r="56" spans="1:10" ht="33.950000000000003" customHeight="1" x14ac:dyDescent="0.2">
      <c r="A56" s="12">
        <v>10</v>
      </c>
      <c r="B56" s="4"/>
      <c r="C56" s="12"/>
      <c r="D56" s="12"/>
      <c r="E56" s="12"/>
      <c r="F56" s="12"/>
      <c r="G56" s="12"/>
      <c r="H56" s="12"/>
      <c r="I56" s="15">
        <f t="shared" si="1"/>
        <v>0</v>
      </c>
      <c r="J56" s="18"/>
    </row>
    <row r="57" spans="1:10" ht="32.25" customHeight="1" x14ac:dyDescent="0.2">
      <c r="A57" s="85"/>
      <c r="B57" s="80" t="s">
        <v>85</v>
      </c>
      <c r="C57" s="85"/>
      <c r="D57" s="85"/>
      <c r="E57" s="85"/>
      <c r="F57" s="85"/>
      <c r="G57" s="85"/>
      <c r="H57" s="85"/>
      <c r="I57" s="85">
        <f>SUM(I58:I63)</f>
        <v>0</v>
      </c>
      <c r="J57" s="99">
        <f>I57/$I$8</f>
        <v>0</v>
      </c>
    </row>
    <row r="58" spans="1:10" ht="32.25" customHeight="1" x14ac:dyDescent="0.2">
      <c r="A58" s="15">
        <v>1</v>
      </c>
      <c r="B58" s="4" t="s">
        <v>115</v>
      </c>
      <c r="C58" s="12"/>
      <c r="D58" s="12"/>
      <c r="E58" s="12"/>
      <c r="F58" s="12"/>
      <c r="G58" s="12"/>
      <c r="H58" s="12"/>
      <c r="I58" s="15">
        <f t="shared" si="1"/>
        <v>0</v>
      </c>
      <c r="J58" s="18"/>
    </row>
    <row r="59" spans="1:10" ht="32.25" customHeight="1" x14ac:dyDescent="0.2">
      <c r="A59" s="12">
        <v>2</v>
      </c>
      <c r="B59" s="4" t="s">
        <v>116</v>
      </c>
      <c r="C59" s="12"/>
      <c r="D59" s="12"/>
      <c r="E59" s="12"/>
      <c r="F59" s="12"/>
      <c r="G59" s="12"/>
      <c r="H59" s="12"/>
      <c r="I59" s="15">
        <f t="shared" si="1"/>
        <v>0</v>
      </c>
      <c r="J59" s="18"/>
    </row>
    <row r="60" spans="1:10" ht="32.25" customHeight="1" x14ac:dyDescent="0.2">
      <c r="A60" s="15">
        <v>3</v>
      </c>
      <c r="B60" s="4" t="s">
        <v>117</v>
      </c>
      <c r="C60" s="12"/>
      <c r="D60" s="12"/>
      <c r="E60" s="12"/>
      <c r="F60" s="12"/>
      <c r="G60" s="12"/>
      <c r="H60" s="12"/>
      <c r="I60" s="15">
        <f t="shared" si="1"/>
        <v>0</v>
      </c>
      <c r="J60" s="18"/>
    </row>
    <row r="61" spans="1:10" ht="33.950000000000003" customHeight="1" x14ac:dyDescent="0.2">
      <c r="A61" s="12">
        <v>4</v>
      </c>
      <c r="B61" s="4"/>
      <c r="C61" s="12"/>
      <c r="D61" s="12"/>
      <c r="E61" s="12"/>
      <c r="F61" s="12"/>
      <c r="G61" s="12"/>
      <c r="H61" s="12"/>
      <c r="I61" s="15">
        <f t="shared" si="1"/>
        <v>0</v>
      </c>
      <c r="J61" s="18"/>
    </row>
    <row r="62" spans="1:10" ht="33.950000000000003" customHeight="1" x14ac:dyDescent="0.2">
      <c r="A62" s="15">
        <v>5</v>
      </c>
      <c r="B62" s="4"/>
      <c r="C62" s="12"/>
      <c r="D62" s="12"/>
      <c r="E62" s="12"/>
      <c r="F62" s="12"/>
      <c r="G62" s="12"/>
      <c r="H62" s="12"/>
      <c r="I62" s="15">
        <f t="shared" si="1"/>
        <v>0</v>
      </c>
      <c r="J62" s="18"/>
    </row>
    <row r="63" spans="1:10" ht="33.950000000000003" customHeight="1" x14ac:dyDescent="0.2">
      <c r="A63" s="12">
        <v>6</v>
      </c>
      <c r="B63" s="4"/>
      <c r="C63" s="12"/>
      <c r="D63" s="12"/>
      <c r="E63" s="12"/>
      <c r="F63" s="12"/>
      <c r="G63" s="12"/>
      <c r="H63" s="12"/>
      <c r="I63" s="15">
        <f t="shared" si="1"/>
        <v>0</v>
      </c>
      <c r="J63" s="18"/>
    </row>
  </sheetData>
  <mergeCells count="7">
    <mergeCell ref="A10:J10"/>
    <mergeCell ref="A7:B7"/>
    <mergeCell ref="A8:B8"/>
    <mergeCell ref="A1:J1"/>
    <mergeCell ref="C3:I3"/>
    <mergeCell ref="C4:I4"/>
    <mergeCell ref="A2:J2"/>
  </mergeCells>
  <phoneticPr fontId="0" type="noConversion"/>
  <printOptions horizontalCentered="1"/>
  <pageMargins left="0.23622047244094491" right="0.23622047244094491" top="0.74803149606299213" bottom="0.59055118110236227" header="0.51181102362204722" footer="0.51181102362204722"/>
  <pageSetup paperSize="9" fitToHeight="0" orientation="landscape" r:id="rId1"/>
  <headerFooter alignWithMargins="0"/>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ET65"/>
  <sheetViews>
    <sheetView showGridLines="0" zoomScale="85" zoomScaleNormal="85" workbookViewId="0">
      <selection sqref="A1:E1"/>
    </sheetView>
  </sheetViews>
  <sheetFormatPr defaultRowHeight="12.75" x14ac:dyDescent="0.2"/>
  <cols>
    <col min="1" max="1" width="11.42578125" style="63" customWidth="1"/>
    <col min="2" max="2" width="85.42578125" style="25" customWidth="1"/>
    <col min="3" max="3" width="11.85546875" style="33" customWidth="1"/>
    <col min="4" max="4" width="9.85546875" style="6" customWidth="1"/>
    <col min="5" max="5" width="10.7109375" style="6" customWidth="1"/>
    <col min="6" max="119" width="2.7109375" style="6" customWidth="1"/>
    <col min="120" max="150" width="2.85546875" style="6" customWidth="1"/>
    <col min="151" max="16384" width="9.140625" style="6"/>
  </cols>
  <sheetData>
    <row r="1" spans="1:150" ht="18.75" customHeight="1" x14ac:dyDescent="0.2">
      <c r="A1" s="241" t="s">
        <v>123</v>
      </c>
      <c r="B1" s="242"/>
      <c r="C1" s="242"/>
      <c r="D1" s="242"/>
      <c r="E1" s="242"/>
      <c r="F1" s="243"/>
      <c r="G1" s="243"/>
      <c r="H1" s="243"/>
      <c r="I1" s="243"/>
      <c r="J1" s="243"/>
      <c r="K1" s="243"/>
      <c r="L1" s="243"/>
      <c r="M1" s="243"/>
      <c r="N1" s="243"/>
      <c r="O1" s="243"/>
      <c r="P1" s="243"/>
      <c r="Q1" s="243"/>
      <c r="R1" s="243"/>
      <c r="S1" s="243"/>
      <c r="T1" s="243"/>
      <c r="U1" s="243"/>
      <c r="V1" s="243"/>
      <c r="W1" s="243"/>
      <c r="X1" s="243"/>
      <c r="Y1" s="243"/>
      <c r="Z1" s="243"/>
      <c r="AA1" s="243"/>
      <c r="AB1" s="243"/>
      <c r="AC1" s="243"/>
      <c r="AD1" s="243"/>
      <c r="AE1" s="243"/>
      <c r="AF1" s="243"/>
      <c r="AG1" s="243"/>
      <c r="AH1" s="243"/>
      <c r="AI1" s="243"/>
      <c r="AJ1" s="243"/>
      <c r="AK1" s="243"/>
      <c r="AL1" s="243"/>
      <c r="AM1" s="243"/>
      <c r="AN1" s="243"/>
      <c r="AO1" s="243"/>
      <c r="AP1" s="243"/>
      <c r="AQ1" s="243"/>
      <c r="AR1" s="243"/>
      <c r="AS1" s="243"/>
      <c r="AT1" s="243"/>
      <c r="AU1" s="243"/>
      <c r="AV1" s="243"/>
      <c r="AW1" s="243"/>
      <c r="AX1" s="243"/>
      <c r="AY1" s="243"/>
      <c r="AZ1" s="243"/>
      <c r="BA1" s="243"/>
      <c r="BB1" s="243"/>
      <c r="BC1" s="243"/>
      <c r="BD1" s="243"/>
      <c r="BE1" s="243"/>
      <c r="BF1" s="243"/>
      <c r="BG1" s="243"/>
      <c r="BH1" s="243"/>
      <c r="BI1" s="243"/>
      <c r="BJ1" s="243"/>
      <c r="BK1" s="243"/>
      <c r="BL1" s="243"/>
      <c r="BM1" s="243"/>
      <c r="BN1" s="243"/>
      <c r="BO1" s="243"/>
      <c r="BP1" s="243"/>
      <c r="BQ1" s="243"/>
      <c r="BR1" s="243"/>
      <c r="BS1" s="243"/>
      <c r="BT1" s="243"/>
      <c r="BU1" s="243"/>
      <c r="BV1" s="243"/>
      <c r="BW1" s="243"/>
      <c r="BX1" s="243"/>
      <c r="BY1" s="243"/>
      <c r="BZ1" s="243"/>
      <c r="CA1" s="243"/>
      <c r="CB1" s="243"/>
      <c r="CC1" s="243"/>
      <c r="CD1" s="243"/>
      <c r="CE1" s="243"/>
      <c r="CF1" s="243"/>
      <c r="CG1" s="243"/>
      <c r="CH1" s="243"/>
      <c r="CI1" s="243"/>
      <c r="CJ1" s="243"/>
      <c r="CK1" s="243"/>
      <c r="CL1" s="243"/>
      <c r="CM1" s="243"/>
      <c r="CN1" s="243"/>
      <c r="CO1" s="243"/>
      <c r="CP1" s="243"/>
      <c r="CQ1" s="243"/>
      <c r="CR1" s="243"/>
      <c r="CS1" s="243"/>
      <c r="CT1" s="243"/>
      <c r="CU1" s="243"/>
      <c r="CV1" s="243"/>
      <c r="CW1" s="243"/>
      <c r="CX1" s="243"/>
      <c r="CY1" s="243"/>
      <c r="CZ1" s="243"/>
      <c r="DA1" s="243"/>
      <c r="DB1" s="243"/>
      <c r="DC1" s="243"/>
      <c r="DD1" s="243"/>
      <c r="DE1" s="243"/>
      <c r="DF1" s="243"/>
      <c r="DG1" s="243"/>
      <c r="DH1" s="243"/>
      <c r="DI1" s="243"/>
      <c r="DJ1" s="243"/>
      <c r="DK1" s="243"/>
      <c r="DL1" s="243"/>
      <c r="DM1" s="243"/>
      <c r="DN1" s="243"/>
      <c r="DO1" s="243"/>
      <c r="DP1" s="243"/>
      <c r="DQ1" s="243"/>
      <c r="DR1" s="243"/>
      <c r="DS1" s="243"/>
      <c r="DT1" s="243"/>
      <c r="DU1" s="243"/>
      <c r="DV1" s="243"/>
      <c r="DW1" s="243"/>
      <c r="DX1" s="243"/>
      <c r="DY1" s="243"/>
      <c r="DZ1" s="243"/>
      <c r="EA1" s="243"/>
      <c r="EB1" s="243"/>
      <c r="EC1" s="243"/>
      <c r="ED1" s="243"/>
      <c r="EE1" s="243"/>
      <c r="EF1" s="243"/>
      <c r="EG1" s="243"/>
      <c r="EH1" s="243"/>
      <c r="EI1" s="243"/>
      <c r="EJ1" s="243"/>
      <c r="EK1" s="243"/>
      <c r="EL1" s="243"/>
      <c r="EM1" s="243"/>
      <c r="EN1" s="243"/>
      <c r="EO1" s="243"/>
      <c r="EP1" s="243"/>
      <c r="EQ1" s="243"/>
      <c r="ER1" s="243"/>
      <c r="ES1" s="243"/>
      <c r="ET1" s="244"/>
    </row>
    <row r="2" spans="1:150" s="1" customFormat="1" ht="18.75" customHeight="1" x14ac:dyDescent="0.2">
      <c r="A2" s="237" t="s">
        <v>37</v>
      </c>
      <c r="B2" s="238"/>
      <c r="C2" s="238"/>
      <c r="D2" s="238"/>
      <c r="E2" s="238"/>
      <c r="F2" s="238"/>
      <c r="G2" s="238"/>
      <c r="H2" s="238"/>
      <c r="I2" s="238"/>
      <c r="J2" s="238"/>
      <c r="K2" s="238"/>
      <c r="L2" s="238"/>
      <c r="M2" s="238"/>
      <c r="N2" s="238"/>
      <c r="O2" s="238"/>
      <c r="P2" s="238"/>
      <c r="Q2" s="238"/>
      <c r="R2" s="238"/>
      <c r="S2" s="238"/>
      <c r="T2" s="238"/>
      <c r="U2" s="238"/>
      <c r="V2" s="238"/>
      <c r="W2" s="238"/>
      <c r="X2" s="238"/>
      <c r="Y2" s="238"/>
      <c r="Z2" s="238"/>
      <c r="AA2" s="238"/>
      <c r="AB2" s="238"/>
      <c r="AC2" s="238"/>
      <c r="AD2" s="238"/>
      <c r="AE2" s="238"/>
      <c r="AF2" s="238"/>
      <c r="AG2" s="238"/>
      <c r="AH2" s="238"/>
      <c r="AI2" s="238"/>
      <c r="AJ2" s="238"/>
      <c r="AK2" s="238"/>
      <c r="AL2" s="238"/>
      <c r="AM2" s="238"/>
      <c r="AN2" s="238"/>
      <c r="AO2" s="238"/>
      <c r="AP2" s="238"/>
      <c r="AQ2" s="238"/>
      <c r="AR2" s="238"/>
      <c r="AS2" s="238"/>
      <c r="AT2" s="238"/>
      <c r="AU2" s="238"/>
      <c r="AV2" s="238"/>
      <c r="AW2" s="238"/>
      <c r="AX2" s="238"/>
      <c r="AY2" s="238"/>
      <c r="AZ2" s="238"/>
      <c r="BA2" s="238"/>
      <c r="BB2" s="238"/>
      <c r="BC2" s="238"/>
      <c r="BD2" s="238"/>
      <c r="BE2" s="238"/>
      <c r="BF2" s="238"/>
      <c r="BG2" s="238"/>
      <c r="BH2" s="238"/>
      <c r="BI2" s="238"/>
      <c r="BJ2" s="238"/>
      <c r="BK2" s="238"/>
      <c r="BL2" s="238"/>
      <c r="BM2" s="238"/>
      <c r="BN2" s="238"/>
      <c r="BO2" s="238"/>
      <c r="BP2" s="238"/>
      <c r="BQ2" s="238"/>
      <c r="BR2" s="238"/>
      <c r="BS2" s="238"/>
      <c r="BT2" s="238"/>
      <c r="BU2" s="238"/>
      <c r="BV2" s="238"/>
      <c r="BW2" s="238"/>
      <c r="BX2" s="238"/>
      <c r="BY2" s="238"/>
      <c r="BZ2" s="238"/>
      <c r="CA2" s="238"/>
      <c r="CB2" s="238"/>
      <c r="CC2" s="238"/>
      <c r="CD2" s="238"/>
      <c r="CE2" s="238"/>
      <c r="CF2" s="238"/>
      <c r="CG2" s="238"/>
      <c r="CH2" s="238"/>
      <c r="CI2" s="238"/>
      <c r="CJ2" s="238"/>
      <c r="CK2" s="238"/>
      <c r="CL2" s="238"/>
      <c r="CM2" s="238"/>
      <c r="CN2" s="238"/>
      <c r="CO2" s="238"/>
      <c r="CP2" s="238"/>
      <c r="CQ2" s="238"/>
      <c r="CR2" s="238"/>
      <c r="CS2" s="238"/>
      <c r="CT2" s="238"/>
      <c r="CU2" s="238"/>
      <c r="CV2" s="238"/>
      <c r="CW2" s="238"/>
      <c r="CX2" s="238"/>
      <c r="CY2" s="238"/>
      <c r="CZ2" s="238"/>
      <c r="DA2" s="238"/>
      <c r="DB2" s="238"/>
      <c r="DC2" s="238"/>
      <c r="DD2" s="238"/>
      <c r="DE2" s="238"/>
      <c r="DF2" s="238"/>
      <c r="DG2" s="238"/>
      <c r="DH2" s="238"/>
      <c r="DI2" s="238"/>
      <c r="DJ2" s="238"/>
      <c r="DK2" s="238"/>
      <c r="DL2" s="238"/>
      <c r="DM2" s="238"/>
      <c r="DN2" s="238"/>
      <c r="DO2" s="238"/>
      <c r="DP2" s="238"/>
      <c r="DQ2" s="238"/>
      <c r="DR2" s="238"/>
      <c r="DS2" s="238"/>
      <c r="DT2" s="238"/>
      <c r="DU2" s="238"/>
      <c r="DV2" s="238"/>
      <c r="DW2" s="238"/>
      <c r="DX2" s="238"/>
      <c r="DY2" s="238"/>
      <c r="DZ2" s="238"/>
      <c r="EA2" s="238"/>
      <c r="EB2" s="238"/>
      <c r="EC2" s="238"/>
      <c r="ED2" s="238"/>
      <c r="EE2" s="238"/>
      <c r="EF2" s="238"/>
      <c r="EG2" s="238"/>
      <c r="EH2" s="238"/>
      <c r="EI2" s="238"/>
      <c r="EJ2" s="238"/>
      <c r="EK2" s="238"/>
      <c r="EL2" s="238"/>
      <c r="EM2" s="238"/>
      <c r="EN2" s="238"/>
      <c r="EO2" s="238"/>
      <c r="EP2" s="238"/>
      <c r="EQ2" s="238"/>
      <c r="ER2" s="238"/>
      <c r="ES2" s="238"/>
      <c r="ET2" s="239"/>
    </row>
    <row r="3" spans="1:150" s="1" customFormat="1" ht="35.25" customHeight="1" x14ac:dyDescent="0.2">
      <c r="A3" s="105" t="s">
        <v>13</v>
      </c>
      <c r="B3" s="10">
        <f>'M&amp;V Design'!B3</f>
        <v>0</v>
      </c>
      <c r="C3" s="240" t="s">
        <v>9</v>
      </c>
      <c r="D3" s="240"/>
      <c r="E3" s="2">
        <f>'M&amp;V Design'!D3</f>
        <v>0</v>
      </c>
    </row>
    <row r="4" spans="1:150" s="1" customFormat="1" ht="25.5" x14ac:dyDescent="0.2">
      <c r="A4" s="105" t="s">
        <v>8</v>
      </c>
      <c r="B4" s="2">
        <f>'M&amp;V Design'!B4</f>
        <v>0</v>
      </c>
      <c r="C4" s="240" t="s">
        <v>30</v>
      </c>
      <c r="D4" s="240"/>
      <c r="E4" s="53">
        <f>'M&amp;V Design'!D4</f>
        <v>0</v>
      </c>
    </row>
    <row r="5" spans="1:150" s="1" customFormat="1" x14ac:dyDescent="0.2">
      <c r="A5" s="62"/>
    </row>
    <row r="6" spans="1:150" s="1" customFormat="1" x14ac:dyDescent="0.2">
      <c r="A6" s="62"/>
    </row>
    <row r="7" spans="1:150" x14ac:dyDescent="0.2">
      <c r="A7" s="128" t="s">
        <v>130</v>
      </c>
      <c r="B7" s="100"/>
      <c r="C7" s="100"/>
      <c r="D7" s="101"/>
      <c r="E7" s="101"/>
      <c r="F7" s="102" t="s">
        <v>76</v>
      </c>
      <c r="G7" s="102"/>
      <c r="H7" s="102"/>
      <c r="I7" s="102"/>
      <c r="J7" s="102"/>
      <c r="K7" s="102"/>
      <c r="L7" s="102"/>
      <c r="M7" s="102"/>
      <c r="N7" s="102"/>
      <c r="O7" s="102"/>
      <c r="P7" s="102"/>
      <c r="Q7" s="102"/>
      <c r="R7" s="102"/>
      <c r="S7" s="102"/>
      <c r="T7" s="102"/>
      <c r="U7" s="102"/>
      <c r="V7" s="102"/>
      <c r="W7" s="102"/>
      <c r="X7" s="102"/>
      <c r="Y7" s="102"/>
      <c r="Z7" s="102"/>
      <c r="AA7" s="102"/>
      <c r="AB7" s="102"/>
      <c r="AC7" s="102"/>
      <c r="AD7" s="102"/>
      <c r="AE7" s="102"/>
      <c r="AF7" s="102"/>
      <c r="AG7" s="102"/>
      <c r="AH7" s="102"/>
      <c r="AI7" s="102"/>
      <c r="AJ7" s="102"/>
      <c r="AK7" s="102"/>
      <c r="AL7" s="102"/>
      <c r="AM7" s="102"/>
      <c r="AN7" s="102"/>
      <c r="AO7" s="102"/>
      <c r="AP7" s="102"/>
      <c r="AQ7" s="102"/>
      <c r="AR7" s="102"/>
      <c r="AS7" s="102"/>
      <c r="AT7" s="102"/>
      <c r="AU7" s="102"/>
      <c r="AV7" s="102"/>
      <c r="AW7" s="102"/>
      <c r="AX7" s="102"/>
      <c r="AY7" s="102"/>
      <c r="AZ7" s="102"/>
      <c r="BA7" s="102"/>
      <c r="BB7" s="102"/>
      <c r="BC7" s="102"/>
      <c r="BD7" s="102"/>
      <c r="BE7" s="102"/>
      <c r="BF7" s="102"/>
      <c r="BG7" s="102"/>
      <c r="BH7" s="102"/>
      <c r="BI7" s="102"/>
      <c r="BJ7" s="102"/>
      <c r="BK7" s="102"/>
      <c r="BL7" s="102"/>
      <c r="BM7" s="102"/>
      <c r="BN7" s="102"/>
      <c r="BO7" s="102"/>
      <c r="BP7" s="102"/>
      <c r="BQ7" s="102"/>
      <c r="BR7" s="102"/>
      <c r="BS7" s="102"/>
      <c r="BT7" s="102"/>
      <c r="BU7" s="102"/>
      <c r="BV7" s="102"/>
      <c r="BW7" s="102"/>
      <c r="BX7" s="102"/>
      <c r="BY7" s="102"/>
      <c r="BZ7" s="102"/>
      <c r="CA7" s="102"/>
      <c r="CB7" s="102"/>
      <c r="CC7" s="102"/>
      <c r="CD7" s="102"/>
      <c r="CE7" s="102"/>
      <c r="CF7" s="102"/>
      <c r="CG7" s="102"/>
      <c r="CH7" s="102"/>
      <c r="CI7" s="102"/>
      <c r="CJ7" s="102"/>
      <c r="CK7" s="102"/>
      <c r="CL7" s="102"/>
      <c r="CM7" s="102"/>
      <c r="CN7" s="102"/>
      <c r="CO7" s="102"/>
      <c r="CP7" s="102"/>
      <c r="CQ7" s="102"/>
      <c r="CR7" s="102"/>
      <c r="CS7" s="102"/>
      <c r="CT7" s="102"/>
      <c r="CU7" s="102"/>
      <c r="CV7" s="102"/>
      <c r="CW7" s="102"/>
      <c r="CX7" s="102"/>
      <c r="CY7" s="102"/>
      <c r="CZ7" s="102"/>
      <c r="DA7" s="102"/>
      <c r="DB7" s="102"/>
      <c r="DC7" s="102"/>
      <c r="DD7" s="102"/>
      <c r="DE7" s="102"/>
      <c r="DF7" s="102"/>
      <c r="DG7" s="102"/>
      <c r="DH7" s="102"/>
      <c r="DI7" s="102"/>
      <c r="DJ7" s="102"/>
      <c r="DK7" s="102"/>
      <c r="DL7" s="102"/>
      <c r="DM7" s="102"/>
      <c r="DN7" s="102"/>
      <c r="DO7" s="102"/>
      <c r="DP7" s="102"/>
      <c r="DQ7" s="102"/>
      <c r="DR7" s="102"/>
      <c r="DS7" s="102"/>
      <c r="DT7" s="102"/>
      <c r="DU7" s="102"/>
      <c r="DV7" s="102"/>
      <c r="DW7" s="102"/>
      <c r="DX7" s="102"/>
      <c r="DY7" s="102"/>
      <c r="DZ7" s="102"/>
      <c r="EA7" s="102"/>
      <c r="EB7" s="102"/>
      <c r="EC7" s="102"/>
      <c r="ED7" s="102"/>
      <c r="EE7" s="102"/>
      <c r="EF7" s="102"/>
      <c r="EG7" s="102"/>
      <c r="EH7" s="102"/>
      <c r="EI7" s="102"/>
      <c r="EJ7" s="102"/>
      <c r="EK7" s="102"/>
      <c r="EL7" s="102"/>
      <c r="EM7" s="102"/>
      <c r="EN7" s="102"/>
      <c r="EO7" s="102"/>
      <c r="EP7" s="102"/>
      <c r="EQ7" s="102"/>
      <c r="ER7" s="102"/>
      <c r="ES7" s="102"/>
      <c r="ET7" s="127"/>
    </row>
    <row r="8" spans="1:150" ht="25.5" x14ac:dyDescent="0.2">
      <c r="A8" s="23" t="s">
        <v>14</v>
      </c>
      <c r="B8" s="24" t="s">
        <v>10</v>
      </c>
      <c r="C8" s="24" t="s">
        <v>80</v>
      </c>
      <c r="D8" s="24" t="s">
        <v>11</v>
      </c>
      <c r="E8" s="24" t="s">
        <v>12</v>
      </c>
      <c r="F8" s="246">
        <f>MIN(D:D)-MOD(MIN(D:D)-2,7)</f>
        <v>41274</v>
      </c>
      <c r="G8" s="247"/>
      <c r="H8" s="247"/>
      <c r="I8" s="247"/>
      <c r="J8" s="248"/>
      <c r="K8" s="245">
        <f>F8+7</f>
        <v>41281</v>
      </c>
      <c r="L8" s="245"/>
      <c r="M8" s="245"/>
      <c r="N8" s="245"/>
      <c r="O8" s="245"/>
      <c r="P8" s="245">
        <f>K8+7</f>
        <v>41288</v>
      </c>
      <c r="Q8" s="245"/>
      <c r="R8" s="245"/>
      <c r="S8" s="245"/>
      <c r="T8" s="245"/>
      <c r="U8" s="245">
        <f>P8+7</f>
        <v>41295</v>
      </c>
      <c r="V8" s="245"/>
      <c r="W8" s="245"/>
      <c r="X8" s="245"/>
      <c r="Y8" s="245"/>
      <c r="Z8" s="245">
        <f>U8+7</f>
        <v>41302</v>
      </c>
      <c r="AA8" s="245"/>
      <c r="AB8" s="245"/>
      <c r="AC8" s="245"/>
      <c r="AD8" s="245"/>
      <c r="AE8" s="245">
        <f>Z8+7</f>
        <v>41309</v>
      </c>
      <c r="AF8" s="245"/>
      <c r="AG8" s="245"/>
      <c r="AH8" s="245"/>
      <c r="AI8" s="245"/>
      <c r="AJ8" s="245">
        <f>AE8+7</f>
        <v>41316</v>
      </c>
      <c r="AK8" s="245"/>
      <c r="AL8" s="245"/>
      <c r="AM8" s="245"/>
      <c r="AN8" s="245"/>
      <c r="AO8" s="245">
        <f>AJ8+7</f>
        <v>41323</v>
      </c>
      <c r="AP8" s="245"/>
      <c r="AQ8" s="245"/>
      <c r="AR8" s="245"/>
      <c r="AS8" s="245"/>
      <c r="AT8" s="245">
        <f>AO8+7</f>
        <v>41330</v>
      </c>
      <c r="AU8" s="245"/>
      <c r="AV8" s="245"/>
      <c r="AW8" s="245"/>
      <c r="AX8" s="245"/>
      <c r="AY8" s="245">
        <f>AT8+7</f>
        <v>41337</v>
      </c>
      <c r="AZ8" s="245"/>
      <c r="BA8" s="245"/>
      <c r="BB8" s="245"/>
      <c r="BC8" s="245"/>
      <c r="BD8" s="245">
        <f>AY8+7</f>
        <v>41344</v>
      </c>
      <c r="BE8" s="245"/>
      <c r="BF8" s="245"/>
      <c r="BG8" s="245"/>
      <c r="BH8" s="245"/>
      <c r="BI8" s="245">
        <f>BD8+7</f>
        <v>41351</v>
      </c>
      <c r="BJ8" s="245"/>
      <c r="BK8" s="245"/>
      <c r="BL8" s="245"/>
      <c r="BM8" s="245"/>
      <c r="BN8" s="245">
        <f>BI8+7</f>
        <v>41358</v>
      </c>
      <c r="BO8" s="245"/>
      <c r="BP8" s="245"/>
      <c r="BQ8" s="245"/>
      <c r="BR8" s="245"/>
      <c r="BS8" s="245">
        <f>BN8+7</f>
        <v>41365</v>
      </c>
      <c r="BT8" s="245"/>
      <c r="BU8" s="245"/>
      <c r="BV8" s="245"/>
      <c r="BW8" s="245"/>
      <c r="BX8" s="245">
        <f>BS8+7</f>
        <v>41372</v>
      </c>
      <c r="BY8" s="245"/>
      <c r="BZ8" s="245"/>
      <c r="CA8" s="245"/>
      <c r="CB8" s="245"/>
      <c r="CC8" s="245">
        <f>BX8+7</f>
        <v>41379</v>
      </c>
      <c r="CD8" s="245"/>
      <c r="CE8" s="245"/>
      <c r="CF8" s="245"/>
      <c r="CG8" s="245"/>
      <c r="CH8" s="245">
        <f>CC8+7</f>
        <v>41386</v>
      </c>
      <c r="CI8" s="245"/>
      <c r="CJ8" s="245"/>
      <c r="CK8" s="245"/>
      <c r="CL8" s="245"/>
      <c r="CM8" s="245">
        <f>CH8+7</f>
        <v>41393</v>
      </c>
      <c r="CN8" s="245"/>
      <c r="CO8" s="245"/>
      <c r="CP8" s="245"/>
      <c r="CQ8" s="245"/>
      <c r="CR8" s="245">
        <f>CM8+7</f>
        <v>41400</v>
      </c>
      <c r="CS8" s="245"/>
      <c r="CT8" s="245"/>
      <c r="CU8" s="245"/>
      <c r="CV8" s="245"/>
      <c r="CW8" s="245">
        <f>CR8+7</f>
        <v>41407</v>
      </c>
      <c r="CX8" s="245"/>
      <c r="CY8" s="245"/>
      <c r="CZ8" s="245"/>
      <c r="DA8" s="245"/>
      <c r="DB8" s="245">
        <f>CW8+7</f>
        <v>41414</v>
      </c>
      <c r="DC8" s="245"/>
      <c r="DD8" s="245"/>
      <c r="DE8" s="245"/>
      <c r="DF8" s="245"/>
      <c r="DG8" s="245">
        <f>DB8+7</f>
        <v>41421</v>
      </c>
      <c r="DH8" s="245"/>
      <c r="DI8" s="245"/>
      <c r="DJ8" s="245"/>
      <c r="DK8" s="245"/>
      <c r="DL8" s="245">
        <f>DG8+7</f>
        <v>41428</v>
      </c>
      <c r="DM8" s="245"/>
      <c r="DN8" s="245"/>
      <c r="DO8" s="245"/>
      <c r="DP8" s="245"/>
      <c r="DQ8" s="245">
        <f>DL8+7</f>
        <v>41435</v>
      </c>
      <c r="DR8" s="245"/>
      <c r="DS8" s="245"/>
      <c r="DT8" s="245"/>
      <c r="DU8" s="245"/>
      <c r="DV8" s="245">
        <f>DQ8+7</f>
        <v>41442</v>
      </c>
      <c r="DW8" s="245"/>
      <c r="DX8" s="245"/>
      <c r="DY8" s="245"/>
      <c r="DZ8" s="245"/>
      <c r="EA8" s="245">
        <f>DV8+7</f>
        <v>41449</v>
      </c>
      <c r="EB8" s="245"/>
      <c r="EC8" s="245"/>
      <c r="ED8" s="245"/>
      <c r="EE8" s="245"/>
      <c r="EF8" s="245">
        <f>EA8+7</f>
        <v>41456</v>
      </c>
      <c r="EG8" s="245"/>
      <c r="EH8" s="245"/>
      <c r="EI8" s="245"/>
      <c r="EJ8" s="245"/>
      <c r="EK8" s="245">
        <f>EF8+7</f>
        <v>41463</v>
      </c>
      <c r="EL8" s="245"/>
      <c r="EM8" s="245"/>
      <c r="EN8" s="245"/>
      <c r="EO8" s="245"/>
      <c r="EP8" s="245">
        <f>EK8+7</f>
        <v>41470</v>
      </c>
      <c r="EQ8" s="245"/>
      <c r="ER8" s="245"/>
      <c r="ES8" s="245"/>
      <c r="ET8" s="245"/>
    </row>
    <row r="9" spans="1:150" s="32" customFormat="1" ht="25.5" x14ac:dyDescent="0.2">
      <c r="A9" s="88"/>
      <c r="B9" s="91"/>
      <c r="C9" s="88"/>
      <c r="D9" s="36" t="s">
        <v>131</v>
      </c>
      <c r="E9" s="28"/>
      <c r="F9" s="30">
        <f>F8</f>
        <v>41274</v>
      </c>
      <c r="G9" s="31">
        <f>F9+1</f>
        <v>41275</v>
      </c>
      <c r="H9" s="31">
        <f>G9+1</f>
        <v>41276</v>
      </c>
      <c r="I9" s="31">
        <f>H9+1</f>
        <v>41277</v>
      </c>
      <c r="J9" s="31">
        <f>I9+1</f>
        <v>41278</v>
      </c>
      <c r="K9" s="31">
        <f>F9+7</f>
        <v>41281</v>
      </c>
      <c r="L9" s="31">
        <f>K9+1</f>
        <v>41282</v>
      </c>
      <c r="M9" s="31">
        <f>L9+1</f>
        <v>41283</v>
      </c>
      <c r="N9" s="31">
        <f>M9+1</f>
        <v>41284</v>
      </c>
      <c r="O9" s="31">
        <f>N9+1</f>
        <v>41285</v>
      </c>
      <c r="P9" s="31">
        <f>K9+7</f>
        <v>41288</v>
      </c>
      <c r="Q9" s="31">
        <f>P9+1</f>
        <v>41289</v>
      </c>
      <c r="R9" s="31">
        <f>Q9+1</f>
        <v>41290</v>
      </c>
      <c r="S9" s="31">
        <f>R9+1</f>
        <v>41291</v>
      </c>
      <c r="T9" s="31">
        <f>S9+1</f>
        <v>41292</v>
      </c>
      <c r="U9" s="31">
        <f>P9+7</f>
        <v>41295</v>
      </c>
      <c r="V9" s="31">
        <f>U9+1</f>
        <v>41296</v>
      </c>
      <c r="W9" s="31">
        <f>V9+1</f>
        <v>41297</v>
      </c>
      <c r="X9" s="31">
        <f>W9+1</f>
        <v>41298</v>
      </c>
      <c r="Y9" s="31">
        <f>X9+1</f>
        <v>41299</v>
      </c>
      <c r="Z9" s="31">
        <f>U9+7</f>
        <v>41302</v>
      </c>
      <c r="AA9" s="31">
        <f>Z9+1</f>
        <v>41303</v>
      </c>
      <c r="AB9" s="31">
        <f>AA9+1</f>
        <v>41304</v>
      </c>
      <c r="AC9" s="31">
        <f>AB9+1</f>
        <v>41305</v>
      </c>
      <c r="AD9" s="31">
        <f>AC9+1</f>
        <v>41306</v>
      </c>
      <c r="AE9" s="31">
        <f>Z9+7</f>
        <v>41309</v>
      </c>
      <c r="AF9" s="31">
        <f>AE9+1</f>
        <v>41310</v>
      </c>
      <c r="AG9" s="31">
        <f>AF9+1</f>
        <v>41311</v>
      </c>
      <c r="AH9" s="31">
        <f>AG9+1</f>
        <v>41312</v>
      </c>
      <c r="AI9" s="31">
        <f>AH9+1</f>
        <v>41313</v>
      </c>
      <c r="AJ9" s="31">
        <f>AE9+7</f>
        <v>41316</v>
      </c>
      <c r="AK9" s="31">
        <f>AJ9+1</f>
        <v>41317</v>
      </c>
      <c r="AL9" s="31">
        <f>AK9+1</f>
        <v>41318</v>
      </c>
      <c r="AM9" s="31">
        <f>AL9+1</f>
        <v>41319</v>
      </c>
      <c r="AN9" s="31">
        <f>AM9+1</f>
        <v>41320</v>
      </c>
      <c r="AO9" s="31">
        <f>AJ9+7</f>
        <v>41323</v>
      </c>
      <c r="AP9" s="31">
        <f>AO9+1</f>
        <v>41324</v>
      </c>
      <c r="AQ9" s="31">
        <f>AP9+1</f>
        <v>41325</v>
      </c>
      <c r="AR9" s="31">
        <f>AQ9+1</f>
        <v>41326</v>
      </c>
      <c r="AS9" s="31">
        <f>AR9+1</f>
        <v>41327</v>
      </c>
      <c r="AT9" s="31">
        <f>AO9+7</f>
        <v>41330</v>
      </c>
      <c r="AU9" s="31">
        <f>AT9+1</f>
        <v>41331</v>
      </c>
      <c r="AV9" s="31">
        <f>AU9+1</f>
        <v>41332</v>
      </c>
      <c r="AW9" s="31">
        <f>AV9+1</f>
        <v>41333</v>
      </c>
      <c r="AX9" s="31">
        <f>AW9+1</f>
        <v>41334</v>
      </c>
      <c r="AY9" s="31">
        <f>AT9+7</f>
        <v>41337</v>
      </c>
      <c r="AZ9" s="31">
        <f>AY9+1</f>
        <v>41338</v>
      </c>
      <c r="BA9" s="31">
        <f>AZ9+1</f>
        <v>41339</v>
      </c>
      <c r="BB9" s="31">
        <f>BA9+1</f>
        <v>41340</v>
      </c>
      <c r="BC9" s="31">
        <f>BB9+1</f>
        <v>41341</v>
      </c>
      <c r="BD9" s="31">
        <f>AY9+7</f>
        <v>41344</v>
      </c>
      <c r="BE9" s="31">
        <f>BD9+1</f>
        <v>41345</v>
      </c>
      <c r="BF9" s="31">
        <f>BE9+1</f>
        <v>41346</v>
      </c>
      <c r="BG9" s="31">
        <f>BF9+1</f>
        <v>41347</v>
      </c>
      <c r="BH9" s="31">
        <f>BG9+1</f>
        <v>41348</v>
      </c>
      <c r="BI9" s="31">
        <f>BD9+7</f>
        <v>41351</v>
      </c>
      <c r="BJ9" s="31">
        <f>BI9+1</f>
        <v>41352</v>
      </c>
      <c r="BK9" s="31">
        <f>BJ9+1</f>
        <v>41353</v>
      </c>
      <c r="BL9" s="31">
        <f>BK9+1</f>
        <v>41354</v>
      </c>
      <c r="BM9" s="31">
        <f>BL9+1</f>
        <v>41355</v>
      </c>
      <c r="BN9" s="31">
        <f>BI9+7</f>
        <v>41358</v>
      </c>
      <c r="BO9" s="31">
        <f>BN9+1</f>
        <v>41359</v>
      </c>
      <c r="BP9" s="31">
        <f>BO9+1</f>
        <v>41360</v>
      </c>
      <c r="BQ9" s="31">
        <f>BP9+1</f>
        <v>41361</v>
      </c>
      <c r="BR9" s="31">
        <f>BQ9+1</f>
        <v>41362</v>
      </c>
      <c r="BS9" s="31">
        <f>BN9+7</f>
        <v>41365</v>
      </c>
      <c r="BT9" s="31">
        <f>BS9+1</f>
        <v>41366</v>
      </c>
      <c r="BU9" s="31">
        <f>BT9+1</f>
        <v>41367</v>
      </c>
      <c r="BV9" s="31">
        <f>BU9+1</f>
        <v>41368</v>
      </c>
      <c r="BW9" s="31">
        <f>BV9+1</f>
        <v>41369</v>
      </c>
      <c r="BX9" s="31">
        <f>BS9+7</f>
        <v>41372</v>
      </c>
      <c r="BY9" s="31">
        <f>BX9+1</f>
        <v>41373</v>
      </c>
      <c r="BZ9" s="31">
        <f>BY9+1</f>
        <v>41374</v>
      </c>
      <c r="CA9" s="31">
        <f>BZ9+1</f>
        <v>41375</v>
      </c>
      <c r="CB9" s="31">
        <f>CA9+1</f>
        <v>41376</v>
      </c>
      <c r="CC9" s="31">
        <f>BX9+7</f>
        <v>41379</v>
      </c>
      <c r="CD9" s="31">
        <f>CC9+1</f>
        <v>41380</v>
      </c>
      <c r="CE9" s="31">
        <f>CD9+1</f>
        <v>41381</v>
      </c>
      <c r="CF9" s="31">
        <f>CE9+1</f>
        <v>41382</v>
      </c>
      <c r="CG9" s="31">
        <f>CF9+1</f>
        <v>41383</v>
      </c>
      <c r="CH9" s="31">
        <f>CC9+7</f>
        <v>41386</v>
      </c>
      <c r="CI9" s="31">
        <f>CH9+1</f>
        <v>41387</v>
      </c>
      <c r="CJ9" s="31">
        <f>CI9+1</f>
        <v>41388</v>
      </c>
      <c r="CK9" s="31">
        <f>CJ9+1</f>
        <v>41389</v>
      </c>
      <c r="CL9" s="31">
        <f>CK9+1</f>
        <v>41390</v>
      </c>
      <c r="CM9" s="31">
        <f>CH9+7</f>
        <v>41393</v>
      </c>
      <c r="CN9" s="31">
        <f>CM9+1</f>
        <v>41394</v>
      </c>
      <c r="CO9" s="31">
        <f>CN9+1</f>
        <v>41395</v>
      </c>
      <c r="CP9" s="31">
        <f>CO9+1</f>
        <v>41396</v>
      </c>
      <c r="CQ9" s="31">
        <f>CP9+1</f>
        <v>41397</v>
      </c>
      <c r="CR9" s="31">
        <f>CM9+7</f>
        <v>41400</v>
      </c>
      <c r="CS9" s="31">
        <f>CR9+1</f>
        <v>41401</v>
      </c>
      <c r="CT9" s="31">
        <f>CS9+1</f>
        <v>41402</v>
      </c>
      <c r="CU9" s="31">
        <f>CT9+1</f>
        <v>41403</v>
      </c>
      <c r="CV9" s="31">
        <f>CU9+1</f>
        <v>41404</v>
      </c>
      <c r="CW9" s="31">
        <f>CR9+7</f>
        <v>41407</v>
      </c>
      <c r="CX9" s="31">
        <f>CW9+1</f>
        <v>41408</v>
      </c>
      <c r="CY9" s="31">
        <f>CX9+1</f>
        <v>41409</v>
      </c>
      <c r="CZ9" s="31">
        <f>CY9+1</f>
        <v>41410</v>
      </c>
      <c r="DA9" s="31">
        <f>CZ9+1</f>
        <v>41411</v>
      </c>
      <c r="DB9" s="31">
        <f>CW9+7</f>
        <v>41414</v>
      </c>
      <c r="DC9" s="31">
        <f>DB9+1</f>
        <v>41415</v>
      </c>
      <c r="DD9" s="31">
        <f>DC9+1</f>
        <v>41416</v>
      </c>
      <c r="DE9" s="31">
        <f>DD9+1</f>
        <v>41417</v>
      </c>
      <c r="DF9" s="31">
        <f>DE9+1</f>
        <v>41418</v>
      </c>
      <c r="DG9" s="31">
        <f>DB9+7</f>
        <v>41421</v>
      </c>
      <c r="DH9" s="31">
        <f>DG9+1</f>
        <v>41422</v>
      </c>
      <c r="DI9" s="31">
        <f>DH9+1</f>
        <v>41423</v>
      </c>
      <c r="DJ9" s="31">
        <f>DI9+1</f>
        <v>41424</v>
      </c>
      <c r="DK9" s="31">
        <f>DJ9+1</f>
        <v>41425</v>
      </c>
      <c r="DL9" s="31">
        <f>DG9+7</f>
        <v>41428</v>
      </c>
      <c r="DM9" s="31">
        <f>DL9+1</f>
        <v>41429</v>
      </c>
      <c r="DN9" s="31">
        <f>DM9+1</f>
        <v>41430</v>
      </c>
      <c r="DO9" s="31">
        <f>DN9+1</f>
        <v>41431</v>
      </c>
      <c r="DP9" s="31">
        <f>DO9+1</f>
        <v>41432</v>
      </c>
      <c r="DQ9" s="31">
        <f>DL9+7</f>
        <v>41435</v>
      </c>
      <c r="DR9" s="31">
        <f>DQ9+1</f>
        <v>41436</v>
      </c>
      <c r="DS9" s="31">
        <f>DR9+1</f>
        <v>41437</v>
      </c>
      <c r="DT9" s="31">
        <f>DS9+1</f>
        <v>41438</v>
      </c>
      <c r="DU9" s="31">
        <f>DT9+1</f>
        <v>41439</v>
      </c>
      <c r="DV9" s="31">
        <f>DQ9+7</f>
        <v>41442</v>
      </c>
      <c r="DW9" s="31">
        <f>DV9+1</f>
        <v>41443</v>
      </c>
      <c r="DX9" s="31">
        <f>DW9+1</f>
        <v>41444</v>
      </c>
      <c r="DY9" s="31">
        <f>DX9+1</f>
        <v>41445</v>
      </c>
      <c r="DZ9" s="31">
        <f>DY9+1</f>
        <v>41446</v>
      </c>
      <c r="EA9" s="31">
        <f>DV9+7</f>
        <v>41449</v>
      </c>
      <c r="EB9" s="31">
        <f>EA9+1</f>
        <v>41450</v>
      </c>
      <c r="EC9" s="31">
        <f>EB9+1</f>
        <v>41451</v>
      </c>
      <c r="ED9" s="31">
        <f>EC9+1</f>
        <v>41452</v>
      </c>
      <c r="EE9" s="31">
        <f>ED9+1</f>
        <v>41453</v>
      </c>
      <c r="EF9" s="31">
        <f>EA9+7</f>
        <v>41456</v>
      </c>
      <c r="EG9" s="31">
        <f>EF9+1</f>
        <v>41457</v>
      </c>
      <c r="EH9" s="31">
        <f>EG9+1</f>
        <v>41458</v>
      </c>
      <c r="EI9" s="31">
        <f>EH9+1</f>
        <v>41459</v>
      </c>
      <c r="EJ9" s="31">
        <f>EI9+1</f>
        <v>41460</v>
      </c>
      <c r="EK9" s="31">
        <f>EF9+7</f>
        <v>41463</v>
      </c>
      <c r="EL9" s="31">
        <f>EK9+1</f>
        <v>41464</v>
      </c>
      <c r="EM9" s="31">
        <f>EL9+1</f>
        <v>41465</v>
      </c>
      <c r="EN9" s="31">
        <f>EM9+1</f>
        <v>41466</v>
      </c>
      <c r="EO9" s="31">
        <f>EN9+1</f>
        <v>41467</v>
      </c>
      <c r="EP9" s="31">
        <f>EK9+7</f>
        <v>41470</v>
      </c>
      <c r="EQ9" s="31">
        <f>EP9+1</f>
        <v>41471</v>
      </c>
      <c r="ER9" s="31">
        <f>EQ9+1</f>
        <v>41472</v>
      </c>
      <c r="ES9" s="31">
        <f>ER9+1</f>
        <v>41473</v>
      </c>
      <c r="ET9" s="31">
        <f>ES9+1</f>
        <v>41474</v>
      </c>
    </row>
    <row r="10" spans="1:150" x14ac:dyDescent="0.2">
      <c r="A10" s="88" t="str">
        <f>TEXT('M&amp;V Tasks'!A11,"#")</f>
        <v/>
      </c>
      <c r="B10" s="91" t="str">
        <f>TEXT('M&amp;V Tasks'!B11,"#")</f>
        <v>Project Management</v>
      </c>
      <c r="C10" s="88">
        <f>'M&amp;V Tasks'!I11</f>
        <v>1</v>
      </c>
      <c r="D10" s="26"/>
      <c r="E10" s="26"/>
      <c r="F10" s="29" t="str">
        <f t="shared" ref="F10:U23" si="0">IF(AND(F$9&gt;=$D10,F$9&lt;=$E10),1,"")</f>
        <v/>
      </c>
      <c r="G10" s="29" t="str">
        <f t="shared" si="0"/>
        <v/>
      </c>
      <c r="H10" s="29" t="str">
        <f t="shared" si="0"/>
        <v/>
      </c>
      <c r="I10" s="29" t="str">
        <f t="shared" si="0"/>
        <v/>
      </c>
      <c r="J10" s="29" t="str">
        <f t="shared" si="0"/>
        <v/>
      </c>
      <c r="K10" s="29" t="str">
        <f t="shared" si="0"/>
        <v/>
      </c>
      <c r="L10" s="29" t="str">
        <f t="shared" si="0"/>
        <v/>
      </c>
      <c r="M10" s="29" t="str">
        <f t="shared" si="0"/>
        <v/>
      </c>
      <c r="N10" s="29" t="str">
        <f t="shared" si="0"/>
        <v/>
      </c>
      <c r="O10" s="29" t="str">
        <f t="shared" si="0"/>
        <v/>
      </c>
      <c r="P10" s="29" t="str">
        <f t="shared" si="0"/>
        <v/>
      </c>
      <c r="Q10" s="29" t="str">
        <f t="shared" si="0"/>
        <v/>
      </c>
      <c r="R10" s="29" t="str">
        <f t="shared" si="0"/>
        <v/>
      </c>
      <c r="S10" s="29" t="str">
        <f t="shared" si="0"/>
        <v/>
      </c>
      <c r="T10" s="29" t="str">
        <f t="shared" si="0"/>
        <v/>
      </c>
      <c r="U10" s="29" t="str">
        <f t="shared" si="0"/>
        <v/>
      </c>
      <c r="V10" s="29" t="str">
        <f t="shared" ref="V10:BW14" si="1">IF(AND(V$9&gt;=$D10,V$9&lt;=$E10),1,"")</f>
        <v/>
      </c>
      <c r="W10" s="29" t="str">
        <f t="shared" si="1"/>
        <v/>
      </c>
      <c r="X10" s="29" t="str">
        <f t="shared" si="1"/>
        <v/>
      </c>
      <c r="Y10" s="29" t="str">
        <f t="shared" si="1"/>
        <v/>
      </c>
      <c r="Z10" s="29" t="str">
        <f t="shared" si="1"/>
        <v/>
      </c>
      <c r="AA10" s="29" t="str">
        <f t="shared" si="1"/>
        <v/>
      </c>
      <c r="AB10" s="29" t="str">
        <f t="shared" si="1"/>
        <v/>
      </c>
      <c r="AC10" s="29" t="str">
        <f t="shared" si="1"/>
        <v/>
      </c>
      <c r="AD10" s="29" t="str">
        <f t="shared" si="1"/>
        <v/>
      </c>
      <c r="AE10" s="29" t="str">
        <f t="shared" si="1"/>
        <v/>
      </c>
      <c r="AF10" s="29" t="str">
        <f t="shared" si="1"/>
        <v/>
      </c>
      <c r="AG10" s="29" t="str">
        <f t="shared" si="1"/>
        <v/>
      </c>
      <c r="AH10" s="29" t="str">
        <f t="shared" si="1"/>
        <v/>
      </c>
      <c r="AI10" s="29" t="str">
        <f t="shared" si="1"/>
        <v/>
      </c>
      <c r="AJ10" s="29" t="str">
        <f t="shared" si="1"/>
        <v/>
      </c>
      <c r="AK10" s="29" t="str">
        <f t="shared" si="1"/>
        <v/>
      </c>
      <c r="AL10" s="29" t="str">
        <f t="shared" si="1"/>
        <v/>
      </c>
      <c r="AM10" s="29" t="str">
        <f t="shared" si="1"/>
        <v/>
      </c>
      <c r="AN10" s="29" t="str">
        <f t="shared" si="1"/>
        <v/>
      </c>
      <c r="AO10" s="29" t="str">
        <f t="shared" si="1"/>
        <v/>
      </c>
      <c r="AP10" s="29" t="str">
        <f t="shared" si="1"/>
        <v/>
      </c>
      <c r="AQ10" s="29" t="str">
        <f t="shared" si="1"/>
        <v/>
      </c>
      <c r="AR10" s="29" t="str">
        <f t="shared" si="1"/>
        <v/>
      </c>
      <c r="AS10" s="29" t="str">
        <f t="shared" si="1"/>
        <v/>
      </c>
      <c r="AT10" s="29" t="str">
        <f t="shared" si="1"/>
        <v/>
      </c>
      <c r="AU10" s="29" t="str">
        <f t="shared" si="1"/>
        <v/>
      </c>
      <c r="AV10" s="29" t="str">
        <f t="shared" si="1"/>
        <v/>
      </c>
      <c r="AW10" s="29" t="str">
        <f t="shared" si="1"/>
        <v/>
      </c>
      <c r="AX10" s="29" t="str">
        <f t="shared" si="1"/>
        <v/>
      </c>
      <c r="AY10" s="29" t="str">
        <f t="shared" si="1"/>
        <v/>
      </c>
      <c r="AZ10" s="29" t="str">
        <f t="shared" si="1"/>
        <v/>
      </c>
      <c r="BA10" s="29" t="str">
        <f t="shared" si="1"/>
        <v/>
      </c>
      <c r="BB10" s="29" t="str">
        <f t="shared" si="1"/>
        <v/>
      </c>
      <c r="BC10" s="29" t="str">
        <f t="shared" si="1"/>
        <v/>
      </c>
      <c r="BD10" s="29" t="str">
        <f t="shared" si="1"/>
        <v/>
      </c>
      <c r="BE10" s="29" t="str">
        <f t="shared" si="1"/>
        <v/>
      </c>
      <c r="BF10" s="29" t="str">
        <f t="shared" si="1"/>
        <v/>
      </c>
      <c r="BG10" s="29" t="str">
        <f t="shared" si="1"/>
        <v/>
      </c>
      <c r="BH10" s="29" t="str">
        <f t="shared" si="1"/>
        <v/>
      </c>
      <c r="BI10" s="29" t="str">
        <f t="shared" si="1"/>
        <v/>
      </c>
      <c r="BJ10" s="29" t="str">
        <f t="shared" si="1"/>
        <v/>
      </c>
      <c r="BK10" s="29" t="str">
        <f t="shared" si="1"/>
        <v/>
      </c>
      <c r="BL10" s="29" t="str">
        <f t="shared" si="1"/>
        <v/>
      </c>
      <c r="BM10" s="29" t="str">
        <f t="shared" si="1"/>
        <v/>
      </c>
      <c r="BN10" s="29" t="str">
        <f t="shared" si="1"/>
        <v/>
      </c>
      <c r="BO10" s="29" t="str">
        <f t="shared" si="1"/>
        <v/>
      </c>
      <c r="BP10" s="29" t="str">
        <f t="shared" si="1"/>
        <v/>
      </c>
      <c r="BQ10" s="29" t="str">
        <f t="shared" si="1"/>
        <v/>
      </c>
      <c r="BR10" s="29" t="str">
        <f t="shared" si="1"/>
        <v/>
      </c>
      <c r="BS10" s="29" t="str">
        <f t="shared" si="1"/>
        <v/>
      </c>
      <c r="BT10" s="29" t="str">
        <f t="shared" si="1"/>
        <v/>
      </c>
      <c r="BU10" s="29" t="str">
        <f t="shared" si="1"/>
        <v/>
      </c>
      <c r="BV10" s="29" t="str">
        <f t="shared" si="1"/>
        <v/>
      </c>
      <c r="BW10" s="29" t="str">
        <f t="shared" si="1"/>
        <v/>
      </c>
      <c r="BX10" s="29" t="str">
        <f t="shared" ref="BX10:CV18" si="2">IF(AND(BX$9&gt;=$D10,BX$9&lt;=$E10),1,"")</f>
        <v/>
      </c>
      <c r="BY10" s="29" t="str">
        <f t="shared" si="2"/>
        <v/>
      </c>
      <c r="BZ10" s="29" t="str">
        <f t="shared" si="2"/>
        <v/>
      </c>
      <c r="CA10" s="29" t="str">
        <f t="shared" si="2"/>
        <v/>
      </c>
      <c r="CB10" s="29" t="str">
        <f t="shared" si="2"/>
        <v/>
      </c>
      <c r="CC10" s="29" t="str">
        <f t="shared" si="2"/>
        <v/>
      </c>
      <c r="CD10" s="29" t="str">
        <f t="shared" si="2"/>
        <v/>
      </c>
      <c r="CE10" s="29" t="str">
        <f t="shared" si="2"/>
        <v/>
      </c>
      <c r="CF10" s="29" t="str">
        <f t="shared" si="2"/>
        <v/>
      </c>
      <c r="CG10" s="29" t="str">
        <f t="shared" si="2"/>
        <v/>
      </c>
      <c r="CH10" s="29" t="str">
        <f t="shared" si="2"/>
        <v/>
      </c>
      <c r="CI10" s="29" t="str">
        <f t="shared" si="2"/>
        <v/>
      </c>
      <c r="CJ10" s="29" t="str">
        <f t="shared" si="2"/>
        <v/>
      </c>
      <c r="CK10" s="29" t="str">
        <f t="shared" si="2"/>
        <v/>
      </c>
      <c r="CL10" s="29" t="str">
        <f t="shared" si="2"/>
        <v/>
      </c>
      <c r="CM10" s="29" t="str">
        <f t="shared" si="2"/>
        <v/>
      </c>
      <c r="CN10" s="29" t="str">
        <f t="shared" si="2"/>
        <v/>
      </c>
      <c r="CO10" s="29" t="str">
        <f t="shared" si="2"/>
        <v/>
      </c>
      <c r="CP10" s="29" t="str">
        <f t="shared" si="2"/>
        <v/>
      </c>
      <c r="CQ10" s="29" t="str">
        <f t="shared" si="2"/>
        <v/>
      </c>
      <c r="CR10" s="29" t="str">
        <f t="shared" si="2"/>
        <v/>
      </c>
      <c r="CS10" s="29" t="str">
        <f t="shared" si="2"/>
        <v/>
      </c>
      <c r="CT10" s="29" t="str">
        <f t="shared" si="2"/>
        <v/>
      </c>
      <c r="CU10" s="29" t="str">
        <f t="shared" si="2"/>
        <v/>
      </c>
      <c r="CV10" s="29" t="str">
        <f t="shared" si="2"/>
        <v/>
      </c>
      <c r="CW10" s="29" t="str">
        <f t="shared" ref="CW10:DU18" si="3">IF(AND(CW$9&gt;=$D10,CW$9&lt;=$E10),1,"")</f>
        <v/>
      </c>
      <c r="CX10" s="29" t="str">
        <f t="shared" si="3"/>
        <v/>
      </c>
      <c r="CY10" s="29" t="str">
        <f t="shared" si="3"/>
        <v/>
      </c>
      <c r="CZ10" s="29" t="str">
        <f t="shared" si="3"/>
        <v/>
      </c>
      <c r="DA10" s="29" t="str">
        <f t="shared" si="3"/>
        <v/>
      </c>
      <c r="DB10" s="29" t="str">
        <f t="shared" si="3"/>
        <v/>
      </c>
      <c r="DC10" s="29" t="str">
        <f t="shared" si="3"/>
        <v/>
      </c>
      <c r="DD10" s="29" t="str">
        <f t="shared" si="3"/>
        <v/>
      </c>
      <c r="DE10" s="29" t="str">
        <f t="shared" si="3"/>
        <v/>
      </c>
      <c r="DF10" s="29" t="str">
        <f t="shared" si="3"/>
        <v/>
      </c>
      <c r="DG10" s="29" t="str">
        <f t="shared" si="3"/>
        <v/>
      </c>
      <c r="DH10" s="29" t="str">
        <f t="shared" si="3"/>
        <v/>
      </c>
      <c r="DI10" s="29" t="str">
        <f t="shared" si="3"/>
        <v/>
      </c>
      <c r="DJ10" s="29" t="str">
        <f t="shared" si="3"/>
        <v/>
      </c>
      <c r="DK10" s="29" t="str">
        <f t="shared" si="3"/>
        <v/>
      </c>
      <c r="DL10" s="29" t="str">
        <f t="shared" si="3"/>
        <v/>
      </c>
      <c r="DM10" s="29" t="str">
        <f t="shared" si="3"/>
        <v/>
      </c>
      <c r="DN10" s="29" t="str">
        <f t="shared" si="3"/>
        <v/>
      </c>
      <c r="DO10" s="29" t="str">
        <f t="shared" si="3"/>
        <v/>
      </c>
      <c r="DP10" s="29" t="str">
        <f t="shared" si="3"/>
        <v/>
      </c>
      <c r="DQ10" s="29" t="str">
        <f t="shared" si="3"/>
        <v/>
      </c>
      <c r="DR10" s="29" t="str">
        <f t="shared" si="3"/>
        <v/>
      </c>
      <c r="DS10" s="29" t="str">
        <f t="shared" si="3"/>
        <v/>
      </c>
      <c r="DT10" s="29" t="str">
        <f t="shared" si="3"/>
        <v/>
      </c>
      <c r="DU10" s="29" t="str">
        <f t="shared" si="3"/>
        <v/>
      </c>
      <c r="DV10" s="29" t="str">
        <f t="shared" ref="DV10:ET18" si="4">IF(AND(DV$9&gt;=$D10,DV$9&lt;=$E10),1,"")</f>
        <v/>
      </c>
      <c r="DW10" s="29" t="str">
        <f t="shared" si="4"/>
        <v/>
      </c>
      <c r="DX10" s="29" t="str">
        <f t="shared" si="4"/>
        <v/>
      </c>
      <c r="DY10" s="29" t="str">
        <f t="shared" si="4"/>
        <v/>
      </c>
      <c r="DZ10" s="29" t="str">
        <f t="shared" si="4"/>
        <v/>
      </c>
      <c r="EA10" s="29" t="str">
        <f t="shared" si="4"/>
        <v/>
      </c>
      <c r="EB10" s="29" t="str">
        <f t="shared" si="4"/>
        <v/>
      </c>
      <c r="EC10" s="29" t="str">
        <f t="shared" si="4"/>
        <v/>
      </c>
      <c r="ED10" s="29" t="str">
        <f t="shared" si="4"/>
        <v/>
      </c>
      <c r="EE10" s="29" t="str">
        <f t="shared" si="4"/>
        <v/>
      </c>
      <c r="EF10" s="29" t="str">
        <f t="shared" si="4"/>
        <v/>
      </c>
      <c r="EG10" s="29" t="str">
        <f t="shared" si="4"/>
        <v/>
      </c>
      <c r="EH10" s="29" t="str">
        <f t="shared" si="4"/>
        <v/>
      </c>
      <c r="EI10" s="29" t="str">
        <f t="shared" si="4"/>
        <v/>
      </c>
      <c r="EJ10" s="29" t="str">
        <f t="shared" si="4"/>
        <v/>
      </c>
      <c r="EK10" s="29" t="str">
        <f t="shared" si="4"/>
        <v/>
      </c>
      <c r="EL10" s="29" t="str">
        <f t="shared" si="4"/>
        <v/>
      </c>
      <c r="EM10" s="29" t="str">
        <f t="shared" si="4"/>
        <v/>
      </c>
      <c r="EN10" s="29" t="str">
        <f t="shared" si="4"/>
        <v/>
      </c>
      <c r="EO10" s="29" t="str">
        <f t="shared" si="4"/>
        <v/>
      </c>
      <c r="EP10" s="29" t="str">
        <f t="shared" si="4"/>
        <v/>
      </c>
      <c r="EQ10" s="29" t="str">
        <f t="shared" si="4"/>
        <v/>
      </c>
      <c r="ER10" s="29" t="str">
        <f t="shared" si="4"/>
        <v/>
      </c>
      <c r="ES10" s="29" t="str">
        <f t="shared" si="4"/>
        <v/>
      </c>
      <c r="ET10" s="29" t="str">
        <f t="shared" si="4"/>
        <v/>
      </c>
    </row>
    <row r="11" spans="1:150" x14ac:dyDescent="0.2">
      <c r="A11" s="103" t="str">
        <f>TEXT('M&amp;V Tasks'!A12,"#")</f>
        <v>1</v>
      </c>
      <c r="B11" s="104" t="str">
        <f>TEXT('M&amp;V Tasks'!B12,"#")</f>
        <v>Initiate M&amp;V project using internal processes</v>
      </c>
      <c r="C11" s="103">
        <f>'M&amp;V Tasks'!I12</f>
        <v>1</v>
      </c>
      <c r="D11" s="27">
        <v>41275</v>
      </c>
      <c r="E11" s="27"/>
      <c r="F11" s="29" t="str">
        <f t="shared" si="0"/>
        <v/>
      </c>
      <c r="G11" s="29" t="str">
        <f t="shared" si="0"/>
        <v/>
      </c>
      <c r="H11" s="29" t="str">
        <f t="shared" si="0"/>
        <v/>
      </c>
      <c r="I11" s="29" t="str">
        <f t="shared" si="0"/>
        <v/>
      </c>
      <c r="J11" s="29" t="str">
        <f t="shared" si="0"/>
        <v/>
      </c>
      <c r="K11" s="29" t="str">
        <f t="shared" si="0"/>
        <v/>
      </c>
      <c r="L11" s="29" t="str">
        <f t="shared" si="0"/>
        <v/>
      </c>
      <c r="M11" s="29" t="str">
        <f t="shared" si="0"/>
        <v/>
      </c>
      <c r="N11" s="29" t="str">
        <f t="shared" si="0"/>
        <v/>
      </c>
      <c r="O11" s="29" t="str">
        <f t="shared" si="0"/>
        <v/>
      </c>
      <c r="P11" s="29" t="str">
        <f t="shared" si="0"/>
        <v/>
      </c>
      <c r="Q11" s="29" t="str">
        <f t="shared" si="0"/>
        <v/>
      </c>
      <c r="R11" s="29" t="str">
        <f t="shared" si="0"/>
        <v/>
      </c>
      <c r="S11" s="29" t="str">
        <f t="shared" si="0"/>
        <v/>
      </c>
      <c r="T11" s="29" t="str">
        <f t="shared" si="0"/>
        <v/>
      </c>
      <c r="U11" s="29" t="str">
        <f t="shared" si="0"/>
        <v/>
      </c>
      <c r="V11" s="29" t="str">
        <f t="shared" si="1"/>
        <v/>
      </c>
      <c r="W11" s="29" t="str">
        <f t="shared" si="1"/>
        <v/>
      </c>
      <c r="X11" s="29" t="str">
        <f t="shared" si="1"/>
        <v/>
      </c>
      <c r="Y11" s="29" t="str">
        <f t="shared" si="1"/>
        <v/>
      </c>
      <c r="Z11" s="29" t="str">
        <f t="shared" si="1"/>
        <v/>
      </c>
      <c r="AA11" s="29" t="str">
        <f t="shared" si="1"/>
        <v/>
      </c>
      <c r="AB11" s="29" t="str">
        <f t="shared" si="1"/>
        <v/>
      </c>
      <c r="AC11" s="29" t="str">
        <f t="shared" si="1"/>
        <v/>
      </c>
      <c r="AD11" s="29" t="str">
        <f t="shared" si="1"/>
        <v/>
      </c>
      <c r="AE11" s="29" t="str">
        <f t="shared" si="1"/>
        <v/>
      </c>
      <c r="AF11" s="29" t="str">
        <f t="shared" si="1"/>
        <v/>
      </c>
      <c r="AG11" s="29" t="str">
        <f t="shared" si="1"/>
        <v/>
      </c>
      <c r="AH11" s="29" t="str">
        <f t="shared" si="1"/>
        <v/>
      </c>
      <c r="AI11" s="29" t="str">
        <f t="shared" si="1"/>
        <v/>
      </c>
      <c r="AJ11" s="29" t="str">
        <f t="shared" si="1"/>
        <v/>
      </c>
      <c r="AK11" s="29" t="str">
        <f t="shared" si="1"/>
        <v/>
      </c>
      <c r="AL11" s="29" t="str">
        <f t="shared" si="1"/>
        <v/>
      </c>
      <c r="AM11" s="29" t="str">
        <f t="shared" si="1"/>
        <v/>
      </c>
      <c r="AN11" s="29" t="str">
        <f t="shared" si="1"/>
        <v/>
      </c>
      <c r="AO11" s="29" t="str">
        <f t="shared" si="1"/>
        <v/>
      </c>
      <c r="AP11" s="29" t="str">
        <f t="shared" si="1"/>
        <v/>
      </c>
      <c r="AQ11" s="29" t="str">
        <f t="shared" si="1"/>
        <v/>
      </c>
      <c r="AR11" s="29" t="str">
        <f t="shared" si="1"/>
        <v/>
      </c>
      <c r="AS11" s="29" t="str">
        <f t="shared" si="1"/>
        <v/>
      </c>
      <c r="AT11" s="29" t="str">
        <f t="shared" si="1"/>
        <v/>
      </c>
      <c r="AU11" s="29" t="str">
        <f t="shared" si="1"/>
        <v/>
      </c>
      <c r="AV11" s="29" t="str">
        <f t="shared" si="1"/>
        <v/>
      </c>
      <c r="AW11" s="29" t="str">
        <f t="shared" si="1"/>
        <v/>
      </c>
      <c r="AX11" s="29" t="str">
        <f t="shared" si="1"/>
        <v/>
      </c>
      <c r="AY11" s="29" t="str">
        <f t="shared" si="1"/>
        <v/>
      </c>
      <c r="AZ11" s="29" t="str">
        <f t="shared" si="1"/>
        <v/>
      </c>
      <c r="BA11" s="29" t="str">
        <f t="shared" si="1"/>
        <v/>
      </c>
      <c r="BB11" s="29" t="str">
        <f t="shared" si="1"/>
        <v/>
      </c>
      <c r="BC11" s="29" t="str">
        <f t="shared" si="1"/>
        <v/>
      </c>
      <c r="BD11" s="29" t="str">
        <f t="shared" si="1"/>
        <v/>
      </c>
      <c r="BE11" s="29" t="str">
        <f t="shared" si="1"/>
        <v/>
      </c>
      <c r="BF11" s="29" t="str">
        <f t="shared" si="1"/>
        <v/>
      </c>
      <c r="BG11" s="29" t="str">
        <f t="shared" si="1"/>
        <v/>
      </c>
      <c r="BH11" s="29" t="str">
        <f t="shared" si="1"/>
        <v/>
      </c>
      <c r="BI11" s="29" t="str">
        <f t="shared" si="1"/>
        <v/>
      </c>
      <c r="BJ11" s="29" t="str">
        <f t="shared" si="1"/>
        <v/>
      </c>
      <c r="BK11" s="29" t="str">
        <f t="shared" si="1"/>
        <v/>
      </c>
      <c r="BL11" s="29" t="str">
        <f t="shared" si="1"/>
        <v/>
      </c>
      <c r="BM11" s="29" t="str">
        <f t="shared" si="1"/>
        <v/>
      </c>
      <c r="BN11" s="29" t="str">
        <f t="shared" si="1"/>
        <v/>
      </c>
      <c r="BO11" s="29" t="str">
        <f t="shared" si="1"/>
        <v/>
      </c>
      <c r="BP11" s="29" t="str">
        <f t="shared" si="1"/>
        <v/>
      </c>
      <c r="BQ11" s="29" t="str">
        <f t="shared" si="1"/>
        <v/>
      </c>
      <c r="BR11" s="29" t="str">
        <f t="shared" si="1"/>
        <v/>
      </c>
      <c r="BS11" s="29" t="str">
        <f t="shared" si="1"/>
        <v/>
      </c>
      <c r="BT11" s="29" t="str">
        <f t="shared" si="1"/>
        <v/>
      </c>
      <c r="BU11" s="29" t="str">
        <f t="shared" si="1"/>
        <v/>
      </c>
      <c r="BV11" s="29" t="str">
        <f t="shared" si="1"/>
        <v/>
      </c>
      <c r="BW11" s="29" t="str">
        <f t="shared" si="1"/>
        <v/>
      </c>
      <c r="BX11" s="29" t="str">
        <f t="shared" si="2"/>
        <v/>
      </c>
      <c r="BY11" s="29" t="str">
        <f t="shared" si="2"/>
        <v/>
      </c>
      <c r="BZ11" s="29" t="str">
        <f t="shared" si="2"/>
        <v/>
      </c>
      <c r="CA11" s="29" t="str">
        <f t="shared" si="2"/>
        <v/>
      </c>
      <c r="CB11" s="29" t="str">
        <f t="shared" si="2"/>
        <v/>
      </c>
      <c r="CC11" s="29" t="str">
        <f t="shared" si="2"/>
        <v/>
      </c>
      <c r="CD11" s="29" t="str">
        <f t="shared" si="2"/>
        <v/>
      </c>
      <c r="CE11" s="29" t="str">
        <f t="shared" si="2"/>
        <v/>
      </c>
      <c r="CF11" s="29" t="str">
        <f t="shared" si="2"/>
        <v/>
      </c>
      <c r="CG11" s="29" t="str">
        <f t="shared" si="2"/>
        <v/>
      </c>
      <c r="CH11" s="29" t="str">
        <f t="shared" si="2"/>
        <v/>
      </c>
      <c r="CI11" s="29" t="str">
        <f t="shared" si="2"/>
        <v/>
      </c>
      <c r="CJ11" s="29" t="str">
        <f t="shared" si="2"/>
        <v/>
      </c>
      <c r="CK11" s="29" t="str">
        <f t="shared" si="2"/>
        <v/>
      </c>
      <c r="CL11" s="29" t="str">
        <f t="shared" si="2"/>
        <v/>
      </c>
      <c r="CM11" s="29" t="str">
        <f t="shared" si="2"/>
        <v/>
      </c>
      <c r="CN11" s="29" t="str">
        <f t="shared" si="2"/>
        <v/>
      </c>
      <c r="CO11" s="29" t="str">
        <f t="shared" si="2"/>
        <v/>
      </c>
      <c r="CP11" s="29" t="str">
        <f t="shared" si="2"/>
        <v/>
      </c>
      <c r="CQ11" s="29" t="str">
        <f t="shared" si="2"/>
        <v/>
      </c>
      <c r="CR11" s="29" t="str">
        <f t="shared" si="2"/>
        <v/>
      </c>
      <c r="CS11" s="29" t="str">
        <f t="shared" si="2"/>
        <v/>
      </c>
      <c r="CT11" s="29" t="str">
        <f t="shared" si="2"/>
        <v/>
      </c>
      <c r="CU11" s="29" t="str">
        <f t="shared" si="2"/>
        <v/>
      </c>
      <c r="CV11" s="29" t="str">
        <f t="shared" si="2"/>
        <v/>
      </c>
      <c r="CW11" s="29" t="str">
        <f t="shared" si="3"/>
        <v/>
      </c>
      <c r="CX11" s="29" t="str">
        <f t="shared" si="3"/>
        <v/>
      </c>
      <c r="CY11" s="29" t="str">
        <f t="shared" si="3"/>
        <v/>
      </c>
      <c r="CZ11" s="29" t="str">
        <f t="shared" si="3"/>
        <v/>
      </c>
      <c r="DA11" s="29" t="str">
        <f t="shared" si="3"/>
        <v/>
      </c>
      <c r="DB11" s="29" t="str">
        <f t="shared" si="3"/>
        <v/>
      </c>
      <c r="DC11" s="29" t="str">
        <f t="shared" si="3"/>
        <v/>
      </c>
      <c r="DD11" s="29" t="str">
        <f t="shared" si="3"/>
        <v/>
      </c>
      <c r="DE11" s="29" t="str">
        <f t="shared" si="3"/>
        <v/>
      </c>
      <c r="DF11" s="29" t="str">
        <f t="shared" si="3"/>
        <v/>
      </c>
      <c r="DG11" s="29" t="str">
        <f t="shared" si="3"/>
        <v/>
      </c>
      <c r="DH11" s="29" t="str">
        <f t="shared" si="3"/>
        <v/>
      </c>
      <c r="DI11" s="29" t="str">
        <f t="shared" si="3"/>
        <v/>
      </c>
      <c r="DJ11" s="29" t="str">
        <f t="shared" si="3"/>
        <v/>
      </c>
      <c r="DK11" s="29" t="str">
        <f t="shared" si="3"/>
        <v/>
      </c>
      <c r="DL11" s="29" t="str">
        <f t="shared" si="3"/>
        <v/>
      </c>
      <c r="DM11" s="29" t="str">
        <f t="shared" si="3"/>
        <v/>
      </c>
      <c r="DN11" s="29" t="str">
        <f t="shared" si="3"/>
        <v/>
      </c>
      <c r="DO11" s="29" t="str">
        <f t="shared" si="3"/>
        <v/>
      </c>
      <c r="DP11" s="29" t="str">
        <f t="shared" si="3"/>
        <v/>
      </c>
      <c r="DQ11" s="29" t="str">
        <f t="shared" si="3"/>
        <v/>
      </c>
      <c r="DR11" s="29" t="str">
        <f t="shared" si="3"/>
        <v/>
      </c>
      <c r="DS11" s="29" t="str">
        <f t="shared" si="3"/>
        <v/>
      </c>
      <c r="DT11" s="29" t="str">
        <f t="shared" si="3"/>
        <v/>
      </c>
      <c r="DU11" s="29" t="str">
        <f t="shared" si="3"/>
        <v/>
      </c>
      <c r="DV11" s="29" t="str">
        <f t="shared" si="4"/>
        <v/>
      </c>
      <c r="DW11" s="29" t="str">
        <f t="shared" si="4"/>
        <v/>
      </c>
      <c r="DX11" s="29" t="str">
        <f t="shared" si="4"/>
        <v/>
      </c>
      <c r="DY11" s="29" t="str">
        <f t="shared" si="4"/>
        <v/>
      </c>
      <c r="DZ11" s="29" t="str">
        <f t="shared" si="4"/>
        <v/>
      </c>
      <c r="EA11" s="29" t="str">
        <f t="shared" si="4"/>
        <v/>
      </c>
      <c r="EB11" s="29" t="str">
        <f t="shared" si="4"/>
        <v/>
      </c>
      <c r="EC11" s="29" t="str">
        <f t="shared" si="4"/>
        <v/>
      </c>
      <c r="ED11" s="29" t="str">
        <f t="shared" si="4"/>
        <v/>
      </c>
      <c r="EE11" s="29" t="str">
        <f t="shared" si="4"/>
        <v/>
      </c>
      <c r="EF11" s="29" t="str">
        <f t="shared" si="4"/>
        <v/>
      </c>
      <c r="EG11" s="29" t="str">
        <f t="shared" si="4"/>
        <v/>
      </c>
      <c r="EH11" s="29" t="str">
        <f t="shared" si="4"/>
        <v/>
      </c>
      <c r="EI11" s="29" t="str">
        <f t="shared" si="4"/>
        <v/>
      </c>
      <c r="EJ11" s="29" t="str">
        <f t="shared" si="4"/>
        <v/>
      </c>
      <c r="EK11" s="29" t="str">
        <f t="shared" si="4"/>
        <v/>
      </c>
      <c r="EL11" s="29" t="str">
        <f t="shared" si="4"/>
        <v/>
      </c>
      <c r="EM11" s="29" t="str">
        <f t="shared" si="4"/>
        <v/>
      </c>
      <c r="EN11" s="29" t="str">
        <f t="shared" si="4"/>
        <v/>
      </c>
      <c r="EO11" s="29" t="str">
        <f t="shared" si="4"/>
        <v/>
      </c>
      <c r="EP11" s="29" t="str">
        <f t="shared" si="4"/>
        <v/>
      </c>
      <c r="EQ11" s="29" t="str">
        <f t="shared" si="4"/>
        <v/>
      </c>
      <c r="ER11" s="29" t="str">
        <f t="shared" si="4"/>
        <v/>
      </c>
      <c r="ES11" s="29" t="str">
        <f t="shared" si="4"/>
        <v/>
      </c>
      <c r="ET11" s="29" t="str">
        <f t="shared" si="4"/>
        <v/>
      </c>
    </row>
    <row r="12" spans="1:150" x14ac:dyDescent="0.2">
      <c r="A12" s="103" t="str">
        <f>TEXT('M&amp;V Tasks'!A13,"#")</f>
        <v>2</v>
      </c>
      <c r="B12" s="104" t="str">
        <f>TEXT('M&amp;V Tasks'!B13,"#")</f>
        <v>Obtain information regarding the ECM(s) to be implemented</v>
      </c>
      <c r="C12" s="103">
        <f>'M&amp;V Tasks'!I13</f>
        <v>0</v>
      </c>
      <c r="D12" s="27"/>
      <c r="E12" s="27"/>
      <c r="F12" s="29" t="str">
        <f t="shared" si="0"/>
        <v/>
      </c>
      <c r="G12" s="29" t="str">
        <f t="shared" si="0"/>
        <v/>
      </c>
      <c r="H12" s="29" t="str">
        <f t="shared" si="0"/>
        <v/>
      </c>
      <c r="I12" s="29" t="str">
        <f t="shared" si="0"/>
        <v/>
      </c>
      <c r="J12" s="29" t="str">
        <f t="shared" si="0"/>
        <v/>
      </c>
      <c r="K12" s="29" t="str">
        <f t="shared" si="0"/>
        <v/>
      </c>
      <c r="L12" s="29" t="str">
        <f t="shared" si="0"/>
        <v/>
      </c>
      <c r="M12" s="29" t="str">
        <f t="shared" si="0"/>
        <v/>
      </c>
      <c r="N12" s="29" t="str">
        <f t="shared" si="0"/>
        <v/>
      </c>
      <c r="O12" s="29" t="str">
        <f t="shared" si="0"/>
        <v/>
      </c>
      <c r="P12" s="29" t="str">
        <f t="shared" si="0"/>
        <v/>
      </c>
      <c r="Q12" s="29" t="str">
        <f t="shared" si="0"/>
        <v/>
      </c>
      <c r="R12" s="29" t="str">
        <f t="shared" si="0"/>
        <v/>
      </c>
      <c r="S12" s="29" t="str">
        <f t="shared" si="0"/>
        <v/>
      </c>
      <c r="T12" s="29" t="str">
        <f t="shared" si="0"/>
        <v/>
      </c>
      <c r="U12" s="29" t="str">
        <f t="shared" si="0"/>
        <v/>
      </c>
      <c r="V12" s="29" t="str">
        <f t="shared" si="1"/>
        <v/>
      </c>
      <c r="W12" s="29" t="str">
        <f t="shared" si="1"/>
        <v/>
      </c>
      <c r="X12" s="29" t="str">
        <f t="shared" si="1"/>
        <v/>
      </c>
      <c r="Y12" s="29" t="str">
        <f t="shared" si="1"/>
        <v/>
      </c>
      <c r="Z12" s="29" t="str">
        <f t="shared" si="1"/>
        <v/>
      </c>
      <c r="AA12" s="29" t="str">
        <f t="shared" si="1"/>
        <v/>
      </c>
      <c r="AB12" s="29" t="str">
        <f t="shared" si="1"/>
        <v/>
      </c>
      <c r="AC12" s="29" t="str">
        <f t="shared" si="1"/>
        <v/>
      </c>
      <c r="AD12" s="29" t="str">
        <f t="shared" si="1"/>
        <v/>
      </c>
      <c r="AE12" s="29" t="str">
        <f t="shared" si="1"/>
        <v/>
      </c>
      <c r="AF12" s="29" t="str">
        <f t="shared" si="1"/>
        <v/>
      </c>
      <c r="AG12" s="29" t="str">
        <f t="shared" si="1"/>
        <v/>
      </c>
      <c r="AH12" s="29" t="str">
        <f t="shared" si="1"/>
        <v/>
      </c>
      <c r="AI12" s="29" t="str">
        <f t="shared" si="1"/>
        <v/>
      </c>
      <c r="AJ12" s="29" t="str">
        <f t="shared" si="1"/>
        <v/>
      </c>
      <c r="AK12" s="29" t="str">
        <f t="shared" si="1"/>
        <v/>
      </c>
      <c r="AL12" s="29" t="str">
        <f t="shared" si="1"/>
        <v/>
      </c>
      <c r="AM12" s="29" t="str">
        <f t="shared" si="1"/>
        <v/>
      </c>
      <c r="AN12" s="29" t="str">
        <f t="shared" si="1"/>
        <v/>
      </c>
      <c r="AO12" s="29" t="str">
        <f t="shared" si="1"/>
        <v/>
      </c>
      <c r="AP12" s="29" t="str">
        <f t="shared" si="1"/>
        <v/>
      </c>
      <c r="AQ12" s="29" t="str">
        <f t="shared" si="1"/>
        <v/>
      </c>
      <c r="AR12" s="29" t="str">
        <f t="shared" si="1"/>
        <v/>
      </c>
      <c r="AS12" s="29" t="str">
        <f t="shared" si="1"/>
        <v/>
      </c>
      <c r="AT12" s="29" t="str">
        <f t="shared" si="1"/>
        <v/>
      </c>
      <c r="AU12" s="29" t="str">
        <f t="shared" si="1"/>
        <v/>
      </c>
      <c r="AV12" s="29" t="str">
        <f t="shared" si="1"/>
        <v/>
      </c>
      <c r="AW12" s="29" t="str">
        <f t="shared" si="1"/>
        <v/>
      </c>
      <c r="AX12" s="29" t="str">
        <f t="shared" si="1"/>
        <v/>
      </c>
      <c r="AY12" s="29" t="str">
        <f t="shared" si="1"/>
        <v/>
      </c>
      <c r="AZ12" s="29" t="str">
        <f t="shared" si="1"/>
        <v/>
      </c>
      <c r="BA12" s="29" t="str">
        <f t="shared" si="1"/>
        <v/>
      </c>
      <c r="BB12" s="29" t="str">
        <f t="shared" si="1"/>
        <v/>
      </c>
      <c r="BC12" s="29" t="str">
        <f t="shared" si="1"/>
        <v/>
      </c>
      <c r="BD12" s="29" t="str">
        <f t="shared" si="1"/>
        <v/>
      </c>
      <c r="BE12" s="29" t="str">
        <f t="shared" si="1"/>
        <v/>
      </c>
      <c r="BF12" s="29" t="str">
        <f t="shared" si="1"/>
        <v/>
      </c>
      <c r="BG12" s="29" t="str">
        <f t="shared" si="1"/>
        <v/>
      </c>
      <c r="BH12" s="29" t="str">
        <f t="shared" si="1"/>
        <v/>
      </c>
      <c r="BI12" s="29" t="str">
        <f t="shared" si="1"/>
        <v/>
      </c>
      <c r="BJ12" s="29" t="str">
        <f t="shared" si="1"/>
        <v/>
      </c>
      <c r="BK12" s="29" t="str">
        <f t="shared" si="1"/>
        <v/>
      </c>
      <c r="BL12" s="29" t="str">
        <f t="shared" si="1"/>
        <v/>
      </c>
      <c r="BM12" s="29" t="str">
        <f t="shared" si="1"/>
        <v/>
      </c>
      <c r="BN12" s="29" t="str">
        <f t="shared" si="1"/>
        <v/>
      </c>
      <c r="BO12" s="29" t="str">
        <f t="shared" si="1"/>
        <v/>
      </c>
      <c r="BP12" s="29" t="str">
        <f t="shared" si="1"/>
        <v/>
      </c>
      <c r="BQ12" s="29" t="str">
        <f t="shared" si="1"/>
        <v/>
      </c>
      <c r="BR12" s="29" t="str">
        <f t="shared" si="1"/>
        <v/>
      </c>
      <c r="BS12" s="29" t="str">
        <f t="shared" si="1"/>
        <v/>
      </c>
      <c r="BT12" s="29" t="str">
        <f t="shared" si="1"/>
        <v/>
      </c>
      <c r="BU12" s="29" t="str">
        <f t="shared" si="1"/>
        <v/>
      </c>
      <c r="BV12" s="29" t="str">
        <f t="shared" si="1"/>
        <v/>
      </c>
      <c r="BW12" s="29" t="str">
        <f t="shared" si="1"/>
        <v/>
      </c>
      <c r="BX12" s="29" t="str">
        <f t="shared" si="2"/>
        <v/>
      </c>
      <c r="BY12" s="29" t="str">
        <f t="shared" si="2"/>
        <v/>
      </c>
      <c r="BZ12" s="29" t="str">
        <f t="shared" si="2"/>
        <v/>
      </c>
      <c r="CA12" s="29" t="str">
        <f t="shared" si="2"/>
        <v/>
      </c>
      <c r="CB12" s="29" t="str">
        <f t="shared" si="2"/>
        <v/>
      </c>
      <c r="CC12" s="29" t="str">
        <f t="shared" si="2"/>
        <v/>
      </c>
      <c r="CD12" s="29" t="str">
        <f t="shared" si="2"/>
        <v/>
      </c>
      <c r="CE12" s="29" t="str">
        <f t="shared" si="2"/>
        <v/>
      </c>
      <c r="CF12" s="29" t="str">
        <f t="shared" si="2"/>
        <v/>
      </c>
      <c r="CG12" s="29" t="str">
        <f t="shared" si="2"/>
        <v/>
      </c>
      <c r="CH12" s="29" t="str">
        <f t="shared" si="2"/>
        <v/>
      </c>
      <c r="CI12" s="29" t="str">
        <f t="shared" si="2"/>
        <v/>
      </c>
      <c r="CJ12" s="29" t="str">
        <f t="shared" si="2"/>
        <v/>
      </c>
      <c r="CK12" s="29" t="str">
        <f t="shared" si="2"/>
        <v/>
      </c>
      <c r="CL12" s="29" t="str">
        <f t="shared" si="2"/>
        <v/>
      </c>
      <c r="CM12" s="29" t="str">
        <f t="shared" si="2"/>
        <v/>
      </c>
      <c r="CN12" s="29" t="str">
        <f t="shared" si="2"/>
        <v/>
      </c>
      <c r="CO12" s="29" t="str">
        <f t="shared" si="2"/>
        <v/>
      </c>
      <c r="CP12" s="29" t="str">
        <f t="shared" si="2"/>
        <v/>
      </c>
      <c r="CQ12" s="29" t="str">
        <f t="shared" si="2"/>
        <v/>
      </c>
      <c r="CR12" s="29" t="str">
        <f t="shared" si="2"/>
        <v/>
      </c>
      <c r="CS12" s="29" t="str">
        <f t="shared" si="2"/>
        <v/>
      </c>
      <c r="CT12" s="29" t="str">
        <f t="shared" si="2"/>
        <v/>
      </c>
      <c r="CU12" s="29" t="str">
        <f t="shared" si="2"/>
        <v/>
      </c>
      <c r="CV12" s="29" t="str">
        <f t="shared" si="2"/>
        <v/>
      </c>
      <c r="CW12" s="29" t="str">
        <f t="shared" si="3"/>
        <v/>
      </c>
      <c r="CX12" s="29" t="str">
        <f t="shared" si="3"/>
        <v/>
      </c>
      <c r="CY12" s="29" t="str">
        <f t="shared" si="3"/>
        <v/>
      </c>
      <c r="CZ12" s="29" t="str">
        <f t="shared" si="3"/>
        <v/>
      </c>
      <c r="DA12" s="29" t="str">
        <f t="shared" si="3"/>
        <v/>
      </c>
      <c r="DB12" s="29" t="str">
        <f t="shared" si="3"/>
        <v/>
      </c>
      <c r="DC12" s="29" t="str">
        <f t="shared" si="3"/>
        <v/>
      </c>
      <c r="DD12" s="29" t="str">
        <f t="shared" si="3"/>
        <v/>
      </c>
      <c r="DE12" s="29" t="str">
        <f t="shared" si="3"/>
        <v/>
      </c>
      <c r="DF12" s="29" t="str">
        <f t="shared" si="3"/>
        <v/>
      </c>
      <c r="DG12" s="29" t="str">
        <f t="shared" si="3"/>
        <v/>
      </c>
      <c r="DH12" s="29" t="str">
        <f t="shared" si="3"/>
        <v/>
      </c>
      <c r="DI12" s="29" t="str">
        <f t="shared" si="3"/>
        <v/>
      </c>
      <c r="DJ12" s="29" t="str">
        <f t="shared" si="3"/>
        <v/>
      </c>
      <c r="DK12" s="29" t="str">
        <f t="shared" si="3"/>
        <v/>
      </c>
      <c r="DL12" s="29" t="str">
        <f t="shared" si="3"/>
        <v/>
      </c>
      <c r="DM12" s="29" t="str">
        <f t="shared" si="3"/>
        <v/>
      </c>
      <c r="DN12" s="29" t="str">
        <f t="shared" si="3"/>
        <v/>
      </c>
      <c r="DO12" s="29" t="str">
        <f t="shared" si="3"/>
        <v/>
      </c>
      <c r="DP12" s="29" t="str">
        <f t="shared" si="3"/>
        <v/>
      </c>
      <c r="DQ12" s="29" t="str">
        <f t="shared" si="3"/>
        <v/>
      </c>
      <c r="DR12" s="29" t="str">
        <f t="shared" si="3"/>
        <v/>
      </c>
      <c r="DS12" s="29" t="str">
        <f t="shared" si="3"/>
        <v/>
      </c>
      <c r="DT12" s="29" t="str">
        <f t="shared" si="3"/>
        <v/>
      </c>
      <c r="DU12" s="29" t="str">
        <f t="shared" si="3"/>
        <v/>
      </c>
      <c r="DV12" s="29" t="str">
        <f t="shared" si="4"/>
        <v/>
      </c>
      <c r="DW12" s="29" t="str">
        <f t="shared" si="4"/>
        <v/>
      </c>
      <c r="DX12" s="29" t="str">
        <f t="shared" si="4"/>
        <v/>
      </c>
      <c r="DY12" s="29" t="str">
        <f t="shared" si="4"/>
        <v/>
      </c>
      <c r="DZ12" s="29" t="str">
        <f t="shared" si="4"/>
        <v/>
      </c>
      <c r="EA12" s="29" t="str">
        <f t="shared" si="4"/>
        <v/>
      </c>
      <c r="EB12" s="29" t="str">
        <f t="shared" si="4"/>
        <v/>
      </c>
      <c r="EC12" s="29" t="str">
        <f t="shared" si="4"/>
        <v/>
      </c>
      <c r="ED12" s="29" t="str">
        <f t="shared" si="4"/>
        <v/>
      </c>
      <c r="EE12" s="29" t="str">
        <f t="shared" si="4"/>
        <v/>
      </c>
      <c r="EF12" s="29" t="str">
        <f t="shared" si="4"/>
        <v/>
      </c>
      <c r="EG12" s="29" t="str">
        <f t="shared" si="4"/>
        <v/>
      </c>
      <c r="EH12" s="29" t="str">
        <f t="shared" si="4"/>
        <v/>
      </c>
      <c r="EI12" s="29" t="str">
        <f t="shared" si="4"/>
        <v/>
      </c>
      <c r="EJ12" s="29" t="str">
        <f t="shared" si="4"/>
        <v/>
      </c>
      <c r="EK12" s="29" t="str">
        <f t="shared" si="4"/>
        <v/>
      </c>
      <c r="EL12" s="29" t="str">
        <f t="shared" si="4"/>
        <v/>
      </c>
      <c r="EM12" s="29" t="str">
        <f t="shared" si="4"/>
        <v/>
      </c>
      <c r="EN12" s="29" t="str">
        <f t="shared" si="4"/>
        <v/>
      </c>
      <c r="EO12" s="29" t="str">
        <f t="shared" si="4"/>
        <v/>
      </c>
      <c r="EP12" s="29" t="str">
        <f t="shared" si="4"/>
        <v/>
      </c>
      <c r="EQ12" s="29" t="str">
        <f t="shared" si="4"/>
        <v/>
      </c>
      <c r="ER12" s="29" t="str">
        <f t="shared" si="4"/>
        <v/>
      </c>
      <c r="ES12" s="29" t="str">
        <f t="shared" si="4"/>
        <v/>
      </c>
      <c r="ET12" s="29" t="str">
        <f t="shared" si="4"/>
        <v/>
      </c>
    </row>
    <row r="13" spans="1:150" x14ac:dyDescent="0.2">
      <c r="A13" s="103" t="str">
        <f>TEXT('M&amp;V Tasks'!A14,"#")</f>
        <v>3</v>
      </c>
      <c r="B13" s="104" t="str">
        <f>TEXT('M&amp;V Tasks'!B14,"#")</f>
        <v>Establish M&amp;V project team</v>
      </c>
      <c r="C13" s="103">
        <f>'M&amp;V Tasks'!I14</f>
        <v>0</v>
      </c>
      <c r="D13" s="27"/>
      <c r="E13" s="27"/>
      <c r="F13" s="29" t="str">
        <f t="shared" si="0"/>
        <v/>
      </c>
      <c r="G13" s="29" t="str">
        <f t="shared" si="0"/>
        <v/>
      </c>
      <c r="H13" s="29" t="str">
        <f t="shared" si="0"/>
        <v/>
      </c>
      <c r="I13" s="29" t="str">
        <f t="shared" si="0"/>
        <v/>
      </c>
      <c r="J13" s="29" t="str">
        <f t="shared" si="0"/>
        <v/>
      </c>
      <c r="K13" s="29" t="str">
        <f t="shared" si="0"/>
        <v/>
      </c>
      <c r="L13" s="29" t="str">
        <f t="shared" si="0"/>
        <v/>
      </c>
      <c r="M13" s="29" t="str">
        <f t="shared" si="0"/>
        <v/>
      </c>
      <c r="N13" s="29" t="str">
        <f t="shared" si="0"/>
        <v/>
      </c>
      <c r="O13" s="29" t="str">
        <f t="shared" si="0"/>
        <v/>
      </c>
      <c r="P13" s="29" t="str">
        <f t="shared" si="0"/>
        <v/>
      </c>
      <c r="Q13" s="29" t="str">
        <f t="shared" si="0"/>
        <v/>
      </c>
      <c r="R13" s="29" t="str">
        <f t="shared" si="0"/>
        <v/>
      </c>
      <c r="S13" s="29" t="str">
        <f t="shared" si="0"/>
        <v/>
      </c>
      <c r="T13" s="29" t="str">
        <f t="shared" si="0"/>
        <v/>
      </c>
      <c r="U13" s="29" t="str">
        <f t="shared" si="0"/>
        <v/>
      </c>
      <c r="V13" s="29" t="str">
        <f t="shared" si="1"/>
        <v/>
      </c>
      <c r="W13" s="29" t="str">
        <f t="shared" si="1"/>
        <v/>
      </c>
      <c r="X13" s="29" t="str">
        <f t="shared" si="1"/>
        <v/>
      </c>
      <c r="Y13" s="29" t="str">
        <f t="shared" si="1"/>
        <v/>
      </c>
      <c r="Z13" s="29" t="str">
        <f t="shared" si="1"/>
        <v/>
      </c>
      <c r="AA13" s="29" t="str">
        <f t="shared" si="1"/>
        <v/>
      </c>
      <c r="AB13" s="29" t="str">
        <f t="shared" si="1"/>
        <v/>
      </c>
      <c r="AC13" s="29" t="str">
        <f t="shared" si="1"/>
        <v/>
      </c>
      <c r="AD13" s="29" t="str">
        <f t="shared" si="1"/>
        <v/>
      </c>
      <c r="AE13" s="29" t="str">
        <f t="shared" si="1"/>
        <v/>
      </c>
      <c r="AF13" s="29" t="str">
        <f t="shared" si="1"/>
        <v/>
      </c>
      <c r="AG13" s="29" t="str">
        <f t="shared" si="1"/>
        <v/>
      </c>
      <c r="AH13" s="29" t="str">
        <f t="shared" si="1"/>
        <v/>
      </c>
      <c r="AI13" s="29" t="str">
        <f t="shared" si="1"/>
        <v/>
      </c>
      <c r="AJ13" s="29" t="str">
        <f t="shared" si="1"/>
        <v/>
      </c>
      <c r="AK13" s="29" t="str">
        <f t="shared" si="1"/>
        <v/>
      </c>
      <c r="AL13" s="29" t="str">
        <f t="shared" si="1"/>
        <v/>
      </c>
      <c r="AM13" s="29" t="str">
        <f t="shared" si="1"/>
        <v/>
      </c>
      <c r="AN13" s="29" t="str">
        <f t="shared" si="1"/>
        <v/>
      </c>
      <c r="AO13" s="29" t="str">
        <f t="shared" si="1"/>
        <v/>
      </c>
      <c r="AP13" s="29" t="str">
        <f t="shared" si="1"/>
        <v/>
      </c>
      <c r="AQ13" s="29" t="str">
        <f t="shared" si="1"/>
        <v/>
      </c>
      <c r="AR13" s="29" t="str">
        <f t="shared" si="1"/>
        <v/>
      </c>
      <c r="AS13" s="29" t="str">
        <f t="shared" si="1"/>
        <v/>
      </c>
      <c r="AT13" s="29" t="str">
        <f t="shared" si="1"/>
        <v/>
      </c>
      <c r="AU13" s="29" t="str">
        <f t="shared" si="1"/>
        <v/>
      </c>
      <c r="AV13" s="29" t="str">
        <f t="shared" si="1"/>
        <v/>
      </c>
      <c r="AW13" s="29" t="str">
        <f t="shared" si="1"/>
        <v/>
      </c>
      <c r="AX13" s="29" t="str">
        <f t="shared" si="1"/>
        <v/>
      </c>
      <c r="AY13" s="29" t="str">
        <f t="shared" si="1"/>
        <v/>
      </c>
      <c r="AZ13" s="29" t="str">
        <f t="shared" si="1"/>
        <v/>
      </c>
      <c r="BA13" s="29" t="str">
        <f t="shared" si="1"/>
        <v/>
      </c>
      <c r="BB13" s="29" t="str">
        <f t="shared" si="1"/>
        <v/>
      </c>
      <c r="BC13" s="29" t="str">
        <f t="shared" si="1"/>
        <v/>
      </c>
      <c r="BD13" s="29" t="str">
        <f t="shared" si="1"/>
        <v/>
      </c>
      <c r="BE13" s="29" t="str">
        <f t="shared" si="1"/>
        <v/>
      </c>
      <c r="BF13" s="29" t="str">
        <f t="shared" si="1"/>
        <v/>
      </c>
      <c r="BG13" s="29" t="str">
        <f t="shared" si="1"/>
        <v/>
      </c>
      <c r="BH13" s="29" t="str">
        <f t="shared" si="1"/>
        <v/>
      </c>
      <c r="BI13" s="29" t="str">
        <f t="shared" si="1"/>
        <v/>
      </c>
      <c r="BJ13" s="29" t="str">
        <f t="shared" si="1"/>
        <v/>
      </c>
      <c r="BK13" s="29" t="str">
        <f t="shared" si="1"/>
        <v/>
      </c>
      <c r="BL13" s="29" t="str">
        <f t="shared" si="1"/>
        <v/>
      </c>
      <c r="BM13" s="29" t="str">
        <f t="shared" si="1"/>
        <v/>
      </c>
      <c r="BN13" s="29" t="str">
        <f t="shared" si="1"/>
        <v/>
      </c>
      <c r="BO13" s="29" t="str">
        <f t="shared" si="1"/>
        <v/>
      </c>
      <c r="BP13" s="29" t="str">
        <f t="shared" si="1"/>
        <v/>
      </c>
      <c r="BQ13" s="29" t="str">
        <f t="shared" si="1"/>
        <v/>
      </c>
      <c r="BR13" s="29" t="str">
        <f t="shared" si="1"/>
        <v/>
      </c>
      <c r="BS13" s="29" t="str">
        <f t="shared" si="1"/>
        <v/>
      </c>
      <c r="BT13" s="29" t="str">
        <f t="shared" si="1"/>
        <v/>
      </c>
      <c r="BU13" s="29" t="str">
        <f t="shared" si="1"/>
        <v/>
      </c>
      <c r="BV13" s="29" t="str">
        <f t="shared" si="1"/>
        <v/>
      </c>
      <c r="BW13" s="29" t="str">
        <f t="shared" si="1"/>
        <v/>
      </c>
      <c r="BX13" s="29" t="str">
        <f t="shared" si="2"/>
        <v/>
      </c>
      <c r="BY13" s="29" t="str">
        <f t="shared" si="2"/>
        <v/>
      </c>
      <c r="BZ13" s="29" t="str">
        <f t="shared" si="2"/>
        <v/>
      </c>
      <c r="CA13" s="29" t="str">
        <f t="shared" si="2"/>
        <v/>
      </c>
      <c r="CB13" s="29" t="str">
        <f t="shared" si="2"/>
        <v/>
      </c>
      <c r="CC13" s="29" t="str">
        <f t="shared" si="2"/>
        <v/>
      </c>
      <c r="CD13" s="29" t="str">
        <f t="shared" si="2"/>
        <v/>
      </c>
      <c r="CE13" s="29" t="str">
        <f t="shared" si="2"/>
        <v/>
      </c>
      <c r="CF13" s="29" t="str">
        <f t="shared" si="2"/>
        <v/>
      </c>
      <c r="CG13" s="29" t="str">
        <f t="shared" si="2"/>
        <v/>
      </c>
      <c r="CH13" s="29" t="str">
        <f t="shared" si="2"/>
        <v/>
      </c>
      <c r="CI13" s="29" t="str">
        <f t="shared" si="2"/>
        <v/>
      </c>
      <c r="CJ13" s="29" t="str">
        <f t="shared" si="2"/>
        <v/>
      </c>
      <c r="CK13" s="29" t="str">
        <f t="shared" si="2"/>
        <v/>
      </c>
      <c r="CL13" s="29" t="str">
        <f t="shared" si="2"/>
        <v/>
      </c>
      <c r="CM13" s="29" t="str">
        <f t="shared" si="2"/>
        <v/>
      </c>
      <c r="CN13" s="29" t="str">
        <f t="shared" si="2"/>
        <v/>
      </c>
      <c r="CO13" s="29" t="str">
        <f t="shared" si="2"/>
        <v/>
      </c>
      <c r="CP13" s="29" t="str">
        <f t="shared" si="2"/>
        <v/>
      </c>
      <c r="CQ13" s="29" t="str">
        <f t="shared" si="2"/>
        <v/>
      </c>
      <c r="CR13" s="29" t="str">
        <f t="shared" si="2"/>
        <v/>
      </c>
      <c r="CS13" s="29" t="str">
        <f t="shared" si="2"/>
        <v/>
      </c>
      <c r="CT13" s="29" t="str">
        <f t="shared" si="2"/>
        <v/>
      </c>
      <c r="CU13" s="29" t="str">
        <f t="shared" si="2"/>
        <v/>
      </c>
      <c r="CV13" s="29" t="str">
        <f t="shared" si="2"/>
        <v/>
      </c>
      <c r="CW13" s="29" t="str">
        <f t="shared" si="3"/>
        <v/>
      </c>
      <c r="CX13" s="29" t="str">
        <f t="shared" si="3"/>
        <v/>
      </c>
      <c r="CY13" s="29" t="str">
        <f t="shared" si="3"/>
        <v/>
      </c>
      <c r="CZ13" s="29" t="str">
        <f t="shared" si="3"/>
        <v/>
      </c>
      <c r="DA13" s="29" t="str">
        <f t="shared" si="3"/>
        <v/>
      </c>
      <c r="DB13" s="29" t="str">
        <f t="shared" si="3"/>
        <v/>
      </c>
      <c r="DC13" s="29" t="str">
        <f t="shared" si="3"/>
        <v/>
      </c>
      <c r="DD13" s="29" t="str">
        <f t="shared" si="3"/>
        <v/>
      </c>
      <c r="DE13" s="29" t="str">
        <f t="shared" si="3"/>
        <v/>
      </c>
      <c r="DF13" s="29" t="str">
        <f t="shared" si="3"/>
        <v/>
      </c>
      <c r="DG13" s="29" t="str">
        <f t="shared" si="3"/>
        <v/>
      </c>
      <c r="DH13" s="29" t="str">
        <f t="shared" si="3"/>
        <v/>
      </c>
      <c r="DI13" s="29" t="str">
        <f t="shared" si="3"/>
        <v/>
      </c>
      <c r="DJ13" s="29" t="str">
        <f t="shared" si="3"/>
        <v/>
      </c>
      <c r="DK13" s="29" t="str">
        <f t="shared" si="3"/>
        <v/>
      </c>
      <c r="DL13" s="29" t="str">
        <f t="shared" si="3"/>
        <v/>
      </c>
      <c r="DM13" s="29" t="str">
        <f t="shared" si="3"/>
        <v/>
      </c>
      <c r="DN13" s="29" t="str">
        <f t="shared" si="3"/>
        <v/>
      </c>
      <c r="DO13" s="29" t="str">
        <f t="shared" si="3"/>
        <v/>
      </c>
      <c r="DP13" s="29" t="str">
        <f t="shared" si="3"/>
        <v/>
      </c>
      <c r="DQ13" s="29" t="str">
        <f t="shared" si="3"/>
        <v/>
      </c>
      <c r="DR13" s="29" t="str">
        <f t="shared" si="3"/>
        <v/>
      </c>
      <c r="DS13" s="29" t="str">
        <f t="shared" si="3"/>
        <v/>
      </c>
      <c r="DT13" s="29" t="str">
        <f t="shared" si="3"/>
        <v/>
      </c>
      <c r="DU13" s="29" t="str">
        <f t="shared" si="3"/>
        <v/>
      </c>
      <c r="DV13" s="29" t="str">
        <f t="shared" si="4"/>
        <v/>
      </c>
      <c r="DW13" s="29" t="str">
        <f t="shared" si="4"/>
        <v/>
      </c>
      <c r="DX13" s="29" t="str">
        <f t="shared" si="4"/>
        <v/>
      </c>
      <c r="DY13" s="29" t="str">
        <f t="shared" si="4"/>
        <v/>
      </c>
      <c r="DZ13" s="29" t="str">
        <f t="shared" si="4"/>
        <v/>
      </c>
      <c r="EA13" s="29" t="str">
        <f t="shared" si="4"/>
        <v/>
      </c>
      <c r="EB13" s="29" t="str">
        <f t="shared" si="4"/>
        <v/>
      </c>
      <c r="EC13" s="29" t="str">
        <f t="shared" si="4"/>
        <v/>
      </c>
      <c r="ED13" s="29" t="str">
        <f t="shared" si="4"/>
        <v/>
      </c>
      <c r="EE13" s="29" t="str">
        <f t="shared" si="4"/>
        <v/>
      </c>
      <c r="EF13" s="29" t="str">
        <f t="shared" si="4"/>
        <v/>
      </c>
      <c r="EG13" s="29" t="str">
        <f t="shared" si="4"/>
        <v/>
      </c>
      <c r="EH13" s="29" t="str">
        <f t="shared" si="4"/>
        <v/>
      </c>
      <c r="EI13" s="29" t="str">
        <f t="shared" si="4"/>
        <v/>
      </c>
      <c r="EJ13" s="29" t="str">
        <f t="shared" si="4"/>
        <v/>
      </c>
      <c r="EK13" s="29" t="str">
        <f t="shared" si="4"/>
        <v/>
      </c>
      <c r="EL13" s="29" t="str">
        <f t="shared" si="4"/>
        <v/>
      </c>
      <c r="EM13" s="29" t="str">
        <f t="shared" si="4"/>
        <v/>
      </c>
      <c r="EN13" s="29" t="str">
        <f t="shared" si="4"/>
        <v/>
      </c>
      <c r="EO13" s="29" t="str">
        <f t="shared" si="4"/>
        <v/>
      </c>
      <c r="EP13" s="29" t="str">
        <f t="shared" si="4"/>
        <v/>
      </c>
      <c r="EQ13" s="29" t="str">
        <f t="shared" si="4"/>
        <v/>
      </c>
      <c r="ER13" s="29" t="str">
        <f t="shared" si="4"/>
        <v/>
      </c>
      <c r="ES13" s="29" t="str">
        <f t="shared" si="4"/>
        <v/>
      </c>
      <c r="ET13" s="29" t="str">
        <f t="shared" si="4"/>
        <v/>
      </c>
    </row>
    <row r="14" spans="1:150" x14ac:dyDescent="0.2">
      <c r="A14" s="103" t="str">
        <f>TEXT('M&amp;V Tasks'!A15,"#")</f>
        <v>4</v>
      </c>
      <c r="B14" s="104" t="str">
        <f>TEXT('M&amp;V Tasks'!B15,"#")</f>
        <v>Develop preliminary budget estimate and evaluate cost/benefit</v>
      </c>
      <c r="C14" s="103">
        <f>'M&amp;V Tasks'!I15</f>
        <v>0</v>
      </c>
      <c r="D14" s="27"/>
      <c r="E14" s="27"/>
      <c r="F14" s="29" t="str">
        <f t="shared" si="0"/>
        <v/>
      </c>
      <c r="G14" s="29" t="str">
        <f t="shared" si="0"/>
        <v/>
      </c>
      <c r="H14" s="29" t="str">
        <f t="shared" si="0"/>
        <v/>
      </c>
      <c r="I14" s="29" t="str">
        <f t="shared" si="0"/>
        <v/>
      </c>
      <c r="J14" s="29" t="str">
        <f t="shared" si="0"/>
        <v/>
      </c>
      <c r="K14" s="29" t="str">
        <f t="shared" si="0"/>
        <v/>
      </c>
      <c r="L14" s="29" t="str">
        <f t="shared" si="0"/>
        <v/>
      </c>
      <c r="M14" s="29" t="str">
        <f t="shared" si="0"/>
        <v/>
      </c>
      <c r="N14" s="29" t="str">
        <f t="shared" si="0"/>
        <v/>
      </c>
      <c r="O14" s="29" t="str">
        <f t="shared" si="0"/>
        <v/>
      </c>
      <c r="P14" s="29" t="str">
        <f t="shared" si="0"/>
        <v/>
      </c>
      <c r="Q14" s="29" t="str">
        <f t="shared" si="0"/>
        <v/>
      </c>
      <c r="R14" s="29" t="str">
        <f t="shared" si="0"/>
        <v/>
      </c>
      <c r="S14" s="29" t="str">
        <f t="shared" si="0"/>
        <v/>
      </c>
      <c r="T14" s="29" t="str">
        <f t="shared" si="0"/>
        <v/>
      </c>
      <c r="U14" s="29" t="str">
        <f t="shared" si="0"/>
        <v/>
      </c>
      <c r="V14" s="29" t="str">
        <f t="shared" si="1"/>
        <v/>
      </c>
      <c r="W14" s="29" t="str">
        <f t="shared" si="1"/>
        <v/>
      </c>
      <c r="X14" s="29" t="str">
        <f t="shared" si="1"/>
        <v/>
      </c>
      <c r="Y14" s="29" t="str">
        <f t="shared" si="1"/>
        <v/>
      </c>
      <c r="Z14" s="29" t="str">
        <f t="shared" si="1"/>
        <v/>
      </c>
      <c r="AA14" s="29" t="str">
        <f t="shared" si="1"/>
        <v/>
      </c>
      <c r="AB14" s="29" t="str">
        <f t="shared" si="1"/>
        <v/>
      </c>
      <c r="AC14" s="29" t="str">
        <f t="shared" si="1"/>
        <v/>
      </c>
      <c r="AD14" s="29" t="str">
        <f t="shared" si="1"/>
        <v/>
      </c>
      <c r="AE14" s="29" t="str">
        <f t="shared" si="1"/>
        <v/>
      </c>
      <c r="AF14" s="29" t="str">
        <f t="shared" si="1"/>
        <v/>
      </c>
      <c r="AG14" s="29" t="str">
        <f t="shared" si="1"/>
        <v/>
      </c>
      <c r="AH14" s="29" t="str">
        <f t="shared" si="1"/>
        <v/>
      </c>
      <c r="AI14" s="29" t="str">
        <f t="shared" si="1"/>
        <v/>
      </c>
      <c r="AJ14" s="29" t="str">
        <f t="shared" si="1"/>
        <v/>
      </c>
      <c r="AK14" s="29" t="str">
        <f t="shared" si="1"/>
        <v/>
      </c>
      <c r="AL14" s="29" t="str">
        <f t="shared" si="1"/>
        <v/>
      </c>
      <c r="AM14" s="29" t="str">
        <f t="shared" si="1"/>
        <v/>
      </c>
      <c r="AN14" s="29" t="str">
        <f t="shared" si="1"/>
        <v/>
      </c>
      <c r="AO14" s="29" t="str">
        <f t="shared" si="1"/>
        <v/>
      </c>
      <c r="AP14" s="29" t="str">
        <f t="shared" si="1"/>
        <v/>
      </c>
      <c r="AQ14" s="29" t="str">
        <f t="shared" si="1"/>
        <v/>
      </c>
      <c r="AR14" s="29" t="str">
        <f t="shared" si="1"/>
        <v/>
      </c>
      <c r="AS14" s="29" t="str">
        <f t="shared" si="1"/>
        <v/>
      </c>
      <c r="AT14" s="29" t="str">
        <f t="shared" si="1"/>
        <v/>
      </c>
      <c r="AU14" s="29" t="str">
        <f t="shared" si="1"/>
        <v/>
      </c>
      <c r="AV14" s="29" t="str">
        <f t="shared" si="1"/>
        <v/>
      </c>
      <c r="AW14" s="29" t="str">
        <f t="shared" si="1"/>
        <v/>
      </c>
      <c r="AX14" s="29" t="str">
        <f t="shared" si="1"/>
        <v/>
      </c>
      <c r="AY14" s="29" t="str">
        <f t="shared" si="1"/>
        <v/>
      </c>
      <c r="AZ14" s="29" t="str">
        <f t="shared" si="1"/>
        <v/>
      </c>
      <c r="BA14" s="29" t="str">
        <f t="shared" si="1"/>
        <v/>
      </c>
      <c r="BB14" s="29" t="str">
        <f t="shared" si="1"/>
        <v/>
      </c>
      <c r="BC14" s="29" t="str">
        <f t="shared" si="1"/>
        <v/>
      </c>
      <c r="BD14" s="29" t="str">
        <f t="shared" si="1"/>
        <v/>
      </c>
      <c r="BE14" s="29" t="str">
        <f t="shared" si="1"/>
        <v/>
      </c>
      <c r="BF14" s="29" t="str">
        <f t="shared" si="1"/>
        <v/>
      </c>
      <c r="BG14" s="29" t="str">
        <f t="shared" si="1"/>
        <v/>
      </c>
      <c r="BH14" s="29" t="str">
        <f t="shared" si="1"/>
        <v/>
      </c>
      <c r="BI14" s="29" t="str">
        <f t="shared" ref="BI14:BW16" si="5">IF(AND(BI$9&gt;=$D14,BI$9&lt;=$E14),1,"")</f>
        <v/>
      </c>
      <c r="BJ14" s="29" t="str">
        <f t="shared" si="5"/>
        <v/>
      </c>
      <c r="BK14" s="29" t="str">
        <f t="shared" si="5"/>
        <v/>
      </c>
      <c r="BL14" s="29" t="str">
        <f t="shared" si="5"/>
        <v/>
      </c>
      <c r="BM14" s="29" t="str">
        <f t="shared" si="5"/>
        <v/>
      </c>
      <c r="BN14" s="29" t="str">
        <f t="shared" si="5"/>
        <v/>
      </c>
      <c r="BO14" s="29" t="str">
        <f t="shared" si="5"/>
        <v/>
      </c>
      <c r="BP14" s="29" t="str">
        <f t="shared" si="5"/>
        <v/>
      </c>
      <c r="BQ14" s="29" t="str">
        <f t="shared" si="5"/>
        <v/>
      </c>
      <c r="BR14" s="29" t="str">
        <f t="shared" si="5"/>
        <v/>
      </c>
      <c r="BS14" s="29" t="str">
        <f t="shared" si="5"/>
        <v/>
      </c>
      <c r="BT14" s="29" t="str">
        <f t="shared" si="5"/>
        <v/>
      </c>
      <c r="BU14" s="29" t="str">
        <f t="shared" si="5"/>
        <v/>
      </c>
      <c r="BV14" s="29" t="str">
        <f t="shared" si="5"/>
        <v/>
      </c>
      <c r="BW14" s="29" t="str">
        <f t="shared" si="5"/>
        <v/>
      </c>
      <c r="BX14" s="29" t="str">
        <f t="shared" si="2"/>
        <v/>
      </c>
      <c r="BY14" s="29" t="str">
        <f t="shared" si="2"/>
        <v/>
      </c>
      <c r="BZ14" s="29" t="str">
        <f t="shared" si="2"/>
        <v/>
      </c>
      <c r="CA14" s="29" t="str">
        <f t="shared" si="2"/>
        <v/>
      </c>
      <c r="CB14" s="29" t="str">
        <f t="shared" si="2"/>
        <v/>
      </c>
      <c r="CC14" s="29" t="str">
        <f t="shared" si="2"/>
        <v/>
      </c>
      <c r="CD14" s="29" t="str">
        <f t="shared" si="2"/>
        <v/>
      </c>
      <c r="CE14" s="29" t="str">
        <f t="shared" si="2"/>
        <v/>
      </c>
      <c r="CF14" s="29" t="str">
        <f t="shared" si="2"/>
        <v/>
      </c>
      <c r="CG14" s="29" t="str">
        <f t="shared" si="2"/>
        <v/>
      </c>
      <c r="CH14" s="29" t="str">
        <f t="shared" si="2"/>
        <v/>
      </c>
      <c r="CI14" s="29" t="str">
        <f t="shared" si="2"/>
        <v/>
      </c>
      <c r="CJ14" s="29" t="str">
        <f t="shared" si="2"/>
        <v/>
      </c>
      <c r="CK14" s="29" t="str">
        <f t="shared" si="2"/>
        <v/>
      </c>
      <c r="CL14" s="29" t="str">
        <f t="shared" si="2"/>
        <v/>
      </c>
      <c r="CM14" s="29" t="str">
        <f t="shared" si="2"/>
        <v/>
      </c>
      <c r="CN14" s="29" t="str">
        <f t="shared" si="2"/>
        <v/>
      </c>
      <c r="CO14" s="29" t="str">
        <f t="shared" si="2"/>
        <v/>
      </c>
      <c r="CP14" s="29" t="str">
        <f t="shared" si="2"/>
        <v/>
      </c>
      <c r="CQ14" s="29" t="str">
        <f t="shared" si="2"/>
        <v/>
      </c>
      <c r="CR14" s="29" t="str">
        <f t="shared" si="2"/>
        <v/>
      </c>
      <c r="CS14" s="29" t="str">
        <f t="shared" si="2"/>
        <v/>
      </c>
      <c r="CT14" s="29" t="str">
        <f t="shared" si="2"/>
        <v/>
      </c>
      <c r="CU14" s="29" t="str">
        <f t="shared" si="2"/>
        <v/>
      </c>
      <c r="CV14" s="29" t="str">
        <f t="shared" si="2"/>
        <v/>
      </c>
      <c r="CW14" s="29" t="str">
        <f t="shared" si="3"/>
        <v/>
      </c>
      <c r="CX14" s="29" t="str">
        <f t="shared" si="3"/>
        <v/>
      </c>
      <c r="CY14" s="29" t="str">
        <f t="shared" si="3"/>
        <v/>
      </c>
      <c r="CZ14" s="29" t="str">
        <f t="shared" si="3"/>
        <v/>
      </c>
      <c r="DA14" s="29" t="str">
        <f t="shared" si="3"/>
        <v/>
      </c>
      <c r="DB14" s="29" t="str">
        <f t="shared" si="3"/>
        <v/>
      </c>
      <c r="DC14" s="29" t="str">
        <f t="shared" si="3"/>
        <v/>
      </c>
      <c r="DD14" s="29" t="str">
        <f t="shared" si="3"/>
        <v/>
      </c>
      <c r="DE14" s="29" t="str">
        <f t="shared" si="3"/>
        <v/>
      </c>
      <c r="DF14" s="29" t="str">
        <f t="shared" si="3"/>
        <v/>
      </c>
      <c r="DG14" s="29" t="str">
        <f t="shared" si="3"/>
        <v/>
      </c>
      <c r="DH14" s="29" t="str">
        <f t="shared" si="3"/>
        <v/>
      </c>
      <c r="DI14" s="29" t="str">
        <f t="shared" si="3"/>
        <v/>
      </c>
      <c r="DJ14" s="29" t="str">
        <f t="shared" si="3"/>
        <v/>
      </c>
      <c r="DK14" s="29" t="str">
        <f t="shared" si="3"/>
        <v/>
      </c>
      <c r="DL14" s="29" t="str">
        <f t="shared" si="3"/>
        <v/>
      </c>
      <c r="DM14" s="29" t="str">
        <f t="shared" si="3"/>
        <v/>
      </c>
      <c r="DN14" s="29" t="str">
        <f t="shared" si="3"/>
        <v/>
      </c>
      <c r="DO14" s="29" t="str">
        <f t="shared" si="3"/>
        <v/>
      </c>
      <c r="DP14" s="29" t="str">
        <f t="shared" si="3"/>
        <v/>
      </c>
      <c r="DQ14" s="29" t="str">
        <f t="shared" si="3"/>
        <v/>
      </c>
      <c r="DR14" s="29" t="str">
        <f t="shared" si="3"/>
        <v/>
      </c>
      <c r="DS14" s="29" t="str">
        <f t="shared" si="3"/>
        <v/>
      </c>
      <c r="DT14" s="29" t="str">
        <f t="shared" si="3"/>
        <v/>
      </c>
      <c r="DU14" s="29" t="str">
        <f t="shared" si="3"/>
        <v/>
      </c>
      <c r="DV14" s="29" t="str">
        <f t="shared" si="4"/>
        <v/>
      </c>
      <c r="DW14" s="29" t="str">
        <f t="shared" si="4"/>
        <v/>
      </c>
      <c r="DX14" s="29" t="str">
        <f t="shared" si="4"/>
        <v/>
      </c>
      <c r="DY14" s="29" t="str">
        <f t="shared" si="4"/>
        <v/>
      </c>
      <c r="DZ14" s="29" t="str">
        <f t="shared" si="4"/>
        <v/>
      </c>
      <c r="EA14" s="29" t="str">
        <f t="shared" si="4"/>
        <v/>
      </c>
      <c r="EB14" s="29" t="str">
        <f t="shared" si="4"/>
        <v/>
      </c>
      <c r="EC14" s="29" t="str">
        <f t="shared" si="4"/>
        <v/>
      </c>
      <c r="ED14" s="29" t="str">
        <f t="shared" si="4"/>
        <v/>
      </c>
      <c r="EE14" s="29" t="str">
        <f t="shared" si="4"/>
        <v/>
      </c>
      <c r="EF14" s="29" t="str">
        <f t="shared" si="4"/>
        <v/>
      </c>
      <c r="EG14" s="29" t="str">
        <f t="shared" si="4"/>
        <v/>
      </c>
      <c r="EH14" s="29" t="str">
        <f t="shared" si="4"/>
        <v/>
      </c>
      <c r="EI14" s="29" t="str">
        <f t="shared" si="4"/>
        <v/>
      </c>
      <c r="EJ14" s="29" t="str">
        <f t="shared" si="4"/>
        <v/>
      </c>
      <c r="EK14" s="29" t="str">
        <f t="shared" si="4"/>
        <v/>
      </c>
      <c r="EL14" s="29" t="str">
        <f t="shared" si="4"/>
        <v/>
      </c>
      <c r="EM14" s="29" t="str">
        <f t="shared" si="4"/>
        <v/>
      </c>
      <c r="EN14" s="29" t="str">
        <f t="shared" si="4"/>
        <v/>
      </c>
      <c r="EO14" s="29" t="str">
        <f t="shared" si="4"/>
        <v/>
      </c>
      <c r="EP14" s="29" t="str">
        <f t="shared" si="4"/>
        <v/>
      </c>
      <c r="EQ14" s="29" t="str">
        <f t="shared" si="4"/>
        <v/>
      </c>
      <c r="ER14" s="29" t="str">
        <f t="shared" si="4"/>
        <v/>
      </c>
      <c r="ES14" s="29" t="str">
        <f t="shared" si="4"/>
        <v/>
      </c>
      <c r="ET14" s="29" t="str">
        <f t="shared" si="4"/>
        <v/>
      </c>
    </row>
    <row r="15" spans="1:150" x14ac:dyDescent="0.2">
      <c r="A15" s="103" t="str">
        <f>TEXT('M&amp;V Tasks'!A16,"#")</f>
        <v>5</v>
      </c>
      <c r="B15" s="104" t="str">
        <f>TEXT('M&amp;V Tasks'!B16,"#")</f>
        <v>Close out M&amp;V project using internal processes</v>
      </c>
      <c r="C15" s="103">
        <f>'M&amp;V Tasks'!I16</f>
        <v>0</v>
      </c>
      <c r="D15" s="27"/>
      <c r="E15" s="27"/>
      <c r="F15" s="29" t="str">
        <f t="shared" si="0"/>
        <v/>
      </c>
      <c r="G15" s="29" t="str">
        <f t="shared" si="0"/>
        <v/>
      </c>
      <c r="H15" s="29" t="str">
        <f t="shared" si="0"/>
        <v/>
      </c>
      <c r="I15" s="29" t="str">
        <f t="shared" si="0"/>
        <v/>
      </c>
      <c r="J15" s="29" t="str">
        <f t="shared" si="0"/>
        <v/>
      </c>
      <c r="K15" s="29" t="str">
        <f t="shared" si="0"/>
        <v/>
      </c>
      <c r="L15" s="29" t="str">
        <f t="shared" si="0"/>
        <v/>
      </c>
      <c r="M15" s="29" t="str">
        <f t="shared" si="0"/>
        <v/>
      </c>
      <c r="N15" s="29" t="str">
        <f t="shared" si="0"/>
        <v/>
      </c>
      <c r="O15" s="29" t="str">
        <f t="shared" si="0"/>
        <v/>
      </c>
      <c r="P15" s="29" t="str">
        <f t="shared" si="0"/>
        <v/>
      </c>
      <c r="Q15" s="29" t="str">
        <f t="shared" si="0"/>
        <v/>
      </c>
      <c r="R15" s="29" t="str">
        <f t="shared" si="0"/>
        <v/>
      </c>
      <c r="S15" s="29" t="str">
        <f t="shared" si="0"/>
        <v/>
      </c>
      <c r="T15" s="29" t="str">
        <f t="shared" si="0"/>
        <v/>
      </c>
      <c r="U15" s="29" t="str">
        <f t="shared" si="0"/>
        <v/>
      </c>
      <c r="V15" s="29" t="str">
        <f t="shared" ref="V15:BA20" si="6">IF(AND(V$9&gt;=$D15,V$9&lt;=$E15),1,"")</f>
        <v/>
      </c>
      <c r="W15" s="29" t="str">
        <f t="shared" si="6"/>
        <v/>
      </c>
      <c r="X15" s="29" t="str">
        <f t="shared" si="6"/>
        <v/>
      </c>
      <c r="Y15" s="29" t="str">
        <f t="shared" si="6"/>
        <v/>
      </c>
      <c r="Z15" s="29" t="str">
        <f t="shared" si="6"/>
        <v/>
      </c>
      <c r="AA15" s="29" t="str">
        <f t="shared" si="6"/>
        <v/>
      </c>
      <c r="AB15" s="29" t="str">
        <f t="shared" si="6"/>
        <v/>
      </c>
      <c r="AC15" s="29" t="str">
        <f t="shared" si="6"/>
        <v/>
      </c>
      <c r="AD15" s="29" t="str">
        <f t="shared" si="6"/>
        <v/>
      </c>
      <c r="AE15" s="29" t="str">
        <f t="shared" si="6"/>
        <v/>
      </c>
      <c r="AF15" s="29" t="str">
        <f t="shared" si="6"/>
        <v/>
      </c>
      <c r="AG15" s="29" t="str">
        <f t="shared" si="6"/>
        <v/>
      </c>
      <c r="AH15" s="29" t="str">
        <f t="shared" si="6"/>
        <v/>
      </c>
      <c r="AI15" s="29" t="str">
        <f t="shared" si="6"/>
        <v/>
      </c>
      <c r="AJ15" s="29" t="str">
        <f t="shared" si="6"/>
        <v/>
      </c>
      <c r="AK15" s="29" t="str">
        <f t="shared" si="6"/>
        <v/>
      </c>
      <c r="AL15" s="29" t="str">
        <f t="shared" si="6"/>
        <v/>
      </c>
      <c r="AM15" s="29" t="str">
        <f t="shared" si="6"/>
        <v/>
      </c>
      <c r="AN15" s="29" t="str">
        <f t="shared" si="6"/>
        <v/>
      </c>
      <c r="AO15" s="29" t="str">
        <f t="shared" si="6"/>
        <v/>
      </c>
      <c r="AP15" s="29" t="str">
        <f t="shared" si="6"/>
        <v/>
      </c>
      <c r="AQ15" s="29" t="str">
        <f t="shared" si="6"/>
        <v/>
      </c>
      <c r="AR15" s="29" t="str">
        <f t="shared" si="6"/>
        <v/>
      </c>
      <c r="AS15" s="29" t="str">
        <f t="shared" si="6"/>
        <v/>
      </c>
      <c r="AT15" s="29" t="str">
        <f t="shared" si="6"/>
        <v/>
      </c>
      <c r="AU15" s="29" t="str">
        <f t="shared" si="6"/>
        <v/>
      </c>
      <c r="AV15" s="29" t="str">
        <f t="shared" si="6"/>
        <v/>
      </c>
      <c r="AW15" s="29" t="str">
        <f t="shared" si="6"/>
        <v/>
      </c>
      <c r="AX15" s="29" t="str">
        <f t="shared" si="6"/>
        <v/>
      </c>
      <c r="AY15" s="29" t="str">
        <f t="shared" si="6"/>
        <v/>
      </c>
      <c r="AZ15" s="29" t="str">
        <f t="shared" si="6"/>
        <v/>
      </c>
      <c r="BA15" s="29" t="str">
        <f t="shared" si="6"/>
        <v/>
      </c>
      <c r="BB15" s="29" t="str">
        <f t="shared" ref="BB15:BW24" si="7">IF(AND(BB$9&gt;=$D15,BB$9&lt;=$E15),1,"")</f>
        <v/>
      </c>
      <c r="BC15" s="29" t="str">
        <f t="shared" si="7"/>
        <v/>
      </c>
      <c r="BD15" s="29" t="str">
        <f t="shared" si="7"/>
        <v/>
      </c>
      <c r="BE15" s="29" t="str">
        <f t="shared" si="7"/>
        <v/>
      </c>
      <c r="BF15" s="29" t="str">
        <f t="shared" si="7"/>
        <v/>
      </c>
      <c r="BG15" s="29" t="str">
        <f t="shared" si="7"/>
        <v/>
      </c>
      <c r="BH15" s="29" t="str">
        <f t="shared" si="7"/>
        <v/>
      </c>
      <c r="BI15" s="29" t="str">
        <f t="shared" si="7"/>
        <v/>
      </c>
      <c r="BJ15" s="29" t="str">
        <f t="shared" si="7"/>
        <v/>
      </c>
      <c r="BK15" s="29" t="str">
        <f t="shared" si="7"/>
        <v/>
      </c>
      <c r="BL15" s="29" t="str">
        <f t="shared" si="7"/>
        <v/>
      </c>
      <c r="BM15" s="29" t="str">
        <f t="shared" si="7"/>
        <v/>
      </c>
      <c r="BN15" s="29" t="str">
        <f t="shared" si="7"/>
        <v/>
      </c>
      <c r="BO15" s="29" t="str">
        <f t="shared" si="7"/>
        <v/>
      </c>
      <c r="BP15" s="29" t="str">
        <f t="shared" si="7"/>
        <v/>
      </c>
      <c r="BQ15" s="29" t="str">
        <f t="shared" si="7"/>
        <v/>
      </c>
      <c r="BR15" s="29" t="str">
        <f t="shared" si="7"/>
        <v/>
      </c>
      <c r="BS15" s="29" t="str">
        <f t="shared" si="5"/>
        <v/>
      </c>
      <c r="BT15" s="29" t="str">
        <f t="shared" si="5"/>
        <v/>
      </c>
      <c r="BU15" s="29" t="str">
        <f t="shared" si="5"/>
        <v/>
      </c>
      <c r="BV15" s="29" t="str">
        <f t="shared" si="5"/>
        <v/>
      </c>
      <c r="BW15" s="29" t="str">
        <f t="shared" si="5"/>
        <v/>
      </c>
      <c r="BX15" s="29" t="str">
        <f t="shared" si="2"/>
        <v/>
      </c>
      <c r="BY15" s="29" t="str">
        <f t="shared" si="2"/>
        <v/>
      </c>
      <c r="BZ15" s="29" t="str">
        <f t="shared" si="2"/>
        <v/>
      </c>
      <c r="CA15" s="29" t="str">
        <f t="shared" si="2"/>
        <v/>
      </c>
      <c r="CB15" s="29" t="str">
        <f t="shared" si="2"/>
        <v/>
      </c>
      <c r="CC15" s="29" t="str">
        <f t="shared" si="2"/>
        <v/>
      </c>
      <c r="CD15" s="29" t="str">
        <f t="shared" si="2"/>
        <v/>
      </c>
      <c r="CE15" s="29" t="str">
        <f t="shared" si="2"/>
        <v/>
      </c>
      <c r="CF15" s="29" t="str">
        <f t="shared" si="2"/>
        <v/>
      </c>
      <c r="CG15" s="29" t="str">
        <f t="shared" si="2"/>
        <v/>
      </c>
      <c r="CH15" s="29" t="str">
        <f t="shared" si="2"/>
        <v/>
      </c>
      <c r="CI15" s="29" t="str">
        <f t="shared" si="2"/>
        <v/>
      </c>
      <c r="CJ15" s="29" t="str">
        <f t="shared" si="2"/>
        <v/>
      </c>
      <c r="CK15" s="29" t="str">
        <f t="shared" si="2"/>
        <v/>
      </c>
      <c r="CL15" s="29" t="str">
        <f t="shared" si="2"/>
        <v/>
      </c>
      <c r="CM15" s="29" t="str">
        <f t="shared" si="2"/>
        <v/>
      </c>
      <c r="CN15" s="29" t="str">
        <f t="shared" si="2"/>
        <v/>
      </c>
      <c r="CO15" s="29" t="str">
        <f t="shared" si="2"/>
        <v/>
      </c>
      <c r="CP15" s="29" t="str">
        <f t="shared" si="2"/>
        <v/>
      </c>
      <c r="CQ15" s="29" t="str">
        <f t="shared" si="2"/>
        <v/>
      </c>
      <c r="CR15" s="29" t="str">
        <f t="shared" si="2"/>
        <v/>
      </c>
      <c r="CS15" s="29" t="str">
        <f t="shared" si="2"/>
        <v/>
      </c>
      <c r="CT15" s="29" t="str">
        <f t="shared" si="2"/>
        <v/>
      </c>
      <c r="CU15" s="29" t="str">
        <f t="shared" si="2"/>
        <v/>
      </c>
      <c r="CV15" s="29" t="str">
        <f t="shared" si="2"/>
        <v/>
      </c>
      <c r="CW15" s="29" t="str">
        <f t="shared" si="3"/>
        <v/>
      </c>
      <c r="CX15" s="29" t="str">
        <f t="shared" si="3"/>
        <v/>
      </c>
      <c r="CY15" s="29" t="str">
        <f t="shared" si="3"/>
        <v/>
      </c>
      <c r="CZ15" s="29" t="str">
        <f t="shared" si="3"/>
        <v/>
      </c>
      <c r="DA15" s="29" t="str">
        <f t="shared" si="3"/>
        <v/>
      </c>
      <c r="DB15" s="29" t="str">
        <f t="shared" si="3"/>
        <v/>
      </c>
      <c r="DC15" s="29" t="str">
        <f t="shared" si="3"/>
        <v/>
      </c>
      <c r="DD15" s="29" t="str">
        <f t="shared" si="3"/>
        <v/>
      </c>
      <c r="DE15" s="29" t="str">
        <f t="shared" si="3"/>
        <v/>
      </c>
      <c r="DF15" s="29" t="str">
        <f t="shared" si="3"/>
        <v/>
      </c>
      <c r="DG15" s="29" t="str">
        <f t="shared" si="3"/>
        <v/>
      </c>
      <c r="DH15" s="29" t="str">
        <f t="shared" si="3"/>
        <v/>
      </c>
      <c r="DI15" s="29" t="str">
        <f t="shared" si="3"/>
        <v/>
      </c>
      <c r="DJ15" s="29" t="str">
        <f t="shared" si="3"/>
        <v/>
      </c>
      <c r="DK15" s="29" t="str">
        <f t="shared" si="3"/>
        <v/>
      </c>
      <c r="DL15" s="29" t="str">
        <f t="shared" si="3"/>
        <v/>
      </c>
      <c r="DM15" s="29" t="str">
        <f t="shared" si="3"/>
        <v/>
      </c>
      <c r="DN15" s="29" t="str">
        <f t="shared" si="3"/>
        <v/>
      </c>
      <c r="DO15" s="29" t="str">
        <f t="shared" si="3"/>
        <v/>
      </c>
      <c r="DP15" s="29" t="str">
        <f t="shared" si="3"/>
        <v/>
      </c>
      <c r="DQ15" s="29" t="str">
        <f t="shared" si="3"/>
        <v/>
      </c>
      <c r="DR15" s="29" t="str">
        <f t="shared" si="3"/>
        <v/>
      </c>
      <c r="DS15" s="29" t="str">
        <f t="shared" si="3"/>
        <v/>
      </c>
      <c r="DT15" s="29" t="str">
        <f t="shared" si="3"/>
        <v/>
      </c>
      <c r="DU15" s="29" t="str">
        <f t="shared" si="3"/>
        <v/>
      </c>
      <c r="DV15" s="29" t="str">
        <f t="shared" si="4"/>
        <v/>
      </c>
      <c r="DW15" s="29" t="str">
        <f t="shared" si="4"/>
        <v/>
      </c>
      <c r="DX15" s="29" t="str">
        <f t="shared" si="4"/>
        <v/>
      </c>
      <c r="DY15" s="29" t="str">
        <f t="shared" si="4"/>
        <v/>
      </c>
      <c r="DZ15" s="29" t="str">
        <f t="shared" si="4"/>
        <v/>
      </c>
      <c r="EA15" s="29" t="str">
        <f t="shared" si="4"/>
        <v/>
      </c>
      <c r="EB15" s="29" t="str">
        <f t="shared" si="4"/>
        <v/>
      </c>
      <c r="EC15" s="29" t="str">
        <f t="shared" si="4"/>
        <v/>
      </c>
      <c r="ED15" s="29" t="str">
        <f t="shared" si="4"/>
        <v/>
      </c>
      <c r="EE15" s="29" t="str">
        <f t="shared" si="4"/>
        <v/>
      </c>
      <c r="EF15" s="29" t="str">
        <f t="shared" si="4"/>
        <v/>
      </c>
      <c r="EG15" s="29" t="str">
        <f t="shared" si="4"/>
        <v/>
      </c>
      <c r="EH15" s="29" t="str">
        <f t="shared" si="4"/>
        <v/>
      </c>
      <c r="EI15" s="29" t="str">
        <f t="shared" si="4"/>
        <v/>
      </c>
      <c r="EJ15" s="29" t="str">
        <f t="shared" si="4"/>
        <v/>
      </c>
      <c r="EK15" s="29" t="str">
        <f t="shared" si="4"/>
        <v/>
      </c>
      <c r="EL15" s="29" t="str">
        <f t="shared" si="4"/>
        <v/>
      </c>
      <c r="EM15" s="29" t="str">
        <f t="shared" si="4"/>
        <v/>
      </c>
      <c r="EN15" s="29" t="str">
        <f t="shared" si="4"/>
        <v/>
      </c>
      <c r="EO15" s="29" t="str">
        <f t="shared" si="4"/>
        <v/>
      </c>
      <c r="EP15" s="29" t="str">
        <f t="shared" si="4"/>
        <v/>
      </c>
      <c r="EQ15" s="29" t="str">
        <f t="shared" si="4"/>
        <v/>
      </c>
      <c r="ER15" s="29" t="str">
        <f t="shared" si="4"/>
        <v/>
      </c>
      <c r="ES15" s="29" t="str">
        <f t="shared" si="4"/>
        <v/>
      </c>
      <c r="ET15" s="29" t="str">
        <f t="shared" si="4"/>
        <v/>
      </c>
    </row>
    <row r="16" spans="1:150" x14ac:dyDescent="0.2">
      <c r="A16" s="103" t="str">
        <f>TEXT('M&amp;V Tasks'!A17,"#")</f>
        <v>6</v>
      </c>
      <c r="B16" s="104" t="str">
        <f>TEXT('M&amp;V Tasks'!B17,"#")</f>
        <v/>
      </c>
      <c r="C16" s="103">
        <f>'M&amp;V Tasks'!I17</f>
        <v>0</v>
      </c>
      <c r="D16" s="27"/>
      <c r="E16" s="27"/>
      <c r="F16" s="29" t="str">
        <f t="shared" si="0"/>
        <v/>
      </c>
      <c r="G16" s="29" t="str">
        <f t="shared" si="0"/>
        <v/>
      </c>
      <c r="H16" s="29" t="str">
        <f t="shared" si="0"/>
        <v/>
      </c>
      <c r="I16" s="29" t="str">
        <f t="shared" si="0"/>
        <v/>
      </c>
      <c r="J16" s="29" t="str">
        <f t="shared" si="0"/>
        <v/>
      </c>
      <c r="K16" s="29" t="str">
        <f t="shared" si="0"/>
        <v/>
      </c>
      <c r="L16" s="29" t="str">
        <f t="shared" si="0"/>
        <v/>
      </c>
      <c r="M16" s="29" t="str">
        <f t="shared" si="0"/>
        <v/>
      </c>
      <c r="N16" s="29" t="str">
        <f t="shared" si="0"/>
        <v/>
      </c>
      <c r="O16" s="29" t="str">
        <f t="shared" si="0"/>
        <v/>
      </c>
      <c r="P16" s="29" t="str">
        <f t="shared" si="0"/>
        <v/>
      </c>
      <c r="Q16" s="29" t="str">
        <f t="shared" si="0"/>
        <v/>
      </c>
      <c r="R16" s="29" t="str">
        <f t="shared" si="0"/>
        <v/>
      </c>
      <c r="S16" s="29" t="str">
        <f t="shared" si="0"/>
        <v/>
      </c>
      <c r="T16" s="29" t="str">
        <f t="shared" si="0"/>
        <v/>
      </c>
      <c r="U16" s="29" t="str">
        <f t="shared" si="0"/>
        <v/>
      </c>
      <c r="V16" s="29" t="str">
        <f t="shared" si="6"/>
        <v/>
      </c>
      <c r="W16" s="29" t="str">
        <f t="shared" si="6"/>
        <v/>
      </c>
      <c r="X16" s="29" t="str">
        <f t="shared" si="6"/>
        <v/>
      </c>
      <c r="Y16" s="29" t="str">
        <f t="shared" si="6"/>
        <v/>
      </c>
      <c r="Z16" s="29" t="str">
        <f t="shared" si="6"/>
        <v/>
      </c>
      <c r="AA16" s="29" t="str">
        <f t="shared" si="6"/>
        <v/>
      </c>
      <c r="AB16" s="29" t="str">
        <f t="shared" si="6"/>
        <v/>
      </c>
      <c r="AC16" s="29" t="str">
        <f t="shared" si="6"/>
        <v/>
      </c>
      <c r="AD16" s="29" t="str">
        <f t="shared" si="6"/>
        <v/>
      </c>
      <c r="AE16" s="29" t="str">
        <f t="shared" si="6"/>
        <v/>
      </c>
      <c r="AF16" s="29" t="str">
        <f t="shared" si="6"/>
        <v/>
      </c>
      <c r="AG16" s="29" t="str">
        <f t="shared" si="6"/>
        <v/>
      </c>
      <c r="AH16" s="29" t="str">
        <f t="shared" si="6"/>
        <v/>
      </c>
      <c r="AI16" s="29" t="str">
        <f t="shared" si="6"/>
        <v/>
      </c>
      <c r="AJ16" s="29" t="str">
        <f t="shared" si="6"/>
        <v/>
      </c>
      <c r="AK16" s="29" t="str">
        <f t="shared" si="6"/>
        <v/>
      </c>
      <c r="AL16" s="29" t="str">
        <f t="shared" si="6"/>
        <v/>
      </c>
      <c r="AM16" s="29" t="str">
        <f t="shared" si="6"/>
        <v/>
      </c>
      <c r="AN16" s="29" t="str">
        <f t="shared" si="6"/>
        <v/>
      </c>
      <c r="AO16" s="29" t="str">
        <f t="shared" si="6"/>
        <v/>
      </c>
      <c r="AP16" s="29" t="str">
        <f t="shared" si="6"/>
        <v/>
      </c>
      <c r="AQ16" s="29" t="str">
        <f t="shared" si="6"/>
        <v/>
      </c>
      <c r="AR16" s="29" t="str">
        <f t="shared" si="6"/>
        <v/>
      </c>
      <c r="AS16" s="29" t="str">
        <f t="shared" si="6"/>
        <v/>
      </c>
      <c r="AT16" s="29" t="str">
        <f t="shared" si="6"/>
        <v/>
      </c>
      <c r="AU16" s="29" t="str">
        <f t="shared" si="6"/>
        <v/>
      </c>
      <c r="AV16" s="29" t="str">
        <f t="shared" si="6"/>
        <v/>
      </c>
      <c r="AW16" s="29" t="str">
        <f t="shared" si="6"/>
        <v/>
      </c>
      <c r="AX16" s="29" t="str">
        <f t="shared" si="6"/>
        <v/>
      </c>
      <c r="AY16" s="29" t="str">
        <f t="shared" si="6"/>
        <v/>
      </c>
      <c r="AZ16" s="29" t="str">
        <f t="shared" si="6"/>
        <v/>
      </c>
      <c r="BA16" s="29" t="str">
        <f t="shared" si="6"/>
        <v/>
      </c>
      <c r="BB16" s="29" t="str">
        <f t="shared" si="7"/>
        <v/>
      </c>
      <c r="BC16" s="29" t="str">
        <f t="shared" si="7"/>
        <v/>
      </c>
      <c r="BD16" s="29" t="str">
        <f t="shared" si="7"/>
        <v/>
      </c>
      <c r="BE16" s="29" t="str">
        <f t="shared" si="7"/>
        <v/>
      </c>
      <c r="BF16" s="29" t="str">
        <f t="shared" si="7"/>
        <v/>
      </c>
      <c r="BG16" s="29" t="str">
        <f t="shared" si="7"/>
        <v/>
      </c>
      <c r="BH16" s="29" t="str">
        <f t="shared" si="7"/>
        <v/>
      </c>
      <c r="BI16" s="29" t="str">
        <f t="shared" si="7"/>
        <v/>
      </c>
      <c r="BJ16" s="29" t="str">
        <f t="shared" si="7"/>
        <v/>
      </c>
      <c r="BK16" s="29" t="str">
        <f t="shared" si="7"/>
        <v/>
      </c>
      <c r="BL16" s="29" t="str">
        <f t="shared" si="7"/>
        <v/>
      </c>
      <c r="BM16" s="29" t="str">
        <f t="shared" si="7"/>
        <v/>
      </c>
      <c r="BN16" s="29" t="str">
        <f t="shared" si="7"/>
        <v/>
      </c>
      <c r="BO16" s="29" t="str">
        <f t="shared" si="7"/>
        <v/>
      </c>
      <c r="BP16" s="29" t="str">
        <f t="shared" si="7"/>
        <v/>
      </c>
      <c r="BQ16" s="29" t="str">
        <f t="shared" si="7"/>
        <v/>
      </c>
      <c r="BR16" s="29" t="str">
        <f t="shared" si="7"/>
        <v/>
      </c>
      <c r="BS16" s="29" t="str">
        <f t="shared" si="5"/>
        <v/>
      </c>
      <c r="BT16" s="29" t="str">
        <f t="shared" si="5"/>
        <v/>
      </c>
      <c r="BU16" s="29" t="str">
        <f t="shared" si="5"/>
        <v/>
      </c>
      <c r="BV16" s="29" t="str">
        <f t="shared" si="5"/>
        <v/>
      </c>
      <c r="BW16" s="29" t="str">
        <f t="shared" si="5"/>
        <v/>
      </c>
      <c r="BX16" s="29" t="str">
        <f t="shared" si="2"/>
        <v/>
      </c>
      <c r="BY16" s="29" t="str">
        <f t="shared" si="2"/>
        <v/>
      </c>
      <c r="BZ16" s="29" t="str">
        <f t="shared" si="2"/>
        <v/>
      </c>
      <c r="CA16" s="29" t="str">
        <f t="shared" si="2"/>
        <v/>
      </c>
      <c r="CB16" s="29" t="str">
        <f t="shared" si="2"/>
        <v/>
      </c>
      <c r="CC16" s="29" t="str">
        <f t="shared" si="2"/>
        <v/>
      </c>
      <c r="CD16" s="29" t="str">
        <f t="shared" si="2"/>
        <v/>
      </c>
      <c r="CE16" s="29" t="str">
        <f t="shared" si="2"/>
        <v/>
      </c>
      <c r="CF16" s="29" t="str">
        <f t="shared" si="2"/>
        <v/>
      </c>
      <c r="CG16" s="29" t="str">
        <f t="shared" si="2"/>
        <v/>
      </c>
      <c r="CH16" s="29" t="str">
        <f t="shared" si="2"/>
        <v/>
      </c>
      <c r="CI16" s="29" t="str">
        <f t="shared" si="2"/>
        <v/>
      </c>
      <c r="CJ16" s="29" t="str">
        <f t="shared" si="2"/>
        <v/>
      </c>
      <c r="CK16" s="29" t="str">
        <f t="shared" si="2"/>
        <v/>
      </c>
      <c r="CL16" s="29" t="str">
        <f t="shared" si="2"/>
        <v/>
      </c>
      <c r="CM16" s="29" t="str">
        <f t="shared" si="2"/>
        <v/>
      </c>
      <c r="CN16" s="29" t="str">
        <f t="shared" si="2"/>
        <v/>
      </c>
      <c r="CO16" s="29" t="str">
        <f t="shared" si="2"/>
        <v/>
      </c>
      <c r="CP16" s="29" t="str">
        <f t="shared" si="2"/>
        <v/>
      </c>
      <c r="CQ16" s="29" t="str">
        <f t="shared" si="2"/>
        <v/>
      </c>
      <c r="CR16" s="29" t="str">
        <f t="shared" si="2"/>
        <v/>
      </c>
      <c r="CS16" s="29" t="str">
        <f t="shared" si="2"/>
        <v/>
      </c>
      <c r="CT16" s="29" t="str">
        <f t="shared" si="2"/>
        <v/>
      </c>
      <c r="CU16" s="29" t="str">
        <f t="shared" si="2"/>
        <v/>
      </c>
      <c r="CV16" s="29" t="str">
        <f t="shared" si="2"/>
        <v/>
      </c>
      <c r="CW16" s="29" t="str">
        <f t="shared" si="3"/>
        <v/>
      </c>
      <c r="CX16" s="29" t="str">
        <f t="shared" si="3"/>
        <v/>
      </c>
      <c r="CY16" s="29" t="str">
        <f t="shared" si="3"/>
        <v/>
      </c>
      <c r="CZ16" s="29" t="str">
        <f t="shared" si="3"/>
        <v/>
      </c>
      <c r="DA16" s="29" t="str">
        <f t="shared" si="3"/>
        <v/>
      </c>
      <c r="DB16" s="29" t="str">
        <f t="shared" si="3"/>
        <v/>
      </c>
      <c r="DC16" s="29" t="str">
        <f t="shared" si="3"/>
        <v/>
      </c>
      <c r="DD16" s="29" t="str">
        <f t="shared" si="3"/>
        <v/>
      </c>
      <c r="DE16" s="29" t="str">
        <f t="shared" si="3"/>
        <v/>
      </c>
      <c r="DF16" s="29" t="str">
        <f t="shared" si="3"/>
        <v/>
      </c>
      <c r="DG16" s="29" t="str">
        <f t="shared" si="3"/>
        <v/>
      </c>
      <c r="DH16" s="29" t="str">
        <f t="shared" si="3"/>
        <v/>
      </c>
      <c r="DI16" s="29" t="str">
        <f t="shared" si="3"/>
        <v/>
      </c>
      <c r="DJ16" s="29" t="str">
        <f t="shared" si="3"/>
        <v/>
      </c>
      <c r="DK16" s="29" t="str">
        <f t="shared" si="3"/>
        <v/>
      </c>
      <c r="DL16" s="29" t="str">
        <f t="shared" si="3"/>
        <v/>
      </c>
      <c r="DM16" s="29" t="str">
        <f t="shared" si="3"/>
        <v/>
      </c>
      <c r="DN16" s="29" t="str">
        <f t="shared" si="3"/>
        <v/>
      </c>
      <c r="DO16" s="29" t="str">
        <f t="shared" si="3"/>
        <v/>
      </c>
      <c r="DP16" s="29" t="str">
        <f t="shared" si="3"/>
        <v/>
      </c>
      <c r="DQ16" s="29" t="str">
        <f t="shared" si="3"/>
        <v/>
      </c>
      <c r="DR16" s="29" t="str">
        <f t="shared" si="3"/>
        <v/>
      </c>
      <c r="DS16" s="29" t="str">
        <f t="shared" si="3"/>
        <v/>
      </c>
      <c r="DT16" s="29" t="str">
        <f t="shared" si="3"/>
        <v/>
      </c>
      <c r="DU16" s="29" t="str">
        <f t="shared" si="3"/>
        <v/>
      </c>
      <c r="DV16" s="29" t="str">
        <f t="shared" si="4"/>
        <v/>
      </c>
      <c r="DW16" s="29" t="str">
        <f t="shared" si="4"/>
        <v/>
      </c>
      <c r="DX16" s="29" t="str">
        <f t="shared" si="4"/>
        <v/>
      </c>
      <c r="DY16" s="29" t="str">
        <f t="shared" si="4"/>
        <v/>
      </c>
      <c r="DZ16" s="29" t="str">
        <f t="shared" si="4"/>
        <v/>
      </c>
      <c r="EA16" s="29" t="str">
        <f t="shared" si="4"/>
        <v/>
      </c>
      <c r="EB16" s="29" t="str">
        <f t="shared" si="4"/>
        <v/>
      </c>
      <c r="EC16" s="29" t="str">
        <f t="shared" si="4"/>
        <v/>
      </c>
      <c r="ED16" s="29" t="str">
        <f t="shared" si="4"/>
        <v/>
      </c>
      <c r="EE16" s="29" t="str">
        <f t="shared" si="4"/>
        <v/>
      </c>
      <c r="EF16" s="29" t="str">
        <f t="shared" si="4"/>
        <v/>
      </c>
      <c r="EG16" s="29" t="str">
        <f t="shared" si="4"/>
        <v/>
      </c>
      <c r="EH16" s="29" t="str">
        <f t="shared" si="4"/>
        <v/>
      </c>
      <c r="EI16" s="29" t="str">
        <f t="shared" si="4"/>
        <v/>
      </c>
      <c r="EJ16" s="29" t="str">
        <f t="shared" si="4"/>
        <v/>
      </c>
      <c r="EK16" s="29" t="str">
        <f t="shared" si="4"/>
        <v/>
      </c>
      <c r="EL16" s="29" t="str">
        <f t="shared" si="4"/>
        <v/>
      </c>
      <c r="EM16" s="29" t="str">
        <f t="shared" si="4"/>
        <v/>
      </c>
      <c r="EN16" s="29" t="str">
        <f t="shared" si="4"/>
        <v/>
      </c>
      <c r="EO16" s="29" t="str">
        <f t="shared" si="4"/>
        <v/>
      </c>
      <c r="EP16" s="29" t="str">
        <f t="shared" si="4"/>
        <v/>
      </c>
      <c r="EQ16" s="29" t="str">
        <f t="shared" si="4"/>
        <v/>
      </c>
      <c r="ER16" s="29" t="str">
        <f t="shared" si="4"/>
        <v/>
      </c>
      <c r="ES16" s="29" t="str">
        <f t="shared" si="4"/>
        <v/>
      </c>
      <c r="ET16" s="29" t="str">
        <f t="shared" si="4"/>
        <v/>
      </c>
    </row>
    <row r="17" spans="1:150" x14ac:dyDescent="0.2">
      <c r="A17" s="88" t="str">
        <f>TEXT('M&amp;V Tasks'!A18,"#")</f>
        <v/>
      </c>
      <c r="B17" s="91" t="str">
        <f>TEXT('M&amp;V Tasks'!B18,"#")</f>
        <v>Develop M&amp;V Plan</v>
      </c>
      <c r="C17" s="88">
        <f>'M&amp;V Tasks'!I18</f>
        <v>0</v>
      </c>
      <c r="D17" s="26"/>
      <c r="E17" s="26"/>
      <c r="F17" s="29" t="str">
        <f t="shared" si="0"/>
        <v/>
      </c>
      <c r="G17" s="29" t="str">
        <f t="shared" si="0"/>
        <v/>
      </c>
      <c r="H17" s="29" t="str">
        <f t="shared" si="0"/>
        <v/>
      </c>
      <c r="I17" s="29" t="str">
        <f t="shared" si="0"/>
        <v/>
      </c>
      <c r="J17" s="29" t="str">
        <f t="shared" si="0"/>
        <v/>
      </c>
      <c r="K17" s="29" t="str">
        <f t="shared" si="0"/>
        <v/>
      </c>
      <c r="L17" s="29" t="str">
        <f t="shared" si="0"/>
        <v/>
      </c>
      <c r="M17" s="29" t="str">
        <f t="shared" si="0"/>
        <v/>
      </c>
      <c r="N17" s="29" t="str">
        <f t="shared" si="0"/>
        <v/>
      </c>
      <c r="O17" s="29" t="str">
        <f t="shared" si="0"/>
        <v/>
      </c>
      <c r="P17" s="29" t="str">
        <f t="shared" si="0"/>
        <v/>
      </c>
      <c r="Q17" s="29" t="str">
        <f t="shared" si="0"/>
        <v/>
      </c>
      <c r="R17" s="29" t="str">
        <f t="shared" si="0"/>
        <v/>
      </c>
      <c r="S17" s="29" t="str">
        <f t="shared" si="0"/>
        <v/>
      </c>
      <c r="T17" s="29" t="str">
        <f t="shared" si="0"/>
        <v/>
      </c>
      <c r="U17" s="29" t="str">
        <f t="shared" si="0"/>
        <v/>
      </c>
      <c r="V17" s="29" t="str">
        <f t="shared" si="6"/>
        <v/>
      </c>
      <c r="W17" s="29" t="str">
        <f t="shared" si="6"/>
        <v/>
      </c>
      <c r="X17" s="29" t="str">
        <f t="shared" si="6"/>
        <v/>
      </c>
      <c r="Y17" s="29" t="str">
        <f t="shared" si="6"/>
        <v/>
      </c>
      <c r="Z17" s="29" t="str">
        <f t="shared" si="6"/>
        <v/>
      </c>
      <c r="AA17" s="29" t="str">
        <f t="shared" si="6"/>
        <v/>
      </c>
      <c r="AB17" s="29" t="str">
        <f t="shared" si="6"/>
        <v/>
      </c>
      <c r="AC17" s="29" t="str">
        <f t="shared" si="6"/>
        <v/>
      </c>
      <c r="AD17" s="29" t="str">
        <f t="shared" si="6"/>
        <v/>
      </c>
      <c r="AE17" s="29" t="str">
        <f t="shared" si="6"/>
        <v/>
      </c>
      <c r="AF17" s="29" t="str">
        <f t="shared" si="6"/>
        <v/>
      </c>
      <c r="AG17" s="29" t="str">
        <f t="shared" si="6"/>
        <v/>
      </c>
      <c r="AH17" s="29" t="str">
        <f t="shared" si="6"/>
        <v/>
      </c>
      <c r="AI17" s="29" t="str">
        <f t="shared" si="6"/>
        <v/>
      </c>
      <c r="AJ17" s="29" t="str">
        <f t="shared" si="6"/>
        <v/>
      </c>
      <c r="AK17" s="29" t="str">
        <f t="shared" si="6"/>
        <v/>
      </c>
      <c r="AL17" s="29" t="str">
        <f t="shared" si="6"/>
        <v/>
      </c>
      <c r="AM17" s="29" t="str">
        <f t="shared" si="6"/>
        <v/>
      </c>
      <c r="AN17" s="29" t="str">
        <f t="shared" si="6"/>
        <v/>
      </c>
      <c r="AO17" s="29" t="str">
        <f t="shared" si="6"/>
        <v/>
      </c>
      <c r="AP17" s="29" t="str">
        <f t="shared" si="6"/>
        <v/>
      </c>
      <c r="AQ17" s="29" t="str">
        <f t="shared" si="6"/>
        <v/>
      </c>
      <c r="AR17" s="29" t="str">
        <f t="shared" si="6"/>
        <v/>
      </c>
      <c r="AS17" s="29" t="str">
        <f t="shared" si="6"/>
        <v/>
      </c>
      <c r="AT17" s="29" t="str">
        <f t="shared" si="6"/>
        <v/>
      </c>
      <c r="AU17" s="29" t="str">
        <f t="shared" si="6"/>
        <v/>
      </c>
      <c r="AV17" s="29" t="str">
        <f t="shared" si="6"/>
        <v/>
      </c>
      <c r="AW17" s="29" t="str">
        <f t="shared" si="6"/>
        <v/>
      </c>
      <c r="AX17" s="29" t="str">
        <f t="shared" si="6"/>
        <v/>
      </c>
      <c r="AY17" s="29" t="str">
        <f t="shared" si="6"/>
        <v/>
      </c>
      <c r="AZ17" s="29" t="str">
        <f t="shared" si="6"/>
        <v/>
      </c>
      <c r="BA17" s="29" t="str">
        <f t="shared" si="6"/>
        <v/>
      </c>
      <c r="BB17" s="29" t="str">
        <f t="shared" si="7"/>
        <v/>
      </c>
      <c r="BC17" s="29" t="str">
        <f t="shared" si="7"/>
        <v/>
      </c>
      <c r="BD17" s="29" t="str">
        <f t="shared" si="7"/>
        <v/>
      </c>
      <c r="BE17" s="29" t="str">
        <f t="shared" si="7"/>
        <v/>
      </c>
      <c r="BF17" s="29" t="str">
        <f t="shared" si="7"/>
        <v/>
      </c>
      <c r="BG17" s="29" t="str">
        <f t="shared" si="7"/>
        <v/>
      </c>
      <c r="BH17" s="29" t="str">
        <f t="shared" si="7"/>
        <v/>
      </c>
      <c r="BI17" s="29" t="str">
        <f t="shared" si="7"/>
        <v/>
      </c>
      <c r="BJ17" s="29" t="str">
        <f t="shared" si="7"/>
        <v/>
      </c>
      <c r="BK17" s="29" t="str">
        <f t="shared" si="7"/>
        <v/>
      </c>
      <c r="BL17" s="29" t="str">
        <f t="shared" si="7"/>
        <v/>
      </c>
      <c r="BM17" s="29" t="str">
        <f t="shared" si="7"/>
        <v/>
      </c>
      <c r="BN17" s="29" t="str">
        <f t="shared" si="7"/>
        <v/>
      </c>
      <c r="BO17" s="29" t="str">
        <f t="shared" si="7"/>
        <v/>
      </c>
      <c r="BP17" s="29" t="str">
        <f t="shared" si="7"/>
        <v/>
      </c>
      <c r="BQ17" s="29" t="str">
        <f t="shared" si="7"/>
        <v/>
      </c>
      <c r="BR17" s="29" t="str">
        <f t="shared" si="7"/>
        <v/>
      </c>
      <c r="BS17" s="29" t="str">
        <f t="shared" si="7"/>
        <v/>
      </c>
      <c r="BT17" s="29" t="str">
        <f t="shared" si="7"/>
        <v/>
      </c>
      <c r="BU17" s="29" t="str">
        <f t="shared" si="7"/>
        <v/>
      </c>
      <c r="BV17" s="29" t="str">
        <f t="shared" si="7"/>
        <v/>
      </c>
      <c r="BW17" s="29" t="str">
        <f t="shared" si="7"/>
        <v/>
      </c>
      <c r="BX17" s="29" t="str">
        <f t="shared" si="2"/>
        <v/>
      </c>
      <c r="BY17" s="29" t="str">
        <f t="shared" si="2"/>
        <v/>
      </c>
      <c r="BZ17" s="29" t="str">
        <f t="shared" si="2"/>
        <v/>
      </c>
      <c r="CA17" s="29" t="str">
        <f t="shared" si="2"/>
        <v/>
      </c>
      <c r="CB17" s="29" t="str">
        <f t="shared" si="2"/>
        <v/>
      </c>
      <c r="CC17" s="29" t="str">
        <f t="shared" si="2"/>
        <v/>
      </c>
      <c r="CD17" s="29" t="str">
        <f t="shared" si="2"/>
        <v/>
      </c>
      <c r="CE17" s="29" t="str">
        <f t="shared" si="2"/>
        <v/>
      </c>
      <c r="CF17" s="29" t="str">
        <f t="shared" si="2"/>
        <v/>
      </c>
      <c r="CG17" s="29" t="str">
        <f t="shared" si="2"/>
        <v/>
      </c>
      <c r="CH17" s="29" t="str">
        <f t="shared" si="2"/>
        <v/>
      </c>
      <c r="CI17" s="29" t="str">
        <f t="shared" si="2"/>
        <v/>
      </c>
      <c r="CJ17" s="29" t="str">
        <f t="shared" si="2"/>
        <v/>
      </c>
      <c r="CK17" s="29" t="str">
        <f t="shared" si="2"/>
        <v/>
      </c>
      <c r="CL17" s="29" t="str">
        <f t="shared" si="2"/>
        <v/>
      </c>
      <c r="CM17" s="29" t="str">
        <f t="shared" si="2"/>
        <v/>
      </c>
      <c r="CN17" s="29" t="str">
        <f t="shared" si="2"/>
        <v/>
      </c>
      <c r="CO17" s="29" t="str">
        <f t="shared" si="2"/>
        <v/>
      </c>
      <c r="CP17" s="29" t="str">
        <f t="shared" si="2"/>
        <v/>
      </c>
      <c r="CQ17" s="29" t="str">
        <f t="shared" si="2"/>
        <v/>
      </c>
      <c r="CR17" s="29" t="str">
        <f t="shared" si="2"/>
        <v/>
      </c>
      <c r="CS17" s="29" t="str">
        <f t="shared" si="2"/>
        <v/>
      </c>
      <c r="CT17" s="29" t="str">
        <f t="shared" si="2"/>
        <v/>
      </c>
      <c r="CU17" s="29" t="str">
        <f t="shared" si="2"/>
        <v/>
      </c>
      <c r="CV17" s="29" t="str">
        <f t="shared" si="2"/>
        <v/>
      </c>
      <c r="CW17" s="29" t="str">
        <f t="shared" si="3"/>
        <v/>
      </c>
      <c r="CX17" s="29" t="str">
        <f t="shared" si="3"/>
        <v/>
      </c>
      <c r="CY17" s="29" t="str">
        <f t="shared" si="3"/>
        <v/>
      </c>
      <c r="CZ17" s="29" t="str">
        <f t="shared" si="3"/>
        <v/>
      </c>
      <c r="DA17" s="29" t="str">
        <f t="shared" si="3"/>
        <v/>
      </c>
      <c r="DB17" s="29" t="str">
        <f t="shared" si="3"/>
        <v/>
      </c>
      <c r="DC17" s="29" t="str">
        <f t="shared" si="3"/>
        <v/>
      </c>
      <c r="DD17" s="29" t="str">
        <f t="shared" si="3"/>
        <v/>
      </c>
      <c r="DE17" s="29" t="str">
        <f t="shared" si="3"/>
        <v/>
      </c>
      <c r="DF17" s="29" t="str">
        <f t="shared" si="3"/>
        <v/>
      </c>
      <c r="DG17" s="29" t="str">
        <f t="shared" si="3"/>
        <v/>
      </c>
      <c r="DH17" s="29" t="str">
        <f t="shared" si="3"/>
        <v/>
      </c>
      <c r="DI17" s="29" t="str">
        <f t="shared" si="3"/>
        <v/>
      </c>
      <c r="DJ17" s="29" t="str">
        <f t="shared" si="3"/>
        <v/>
      </c>
      <c r="DK17" s="29" t="str">
        <f t="shared" si="3"/>
        <v/>
      </c>
      <c r="DL17" s="29" t="str">
        <f t="shared" si="3"/>
        <v/>
      </c>
      <c r="DM17" s="29" t="str">
        <f t="shared" si="3"/>
        <v/>
      </c>
      <c r="DN17" s="29" t="str">
        <f t="shared" si="3"/>
        <v/>
      </c>
      <c r="DO17" s="29" t="str">
        <f t="shared" si="3"/>
        <v/>
      </c>
      <c r="DP17" s="29" t="str">
        <f t="shared" si="3"/>
        <v/>
      </c>
      <c r="DQ17" s="29" t="str">
        <f t="shared" si="3"/>
        <v/>
      </c>
      <c r="DR17" s="29" t="str">
        <f t="shared" si="3"/>
        <v/>
      </c>
      <c r="DS17" s="29" t="str">
        <f t="shared" si="3"/>
        <v/>
      </c>
      <c r="DT17" s="29" t="str">
        <f t="shared" si="3"/>
        <v/>
      </c>
      <c r="DU17" s="29" t="str">
        <f t="shared" si="3"/>
        <v/>
      </c>
      <c r="DV17" s="29" t="str">
        <f t="shared" si="4"/>
        <v/>
      </c>
      <c r="DW17" s="29" t="str">
        <f t="shared" si="4"/>
        <v/>
      </c>
      <c r="DX17" s="29" t="str">
        <f t="shared" si="4"/>
        <v/>
      </c>
      <c r="DY17" s="29" t="str">
        <f t="shared" si="4"/>
        <v/>
      </c>
      <c r="DZ17" s="29" t="str">
        <f t="shared" si="4"/>
        <v/>
      </c>
      <c r="EA17" s="29" t="str">
        <f t="shared" si="4"/>
        <v/>
      </c>
      <c r="EB17" s="29" t="str">
        <f t="shared" si="4"/>
        <v/>
      </c>
      <c r="EC17" s="29" t="str">
        <f t="shared" si="4"/>
        <v/>
      </c>
      <c r="ED17" s="29" t="str">
        <f t="shared" si="4"/>
        <v/>
      </c>
      <c r="EE17" s="29" t="str">
        <f t="shared" si="4"/>
        <v/>
      </c>
      <c r="EF17" s="29" t="str">
        <f t="shared" si="4"/>
        <v/>
      </c>
      <c r="EG17" s="29" t="str">
        <f t="shared" si="4"/>
        <v/>
      </c>
      <c r="EH17" s="29" t="str">
        <f t="shared" si="4"/>
        <v/>
      </c>
      <c r="EI17" s="29" t="str">
        <f t="shared" si="4"/>
        <v/>
      </c>
      <c r="EJ17" s="29" t="str">
        <f t="shared" si="4"/>
        <v/>
      </c>
      <c r="EK17" s="29" t="str">
        <f t="shared" si="4"/>
        <v/>
      </c>
      <c r="EL17" s="29" t="str">
        <f t="shared" si="4"/>
        <v/>
      </c>
      <c r="EM17" s="29" t="str">
        <f t="shared" si="4"/>
        <v/>
      </c>
      <c r="EN17" s="29" t="str">
        <f t="shared" si="4"/>
        <v/>
      </c>
      <c r="EO17" s="29" t="str">
        <f t="shared" si="4"/>
        <v/>
      </c>
      <c r="EP17" s="29" t="str">
        <f t="shared" si="4"/>
        <v/>
      </c>
      <c r="EQ17" s="29" t="str">
        <f t="shared" si="4"/>
        <v/>
      </c>
      <c r="ER17" s="29" t="str">
        <f t="shared" si="4"/>
        <v/>
      </c>
      <c r="ES17" s="29" t="str">
        <f t="shared" si="4"/>
        <v/>
      </c>
      <c r="ET17" s="29" t="str">
        <f t="shared" si="4"/>
        <v/>
      </c>
    </row>
    <row r="18" spans="1:150" x14ac:dyDescent="0.2">
      <c r="A18" s="103" t="str">
        <f>TEXT('M&amp;V Tasks'!A19,"#")</f>
        <v>1</v>
      </c>
      <c r="B18" s="104" t="str">
        <f>TEXT('M&amp;V Tasks'!B19,"#")</f>
        <v>Conduct a meeting with site contact, contractor and project manager to agree on approach</v>
      </c>
      <c r="C18" s="103">
        <f>'M&amp;V Tasks'!I19</f>
        <v>0</v>
      </c>
      <c r="D18" s="27"/>
      <c r="E18" s="27"/>
      <c r="F18" s="29" t="str">
        <f t="shared" si="0"/>
        <v/>
      </c>
      <c r="G18" s="29" t="str">
        <f t="shared" si="0"/>
        <v/>
      </c>
      <c r="H18" s="29" t="str">
        <f t="shared" si="0"/>
        <v/>
      </c>
      <c r="I18" s="29" t="str">
        <f t="shared" si="0"/>
        <v/>
      </c>
      <c r="J18" s="29" t="str">
        <f t="shared" si="0"/>
        <v/>
      </c>
      <c r="K18" s="29" t="str">
        <f t="shared" si="0"/>
        <v/>
      </c>
      <c r="L18" s="29" t="str">
        <f t="shared" si="0"/>
        <v/>
      </c>
      <c r="M18" s="29" t="str">
        <f t="shared" si="0"/>
        <v/>
      </c>
      <c r="N18" s="29" t="str">
        <f t="shared" si="0"/>
        <v/>
      </c>
      <c r="O18" s="29" t="str">
        <f t="shared" si="0"/>
        <v/>
      </c>
      <c r="P18" s="29" t="str">
        <f t="shared" si="0"/>
        <v/>
      </c>
      <c r="Q18" s="29" t="str">
        <f t="shared" si="0"/>
        <v/>
      </c>
      <c r="R18" s="29" t="str">
        <f t="shared" si="0"/>
        <v/>
      </c>
      <c r="S18" s="29" t="str">
        <f t="shared" si="0"/>
        <v/>
      </c>
      <c r="T18" s="29" t="str">
        <f t="shared" si="0"/>
        <v/>
      </c>
      <c r="U18" s="29" t="str">
        <f t="shared" si="0"/>
        <v/>
      </c>
      <c r="V18" s="29" t="str">
        <f t="shared" si="6"/>
        <v/>
      </c>
      <c r="W18" s="29" t="str">
        <f t="shared" si="6"/>
        <v/>
      </c>
      <c r="X18" s="29" t="str">
        <f t="shared" si="6"/>
        <v/>
      </c>
      <c r="Y18" s="29" t="str">
        <f t="shared" si="6"/>
        <v/>
      </c>
      <c r="Z18" s="29" t="str">
        <f t="shared" si="6"/>
        <v/>
      </c>
      <c r="AA18" s="29" t="str">
        <f t="shared" si="6"/>
        <v/>
      </c>
      <c r="AB18" s="29" t="str">
        <f t="shared" si="6"/>
        <v/>
      </c>
      <c r="AC18" s="29" t="str">
        <f t="shared" si="6"/>
        <v/>
      </c>
      <c r="AD18" s="29" t="str">
        <f t="shared" si="6"/>
        <v/>
      </c>
      <c r="AE18" s="29" t="str">
        <f t="shared" si="6"/>
        <v/>
      </c>
      <c r="AF18" s="29" t="str">
        <f t="shared" si="6"/>
        <v/>
      </c>
      <c r="AG18" s="29" t="str">
        <f t="shared" si="6"/>
        <v/>
      </c>
      <c r="AH18" s="29" t="str">
        <f t="shared" si="6"/>
        <v/>
      </c>
      <c r="AI18" s="29" t="str">
        <f t="shared" si="6"/>
        <v/>
      </c>
      <c r="AJ18" s="29" t="str">
        <f t="shared" si="6"/>
        <v/>
      </c>
      <c r="AK18" s="29" t="str">
        <f t="shared" si="6"/>
        <v/>
      </c>
      <c r="AL18" s="29" t="str">
        <f t="shared" si="6"/>
        <v/>
      </c>
      <c r="AM18" s="29" t="str">
        <f t="shared" si="6"/>
        <v/>
      </c>
      <c r="AN18" s="29" t="str">
        <f t="shared" si="6"/>
        <v/>
      </c>
      <c r="AO18" s="29" t="str">
        <f t="shared" si="6"/>
        <v/>
      </c>
      <c r="AP18" s="29" t="str">
        <f t="shared" si="6"/>
        <v/>
      </c>
      <c r="AQ18" s="29" t="str">
        <f t="shared" si="6"/>
        <v/>
      </c>
      <c r="AR18" s="29" t="str">
        <f t="shared" si="6"/>
        <v/>
      </c>
      <c r="AS18" s="29" t="str">
        <f t="shared" si="6"/>
        <v/>
      </c>
      <c r="AT18" s="29" t="str">
        <f t="shared" si="6"/>
        <v/>
      </c>
      <c r="AU18" s="29" t="str">
        <f t="shared" si="6"/>
        <v/>
      </c>
      <c r="AV18" s="29" t="str">
        <f t="shared" si="6"/>
        <v/>
      </c>
      <c r="AW18" s="29" t="str">
        <f t="shared" si="6"/>
        <v/>
      </c>
      <c r="AX18" s="29" t="str">
        <f t="shared" si="6"/>
        <v/>
      </c>
      <c r="AY18" s="29" t="str">
        <f t="shared" si="6"/>
        <v/>
      </c>
      <c r="AZ18" s="29" t="str">
        <f t="shared" si="6"/>
        <v/>
      </c>
      <c r="BA18" s="29" t="str">
        <f t="shared" si="6"/>
        <v/>
      </c>
      <c r="BB18" s="29" t="str">
        <f t="shared" si="7"/>
        <v/>
      </c>
      <c r="BC18" s="29" t="str">
        <f t="shared" si="7"/>
        <v/>
      </c>
      <c r="BD18" s="29" t="str">
        <f t="shared" si="7"/>
        <v/>
      </c>
      <c r="BE18" s="29" t="str">
        <f t="shared" si="7"/>
        <v/>
      </c>
      <c r="BF18" s="29" t="str">
        <f t="shared" si="7"/>
        <v/>
      </c>
      <c r="BG18" s="29" t="str">
        <f t="shared" si="7"/>
        <v/>
      </c>
      <c r="BH18" s="29" t="str">
        <f t="shared" si="7"/>
        <v/>
      </c>
      <c r="BI18" s="29" t="str">
        <f t="shared" si="7"/>
        <v/>
      </c>
      <c r="BJ18" s="29" t="str">
        <f t="shared" si="7"/>
        <v/>
      </c>
      <c r="BK18" s="29" t="str">
        <f t="shared" si="7"/>
        <v/>
      </c>
      <c r="BL18" s="29" t="str">
        <f t="shared" si="7"/>
        <v/>
      </c>
      <c r="BM18" s="29" t="str">
        <f t="shared" si="7"/>
        <v/>
      </c>
      <c r="BN18" s="29" t="str">
        <f t="shared" si="7"/>
        <v/>
      </c>
      <c r="BO18" s="29" t="str">
        <f t="shared" si="7"/>
        <v/>
      </c>
      <c r="BP18" s="29" t="str">
        <f t="shared" si="7"/>
        <v/>
      </c>
      <c r="BQ18" s="29" t="str">
        <f t="shared" si="7"/>
        <v/>
      </c>
      <c r="BR18" s="29" t="str">
        <f t="shared" si="7"/>
        <v/>
      </c>
      <c r="BS18" s="29" t="str">
        <f t="shared" si="7"/>
        <v/>
      </c>
      <c r="BT18" s="29" t="str">
        <f t="shared" si="7"/>
        <v/>
      </c>
      <c r="BU18" s="29" t="str">
        <f t="shared" si="7"/>
        <v/>
      </c>
      <c r="BV18" s="29" t="str">
        <f t="shared" si="7"/>
        <v/>
      </c>
      <c r="BW18" s="29" t="str">
        <f t="shared" si="7"/>
        <v/>
      </c>
      <c r="BX18" s="29" t="str">
        <f t="shared" si="2"/>
        <v/>
      </c>
      <c r="BY18" s="29" t="str">
        <f t="shared" si="2"/>
        <v/>
      </c>
      <c r="BZ18" s="29" t="str">
        <f t="shared" si="2"/>
        <v/>
      </c>
      <c r="CA18" s="29" t="str">
        <f t="shared" si="2"/>
        <v/>
      </c>
      <c r="CB18" s="29" t="str">
        <f t="shared" si="2"/>
        <v/>
      </c>
      <c r="CC18" s="29" t="str">
        <f t="shared" si="2"/>
        <v/>
      </c>
      <c r="CD18" s="29" t="str">
        <f t="shared" ref="CD18:CV18" si="8">IF(AND(CD$9&gt;=$D18,CD$9&lt;=$E18),1,"")</f>
        <v/>
      </c>
      <c r="CE18" s="29" t="str">
        <f t="shared" si="8"/>
        <v/>
      </c>
      <c r="CF18" s="29" t="str">
        <f t="shared" si="8"/>
        <v/>
      </c>
      <c r="CG18" s="29" t="str">
        <f t="shared" si="8"/>
        <v/>
      </c>
      <c r="CH18" s="29" t="str">
        <f t="shared" si="8"/>
        <v/>
      </c>
      <c r="CI18" s="29" t="str">
        <f t="shared" si="8"/>
        <v/>
      </c>
      <c r="CJ18" s="29" t="str">
        <f t="shared" si="8"/>
        <v/>
      </c>
      <c r="CK18" s="29" t="str">
        <f t="shared" si="8"/>
        <v/>
      </c>
      <c r="CL18" s="29" t="str">
        <f t="shared" si="8"/>
        <v/>
      </c>
      <c r="CM18" s="29" t="str">
        <f t="shared" si="8"/>
        <v/>
      </c>
      <c r="CN18" s="29" t="str">
        <f t="shared" si="8"/>
        <v/>
      </c>
      <c r="CO18" s="29" t="str">
        <f t="shared" si="8"/>
        <v/>
      </c>
      <c r="CP18" s="29" t="str">
        <f t="shared" si="8"/>
        <v/>
      </c>
      <c r="CQ18" s="29" t="str">
        <f t="shared" si="8"/>
        <v/>
      </c>
      <c r="CR18" s="29" t="str">
        <f t="shared" si="8"/>
        <v/>
      </c>
      <c r="CS18" s="29" t="str">
        <f t="shared" si="8"/>
        <v/>
      </c>
      <c r="CT18" s="29" t="str">
        <f t="shared" si="8"/>
        <v/>
      </c>
      <c r="CU18" s="29" t="str">
        <f t="shared" si="8"/>
        <v/>
      </c>
      <c r="CV18" s="29" t="str">
        <f t="shared" si="8"/>
        <v/>
      </c>
      <c r="CW18" s="29" t="str">
        <f t="shared" si="3"/>
        <v/>
      </c>
      <c r="CX18" s="29" t="str">
        <f t="shared" si="3"/>
        <v/>
      </c>
      <c r="CY18" s="29" t="str">
        <f t="shared" si="3"/>
        <v/>
      </c>
      <c r="CZ18" s="29" t="str">
        <f t="shared" si="3"/>
        <v/>
      </c>
      <c r="DA18" s="29" t="str">
        <f t="shared" si="3"/>
        <v/>
      </c>
      <c r="DB18" s="29" t="str">
        <f t="shared" si="3"/>
        <v/>
      </c>
      <c r="DC18" s="29" t="str">
        <f t="shared" ref="DC18:DU18" si="9">IF(AND(DC$9&gt;=$D18,DC$9&lt;=$E18),1,"")</f>
        <v/>
      </c>
      <c r="DD18" s="29" t="str">
        <f t="shared" si="9"/>
        <v/>
      </c>
      <c r="DE18" s="29" t="str">
        <f t="shared" si="9"/>
        <v/>
      </c>
      <c r="DF18" s="29" t="str">
        <f t="shared" si="9"/>
        <v/>
      </c>
      <c r="DG18" s="29" t="str">
        <f t="shared" si="9"/>
        <v/>
      </c>
      <c r="DH18" s="29" t="str">
        <f t="shared" si="9"/>
        <v/>
      </c>
      <c r="DI18" s="29" t="str">
        <f t="shared" si="9"/>
        <v/>
      </c>
      <c r="DJ18" s="29" t="str">
        <f t="shared" si="9"/>
        <v/>
      </c>
      <c r="DK18" s="29" t="str">
        <f t="shared" si="9"/>
        <v/>
      </c>
      <c r="DL18" s="29" t="str">
        <f t="shared" si="9"/>
        <v/>
      </c>
      <c r="DM18" s="29" t="str">
        <f t="shared" si="9"/>
        <v/>
      </c>
      <c r="DN18" s="29" t="str">
        <f t="shared" si="9"/>
        <v/>
      </c>
      <c r="DO18" s="29" t="str">
        <f t="shared" si="9"/>
        <v/>
      </c>
      <c r="DP18" s="29" t="str">
        <f t="shared" si="9"/>
        <v/>
      </c>
      <c r="DQ18" s="29" t="str">
        <f t="shared" si="9"/>
        <v/>
      </c>
      <c r="DR18" s="29" t="str">
        <f t="shared" si="9"/>
        <v/>
      </c>
      <c r="DS18" s="29" t="str">
        <f t="shared" si="9"/>
        <v/>
      </c>
      <c r="DT18" s="29" t="str">
        <f t="shared" si="9"/>
        <v/>
      </c>
      <c r="DU18" s="29" t="str">
        <f t="shared" si="9"/>
        <v/>
      </c>
      <c r="DV18" s="29" t="str">
        <f t="shared" si="4"/>
        <v/>
      </c>
      <c r="DW18" s="29" t="str">
        <f t="shared" si="4"/>
        <v/>
      </c>
      <c r="DX18" s="29" t="str">
        <f t="shared" si="4"/>
        <v/>
      </c>
      <c r="DY18" s="29" t="str">
        <f t="shared" si="4"/>
        <v/>
      </c>
      <c r="DZ18" s="29" t="str">
        <f t="shared" si="4"/>
        <v/>
      </c>
      <c r="EA18" s="29" t="str">
        <f t="shared" si="4"/>
        <v/>
      </c>
      <c r="EB18" s="29" t="str">
        <f t="shared" ref="EB18:ET18" si="10">IF(AND(EB$9&gt;=$D18,EB$9&lt;=$E18),1,"")</f>
        <v/>
      </c>
      <c r="EC18" s="29" t="str">
        <f t="shared" si="10"/>
        <v/>
      </c>
      <c r="ED18" s="29" t="str">
        <f t="shared" si="10"/>
        <v/>
      </c>
      <c r="EE18" s="29" t="str">
        <f t="shared" si="10"/>
        <v/>
      </c>
      <c r="EF18" s="29" t="str">
        <f t="shared" si="10"/>
        <v/>
      </c>
      <c r="EG18" s="29" t="str">
        <f t="shared" si="10"/>
        <v/>
      </c>
      <c r="EH18" s="29" t="str">
        <f t="shared" si="10"/>
        <v/>
      </c>
      <c r="EI18" s="29" t="str">
        <f t="shared" si="10"/>
        <v/>
      </c>
      <c r="EJ18" s="29" t="str">
        <f t="shared" si="10"/>
        <v/>
      </c>
      <c r="EK18" s="29" t="str">
        <f t="shared" si="10"/>
        <v/>
      </c>
      <c r="EL18" s="29" t="str">
        <f t="shared" si="10"/>
        <v/>
      </c>
      <c r="EM18" s="29" t="str">
        <f t="shared" si="10"/>
        <v/>
      </c>
      <c r="EN18" s="29" t="str">
        <f t="shared" si="10"/>
        <v/>
      </c>
      <c r="EO18" s="29" t="str">
        <f t="shared" si="10"/>
        <v/>
      </c>
      <c r="EP18" s="29" t="str">
        <f t="shared" si="10"/>
        <v/>
      </c>
      <c r="EQ18" s="29" t="str">
        <f t="shared" si="10"/>
        <v/>
      </c>
      <c r="ER18" s="29" t="str">
        <f t="shared" si="10"/>
        <v/>
      </c>
      <c r="ES18" s="29" t="str">
        <f t="shared" si="10"/>
        <v/>
      </c>
      <c r="ET18" s="29" t="str">
        <f t="shared" si="10"/>
        <v/>
      </c>
    </row>
    <row r="19" spans="1:150" x14ac:dyDescent="0.2">
      <c r="A19" s="103" t="str">
        <f>TEXT('M&amp;V Tasks'!A20,"#")</f>
        <v>2</v>
      </c>
      <c r="B19" s="104" t="str">
        <f>TEXT('M&amp;V Tasks'!B20,"#")</f>
        <v>Review project drawings to determine measurement boundary</v>
      </c>
      <c r="C19" s="103">
        <f>'M&amp;V Tasks'!I20</f>
        <v>0</v>
      </c>
      <c r="D19" s="27"/>
      <c r="E19" s="27"/>
      <c r="F19" s="29" t="str">
        <f t="shared" si="0"/>
        <v/>
      </c>
      <c r="G19" s="29" t="str">
        <f t="shared" si="0"/>
        <v/>
      </c>
      <c r="H19" s="29" t="str">
        <f t="shared" si="0"/>
        <v/>
      </c>
      <c r="I19" s="29" t="str">
        <f t="shared" si="0"/>
        <v/>
      </c>
      <c r="J19" s="29" t="str">
        <f t="shared" si="0"/>
        <v/>
      </c>
      <c r="K19" s="29" t="str">
        <f t="shared" si="0"/>
        <v/>
      </c>
      <c r="L19" s="29" t="str">
        <f t="shared" si="0"/>
        <v/>
      </c>
      <c r="M19" s="29" t="str">
        <f t="shared" si="0"/>
        <v/>
      </c>
      <c r="N19" s="29" t="str">
        <f t="shared" si="0"/>
        <v/>
      </c>
      <c r="O19" s="29" t="str">
        <f t="shared" si="0"/>
        <v/>
      </c>
      <c r="P19" s="29" t="str">
        <f t="shared" si="0"/>
        <v/>
      </c>
      <c r="Q19" s="29" t="str">
        <f t="shared" si="0"/>
        <v/>
      </c>
      <c r="R19" s="29" t="str">
        <f t="shared" si="0"/>
        <v/>
      </c>
      <c r="S19" s="29" t="str">
        <f t="shared" si="0"/>
        <v/>
      </c>
      <c r="T19" s="29" t="str">
        <f t="shared" si="0"/>
        <v/>
      </c>
      <c r="U19" s="29" t="str">
        <f t="shared" si="0"/>
        <v/>
      </c>
      <c r="V19" s="29" t="str">
        <f t="shared" si="6"/>
        <v/>
      </c>
      <c r="W19" s="29" t="str">
        <f t="shared" si="6"/>
        <v/>
      </c>
      <c r="X19" s="29" t="str">
        <f t="shared" si="6"/>
        <v/>
      </c>
      <c r="Y19" s="29" t="str">
        <f t="shared" si="6"/>
        <v/>
      </c>
      <c r="Z19" s="29" t="str">
        <f t="shared" si="6"/>
        <v/>
      </c>
      <c r="AA19" s="29" t="str">
        <f t="shared" si="6"/>
        <v/>
      </c>
      <c r="AB19" s="29" t="str">
        <f t="shared" si="6"/>
        <v/>
      </c>
      <c r="AC19" s="29" t="str">
        <f t="shared" si="6"/>
        <v/>
      </c>
      <c r="AD19" s="29" t="str">
        <f t="shared" si="6"/>
        <v/>
      </c>
      <c r="AE19" s="29" t="str">
        <f t="shared" si="6"/>
        <v/>
      </c>
      <c r="AF19" s="29" t="str">
        <f t="shared" si="6"/>
        <v/>
      </c>
      <c r="AG19" s="29" t="str">
        <f t="shared" si="6"/>
        <v/>
      </c>
      <c r="AH19" s="29" t="str">
        <f t="shared" si="6"/>
        <v/>
      </c>
      <c r="AI19" s="29" t="str">
        <f t="shared" si="6"/>
        <v/>
      </c>
      <c r="AJ19" s="29" t="str">
        <f t="shared" si="6"/>
        <v/>
      </c>
      <c r="AK19" s="29" t="str">
        <f t="shared" si="6"/>
        <v/>
      </c>
      <c r="AL19" s="29" t="str">
        <f t="shared" si="6"/>
        <v/>
      </c>
      <c r="AM19" s="29" t="str">
        <f t="shared" si="6"/>
        <v/>
      </c>
      <c r="AN19" s="29" t="str">
        <f t="shared" si="6"/>
        <v/>
      </c>
      <c r="AO19" s="29" t="str">
        <f t="shared" si="6"/>
        <v/>
      </c>
      <c r="AP19" s="29" t="str">
        <f t="shared" si="6"/>
        <v/>
      </c>
      <c r="AQ19" s="29" t="str">
        <f t="shared" si="6"/>
        <v/>
      </c>
      <c r="AR19" s="29" t="str">
        <f t="shared" si="6"/>
        <v/>
      </c>
      <c r="AS19" s="29" t="str">
        <f t="shared" si="6"/>
        <v/>
      </c>
      <c r="AT19" s="29" t="str">
        <f t="shared" si="6"/>
        <v/>
      </c>
      <c r="AU19" s="29" t="str">
        <f t="shared" si="6"/>
        <v/>
      </c>
      <c r="AV19" s="29" t="str">
        <f t="shared" si="6"/>
        <v/>
      </c>
      <c r="AW19" s="29" t="str">
        <f t="shared" si="6"/>
        <v/>
      </c>
      <c r="AX19" s="29" t="str">
        <f t="shared" si="6"/>
        <v/>
      </c>
      <c r="AY19" s="29" t="str">
        <f t="shared" si="6"/>
        <v/>
      </c>
      <c r="AZ19" s="29" t="str">
        <f t="shared" si="6"/>
        <v/>
      </c>
      <c r="BA19" s="29" t="str">
        <f t="shared" si="6"/>
        <v/>
      </c>
      <c r="BB19" s="29" t="str">
        <f t="shared" si="7"/>
        <v/>
      </c>
      <c r="BC19" s="29" t="str">
        <f t="shared" si="7"/>
        <v/>
      </c>
      <c r="BD19" s="29" t="str">
        <f t="shared" si="7"/>
        <v/>
      </c>
      <c r="BE19" s="29" t="str">
        <f t="shared" si="7"/>
        <v/>
      </c>
      <c r="BF19" s="29" t="str">
        <f t="shared" si="7"/>
        <v/>
      </c>
      <c r="BG19" s="29" t="str">
        <f t="shared" si="7"/>
        <v/>
      </c>
      <c r="BH19" s="29" t="str">
        <f t="shared" si="7"/>
        <v/>
      </c>
      <c r="BI19" s="29" t="str">
        <f t="shared" si="7"/>
        <v/>
      </c>
      <c r="BJ19" s="29" t="str">
        <f t="shared" si="7"/>
        <v/>
      </c>
      <c r="BK19" s="29" t="str">
        <f t="shared" si="7"/>
        <v/>
      </c>
      <c r="BL19" s="29" t="str">
        <f t="shared" si="7"/>
        <v/>
      </c>
      <c r="BM19" s="29" t="str">
        <f t="shared" si="7"/>
        <v/>
      </c>
      <c r="BN19" s="29" t="str">
        <f t="shared" si="7"/>
        <v/>
      </c>
      <c r="BO19" s="29" t="str">
        <f t="shared" si="7"/>
        <v/>
      </c>
      <c r="BP19" s="29" t="str">
        <f t="shared" si="7"/>
        <v/>
      </c>
      <c r="BQ19" s="29" t="str">
        <f t="shared" si="7"/>
        <v/>
      </c>
      <c r="BR19" s="29" t="str">
        <f t="shared" si="7"/>
        <v/>
      </c>
      <c r="BS19" s="29" t="str">
        <f t="shared" si="7"/>
        <v/>
      </c>
      <c r="BT19" s="29" t="str">
        <f t="shared" si="7"/>
        <v/>
      </c>
      <c r="BU19" s="29" t="str">
        <f t="shared" si="7"/>
        <v/>
      </c>
      <c r="BV19" s="29" t="str">
        <f t="shared" si="7"/>
        <v/>
      </c>
      <c r="BW19" s="29" t="str">
        <f t="shared" si="7"/>
        <v/>
      </c>
      <c r="BX19" s="29" t="str">
        <f t="shared" ref="BX19:CV29" si="11">IF(AND(BX$9&gt;=$D19,BX$9&lt;=$E19),1,"")</f>
        <v/>
      </c>
      <c r="BY19" s="29" t="str">
        <f t="shared" si="11"/>
        <v/>
      </c>
      <c r="BZ19" s="29" t="str">
        <f t="shared" si="11"/>
        <v/>
      </c>
      <c r="CA19" s="29" t="str">
        <f t="shared" si="11"/>
        <v/>
      </c>
      <c r="CB19" s="29" t="str">
        <f t="shared" si="11"/>
        <v/>
      </c>
      <c r="CC19" s="29" t="str">
        <f t="shared" si="11"/>
        <v/>
      </c>
      <c r="CD19" s="29" t="str">
        <f t="shared" si="11"/>
        <v/>
      </c>
      <c r="CE19" s="29" t="str">
        <f t="shared" si="11"/>
        <v/>
      </c>
      <c r="CF19" s="29" t="str">
        <f t="shared" si="11"/>
        <v/>
      </c>
      <c r="CG19" s="29" t="str">
        <f t="shared" si="11"/>
        <v/>
      </c>
      <c r="CH19" s="29" t="str">
        <f t="shared" si="11"/>
        <v/>
      </c>
      <c r="CI19" s="29" t="str">
        <f t="shared" si="11"/>
        <v/>
      </c>
      <c r="CJ19" s="29" t="str">
        <f t="shared" si="11"/>
        <v/>
      </c>
      <c r="CK19" s="29" t="str">
        <f t="shared" si="11"/>
        <v/>
      </c>
      <c r="CL19" s="29" t="str">
        <f t="shared" si="11"/>
        <v/>
      </c>
      <c r="CM19" s="29" t="str">
        <f t="shared" si="11"/>
        <v/>
      </c>
      <c r="CN19" s="29" t="str">
        <f t="shared" si="11"/>
        <v/>
      </c>
      <c r="CO19" s="29" t="str">
        <f t="shared" si="11"/>
        <v/>
      </c>
      <c r="CP19" s="29" t="str">
        <f t="shared" si="11"/>
        <v/>
      </c>
      <c r="CQ19" s="29" t="str">
        <f t="shared" si="11"/>
        <v/>
      </c>
      <c r="CR19" s="29" t="str">
        <f t="shared" si="11"/>
        <v/>
      </c>
      <c r="CS19" s="29" t="str">
        <f t="shared" si="11"/>
        <v/>
      </c>
      <c r="CT19" s="29" t="str">
        <f t="shared" si="11"/>
        <v/>
      </c>
      <c r="CU19" s="29" t="str">
        <f t="shared" si="11"/>
        <v/>
      </c>
      <c r="CV19" s="29" t="str">
        <f t="shared" si="11"/>
        <v/>
      </c>
      <c r="CW19" s="29" t="str">
        <f t="shared" ref="CW19:DU29" si="12">IF(AND(CW$9&gt;=$D19,CW$9&lt;=$E19),1,"")</f>
        <v/>
      </c>
      <c r="CX19" s="29" t="str">
        <f t="shared" si="12"/>
        <v/>
      </c>
      <c r="CY19" s="29" t="str">
        <f t="shared" si="12"/>
        <v/>
      </c>
      <c r="CZ19" s="29" t="str">
        <f t="shared" si="12"/>
        <v/>
      </c>
      <c r="DA19" s="29" t="str">
        <f t="shared" si="12"/>
        <v/>
      </c>
      <c r="DB19" s="29" t="str">
        <f t="shared" si="12"/>
        <v/>
      </c>
      <c r="DC19" s="29" t="str">
        <f t="shared" si="12"/>
        <v/>
      </c>
      <c r="DD19" s="29" t="str">
        <f t="shared" si="12"/>
        <v/>
      </c>
      <c r="DE19" s="29" t="str">
        <f t="shared" si="12"/>
        <v/>
      </c>
      <c r="DF19" s="29" t="str">
        <f t="shared" si="12"/>
        <v/>
      </c>
      <c r="DG19" s="29" t="str">
        <f t="shared" si="12"/>
        <v/>
      </c>
      <c r="DH19" s="29" t="str">
        <f t="shared" si="12"/>
        <v/>
      </c>
      <c r="DI19" s="29" t="str">
        <f t="shared" si="12"/>
        <v/>
      </c>
      <c r="DJ19" s="29" t="str">
        <f t="shared" si="12"/>
        <v/>
      </c>
      <c r="DK19" s="29" t="str">
        <f t="shared" si="12"/>
        <v/>
      </c>
      <c r="DL19" s="29" t="str">
        <f t="shared" si="12"/>
        <v/>
      </c>
      <c r="DM19" s="29" t="str">
        <f t="shared" si="12"/>
        <v/>
      </c>
      <c r="DN19" s="29" t="str">
        <f t="shared" si="12"/>
        <v/>
      </c>
      <c r="DO19" s="29" t="str">
        <f t="shared" si="12"/>
        <v/>
      </c>
      <c r="DP19" s="29" t="str">
        <f t="shared" si="12"/>
        <v/>
      </c>
      <c r="DQ19" s="29" t="str">
        <f t="shared" si="12"/>
        <v/>
      </c>
      <c r="DR19" s="29" t="str">
        <f t="shared" si="12"/>
        <v/>
      </c>
      <c r="DS19" s="29" t="str">
        <f t="shared" si="12"/>
        <v/>
      </c>
      <c r="DT19" s="29" t="str">
        <f t="shared" si="12"/>
        <v/>
      </c>
      <c r="DU19" s="29" t="str">
        <f t="shared" si="12"/>
        <v/>
      </c>
      <c r="DV19" s="29" t="str">
        <f t="shared" ref="DV19:ET29" si="13">IF(AND(DV$9&gt;=$D19,DV$9&lt;=$E19),1,"")</f>
        <v/>
      </c>
      <c r="DW19" s="29" t="str">
        <f t="shared" si="13"/>
        <v/>
      </c>
      <c r="DX19" s="29" t="str">
        <f t="shared" si="13"/>
        <v/>
      </c>
      <c r="DY19" s="29" t="str">
        <f t="shared" si="13"/>
        <v/>
      </c>
      <c r="DZ19" s="29" t="str">
        <f t="shared" si="13"/>
        <v/>
      </c>
      <c r="EA19" s="29" t="str">
        <f t="shared" si="13"/>
        <v/>
      </c>
      <c r="EB19" s="29" t="str">
        <f t="shared" si="13"/>
        <v/>
      </c>
      <c r="EC19" s="29" t="str">
        <f t="shared" si="13"/>
        <v/>
      </c>
      <c r="ED19" s="29" t="str">
        <f t="shared" si="13"/>
        <v/>
      </c>
      <c r="EE19" s="29" t="str">
        <f t="shared" si="13"/>
        <v/>
      </c>
      <c r="EF19" s="29" t="str">
        <f t="shared" si="13"/>
        <v/>
      </c>
      <c r="EG19" s="29" t="str">
        <f t="shared" si="13"/>
        <v/>
      </c>
      <c r="EH19" s="29" t="str">
        <f t="shared" si="13"/>
        <v/>
      </c>
      <c r="EI19" s="29" t="str">
        <f t="shared" si="13"/>
        <v/>
      </c>
      <c r="EJ19" s="29" t="str">
        <f t="shared" si="13"/>
        <v/>
      </c>
      <c r="EK19" s="29" t="str">
        <f t="shared" si="13"/>
        <v/>
      </c>
      <c r="EL19" s="29" t="str">
        <f t="shared" si="13"/>
        <v/>
      </c>
      <c r="EM19" s="29" t="str">
        <f t="shared" si="13"/>
        <v/>
      </c>
      <c r="EN19" s="29" t="str">
        <f t="shared" si="13"/>
        <v/>
      </c>
      <c r="EO19" s="29" t="str">
        <f t="shared" si="13"/>
        <v/>
      </c>
      <c r="EP19" s="29" t="str">
        <f t="shared" si="13"/>
        <v/>
      </c>
      <c r="EQ19" s="29" t="str">
        <f t="shared" si="13"/>
        <v/>
      </c>
      <c r="ER19" s="29" t="str">
        <f t="shared" si="13"/>
        <v/>
      </c>
      <c r="ES19" s="29" t="str">
        <f t="shared" si="13"/>
        <v/>
      </c>
      <c r="ET19" s="29" t="str">
        <f t="shared" si="13"/>
        <v/>
      </c>
    </row>
    <row r="20" spans="1:150" x14ac:dyDescent="0.2">
      <c r="A20" s="103" t="str">
        <f>TEXT('M&amp;V Tasks'!A21,"#")</f>
        <v>3</v>
      </c>
      <c r="B20" s="104" t="str">
        <f>TEXT('M&amp;V Tasks'!B21,"#")</f>
        <v>Review each ECM and decide on the appropriate M&amp;V option, and key measurement parameter(s)</v>
      </c>
      <c r="C20" s="103">
        <f>'M&amp;V Tasks'!I21</f>
        <v>0</v>
      </c>
      <c r="D20" s="27"/>
      <c r="E20" s="27"/>
      <c r="F20" s="29" t="str">
        <f t="shared" si="0"/>
        <v/>
      </c>
      <c r="G20" s="29" t="str">
        <f t="shared" si="0"/>
        <v/>
      </c>
      <c r="H20" s="29" t="str">
        <f t="shared" si="0"/>
        <v/>
      </c>
      <c r="I20" s="29" t="str">
        <f t="shared" si="0"/>
        <v/>
      </c>
      <c r="J20" s="29" t="str">
        <f t="shared" si="0"/>
        <v/>
      </c>
      <c r="K20" s="29" t="str">
        <f t="shared" si="0"/>
        <v/>
      </c>
      <c r="L20" s="29" t="str">
        <f t="shared" si="0"/>
        <v/>
      </c>
      <c r="M20" s="29" t="str">
        <f t="shared" si="0"/>
        <v/>
      </c>
      <c r="N20" s="29" t="str">
        <f t="shared" si="0"/>
        <v/>
      </c>
      <c r="O20" s="29" t="str">
        <f t="shared" si="0"/>
        <v/>
      </c>
      <c r="P20" s="29" t="str">
        <f t="shared" si="0"/>
        <v/>
      </c>
      <c r="Q20" s="29" t="str">
        <f t="shared" si="0"/>
        <v/>
      </c>
      <c r="R20" s="29" t="str">
        <f t="shared" si="0"/>
        <v/>
      </c>
      <c r="S20" s="29" t="str">
        <f t="shared" si="0"/>
        <v/>
      </c>
      <c r="T20" s="29" t="str">
        <f t="shared" si="0"/>
        <v/>
      </c>
      <c r="U20" s="29" t="str">
        <f t="shared" si="0"/>
        <v/>
      </c>
      <c r="V20" s="29" t="str">
        <f t="shared" si="6"/>
        <v/>
      </c>
      <c r="W20" s="29" t="str">
        <f t="shared" si="6"/>
        <v/>
      </c>
      <c r="X20" s="29" t="str">
        <f t="shared" si="6"/>
        <v/>
      </c>
      <c r="Y20" s="29" t="str">
        <f t="shared" si="6"/>
        <v/>
      </c>
      <c r="Z20" s="29" t="str">
        <f t="shared" si="6"/>
        <v/>
      </c>
      <c r="AA20" s="29" t="str">
        <f t="shared" si="6"/>
        <v/>
      </c>
      <c r="AB20" s="29" t="str">
        <f t="shared" si="6"/>
        <v/>
      </c>
      <c r="AC20" s="29" t="str">
        <f t="shared" si="6"/>
        <v/>
      </c>
      <c r="AD20" s="29" t="str">
        <f t="shared" si="6"/>
        <v/>
      </c>
      <c r="AE20" s="29" t="str">
        <f t="shared" si="6"/>
        <v/>
      </c>
      <c r="AF20" s="29" t="str">
        <f t="shared" si="6"/>
        <v/>
      </c>
      <c r="AG20" s="29" t="str">
        <f t="shared" si="6"/>
        <v/>
      </c>
      <c r="AH20" s="29" t="str">
        <f t="shared" si="6"/>
        <v/>
      </c>
      <c r="AI20" s="29" t="str">
        <f t="shared" si="6"/>
        <v/>
      </c>
      <c r="AJ20" s="29" t="str">
        <f t="shared" si="6"/>
        <v/>
      </c>
      <c r="AK20" s="29" t="str">
        <f t="shared" si="6"/>
        <v/>
      </c>
      <c r="AL20" s="29" t="str">
        <f t="shared" si="6"/>
        <v/>
      </c>
      <c r="AM20" s="29" t="str">
        <f t="shared" si="6"/>
        <v/>
      </c>
      <c r="AN20" s="29" t="str">
        <f t="shared" si="6"/>
        <v/>
      </c>
      <c r="AO20" s="29" t="str">
        <f t="shared" si="6"/>
        <v/>
      </c>
      <c r="AP20" s="29" t="str">
        <f t="shared" si="6"/>
        <v/>
      </c>
      <c r="AQ20" s="29" t="str">
        <f t="shared" si="6"/>
        <v/>
      </c>
      <c r="AR20" s="29" t="str">
        <f t="shared" si="6"/>
        <v/>
      </c>
      <c r="AS20" s="29" t="str">
        <f t="shared" si="6"/>
        <v/>
      </c>
      <c r="AT20" s="29" t="str">
        <f t="shared" si="6"/>
        <v/>
      </c>
      <c r="AU20" s="29" t="str">
        <f t="shared" si="6"/>
        <v/>
      </c>
      <c r="AV20" s="29" t="str">
        <f t="shared" si="6"/>
        <v/>
      </c>
      <c r="AW20" s="29" t="str">
        <f t="shared" si="6"/>
        <v/>
      </c>
      <c r="AX20" s="29" t="str">
        <f t="shared" si="6"/>
        <v/>
      </c>
      <c r="AY20" s="29" t="str">
        <f t="shared" si="6"/>
        <v/>
      </c>
      <c r="AZ20" s="29" t="str">
        <f t="shared" si="6"/>
        <v/>
      </c>
      <c r="BA20" s="29" t="str">
        <f t="shared" si="6"/>
        <v/>
      </c>
      <c r="BB20" s="29" t="str">
        <f t="shared" si="7"/>
        <v/>
      </c>
      <c r="BC20" s="29" t="str">
        <f t="shared" si="7"/>
        <v/>
      </c>
      <c r="BD20" s="29" t="str">
        <f t="shared" si="7"/>
        <v/>
      </c>
      <c r="BE20" s="29" t="str">
        <f t="shared" si="7"/>
        <v/>
      </c>
      <c r="BF20" s="29" t="str">
        <f t="shared" si="7"/>
        <v/>
      </c>
      <c r="BG20" s="29" t="str">
        <f t="shared" si="7"/>
        <v/>
      </c>
      <c r="BH20" s="29" t="str">
        <f t="shared" si="7"/>
        <v/>
      </c>
      <c r="BI20" s="29" t="str">
        <f t="shared" si="7"/>
        <v/>
      </c>
      <c r="BJ20" s="29" t="str">
        <f t="shared" si="7"/>
        <v/>
      </c>
      <c r="BK20" s="29" t="str">
        <f t="shared" si="7"/>
        <v/>
      </c>
      <c r="BL20" s="29" t="str">
        <f t="shared" si="7"/>
        <v/>
      </c>
      <c r="BM20" s="29" t="str">
        <f t="shared" si="7"/>
        <v/>
      </c>
      <c r="BN20" s="29" t="str">
        <f t="shared" si="7"/>
        <v/>
      </c>
      <c r="BO20" s="29" t="str">
        <f t="shared" si="7"/>
        <v/>
      </c>
      <c r="BP20" s="29" t="str">
        <f t="shared" si="7"/>
        <v/>
      </c>
      <c r="BQ20" s="29" t="str">
        <f t="shared" si="7"/>
        <v/>
      </c>
      <c r="BR20" s="29" t="str">
        <f t="shared" si="7"/>
        <v/>
      </c>
      <c r="BS20" s="29" t="str">
        <f t="shared" si="7"/>
        <v/>
      </c>
      <c r="BT20" s="29" t="str">
        <f t="shared" si="7"/>
        <v/>
      </c>
      <c r="BU20" s="29" t="str">
        <f t="shared" si="7"/>
        <v/>
      </c>
      <c r="BV20" s="29" t="str">
        <f t="shared" si="7"/>
        <v/>
      </c>
      <c r="BW20" s="29" t="str">
        <f t="shared" si="7"/>
        <v/>
      </c>
      <c r="BX20" s="29" t="str">
        <f t="shared" si="11"/>
        <v/>
      </c>
      <c r="BY20" s="29" t="str">
        <f t="shared" si="11"/>
        <v/>
      </c>
      <c r="BZ20" s="29" t="str">
        <f t="shared" si="11"/>
        <v/>
      </c>
      <c r="CA20" s="29" t="str">
        <f t="shared" si="11"/>
        <v/>
      </c>
      <c r="CB20" s="29" t="str">
        <f t="shared" si="11"/>
        <v/>
      </c>
      <c r="CC20" s="29" t="str">
        <f t="shared" si="11"/>
        <v/>
      </c>
      <c r="CD20" s="29" t="str">
        <f t="shared" si="11"/>
        <v/>
      </c>
      <c r="CE20" s="29" t="str">
        <f t="shared" si="11"/>
        <v/>
      </c>
      <c r="CF20" s="29" t="str">
        <f t="shared" si="11"/>
        <v/>
      </c>
      <c r="CG20" s="29" t="str">
        <f t="shared" si="11"/>
        <v/>
      </c>
      <c r="CH20" s="29" t="str">
        <f t="shared" si="11"/>
        <v/>
      </c>
      <c r="CI20" s="29" t="str">
        <f t="shared" si="11"/>
        <v/>
      </c>
      <c r="CJ20" s="29" t="str">
        <f t="shared" si="11"/>
        <v/>
      </c>
      <c r="CK20" s="29" t="str">
        <f t="shared" si="11"/>
        <v/>
      </c>
      <c r="CL20" s="29" t="str">
        <f t="shared" si="11"/>
        <v/>
      </c>
      <c r="CM20" s="29" t="str">
        <f t="shared" si="11"/>
        <v/>
      </c>
      <c r="CN20" s="29" t="str">
        <f t="shared" si="11"/>
        <v/>
      </c>
      <c r="CO20" s="29" t="str">
        <f t="shared" si="11"/>
        <v/>
      </c>
      <c r="CP20" s="29" t="str">
        <f t="shared" si="11"/>
        <v/>
      </c>
      <c r="CQ20" s="29" t="str">
        <f t="shared" si="11"/>
        <v/>
      </c>
      <c r="CR20" s="29" t="str">
        <f t="shared" si="11"/>
        <v/>
      </c>
      <c r="CS20" s="29" t="str">
        <f t="shared" si="11"/>
        <v/>
      </c>
      <c r="CT20" s="29" t="str">
        <f t="shared" si="11"/>
        <v/>
      </c>
      <c r="CU20" s="29" t="str">
        <f t="shared" si="11"/>
        <v/>
      </c>
      <c r="CV20" s="29" t="str">
        <f t="shared" si="11"/>
        <v/>
      </c>
      <c r="CW20" s="29" t="str">
        <f t="shared" si="12"/>
        <v/>
      </c>
      <c r="CX20" s="29" t="str">
        <f t="shared" si="12"/>
        <v/>
      </c>
      <c r="CY20" s="29" t="str">
        <f t="shared" si="12"/>
        <v/>
      </c>
      <c r="CZ20" s="29" t="str">
        <f t="shared" si="12"/>
        <v/>
      </c>
      <c r="DA20" s="29" t="str">
        <f t="shared" si="12"/>
        <v/>
      </c>
      <c r="DB20" s="29" t="str">
        <f t="shared" si="12"/>
        <v/>
      </c>
      <c r="DC20" s="29" t="str">
        <f t="shared" si="12"/>
        <v/>
      </c>
      <c r="DD20" s="29" t="str">
        <f t="shared" si="12"/>
        <v/>
      </c>
      <c r="DE20" s="29" t="str">
        <f t="shared" si="12"/>
        <v/>
      </c>
      <c r="DF20" s="29" t="str">
        <f t="shared" si="12"/>
        <v/>
      </c>
      <c r="DG20" s="29" t="str">
        <f t="shared" si="12"/>
        <v/>
      </c>
      <c r="DH20" s="29" t="str">
        <f t="shared" si="12"/>
        <v/>
      </c>
      <c r="DI20" s="29" t="str">
        <f t="shared" si="12"/>
        <v/>
      </c>
      <c r="DJ20" s="29" t="str">
        <f t="shared" si="12"/>
        <v/>
      </c>
      <c r="DK20" s="29" t="str">
        <f t="shared" si="12"/>
        <v/>
      </c>
      <c r="DL20" s="29" t="str">
        <f t="shared" si="12"/>
        <v/>
      </c>
      <c r="DM20" s="29" t="str">
        <f t="shared" si="12"/>
        <v/>
      </c>
      <c r="DN20" s="29" t="str">
        <f t="shared" si="12"/>
        <v/>
      </c>
      <c r="DO20" s="29" t="str">
        <f t="shared" si="12"/>
        <v/>
      </c>
      <c r="DP20" s="29" t="str">
        <f t="shared" si="12"/>
        <v/>
      </c>
      <c r="DQ20" s="29" t="str">
        <f t="shared" si="12"/>
        <v/>
      </c>
      <c r="DR20" s="29" t="str">
        <f t="shared" si="12"/>
        <v/>
      </c>
      <c r="DS20" s="29" t="str">
        <f t="shared" si="12"/>
        <v/>
      </c>
      <c r="DT20" s="29" t="str">
        <f t="shared" si="12"/>
        <v/>
      </c>
      <c r="DU20" s="29" t="str">
        <f t="shared" si="12"/>
        <v/>
      </c>
      <c r="DV20" s="29" t="str">
        <f t="shared" si="13"/>
        <v/>
      </c>
      <c r="DW20" s="29" t="str">
        <f t="shared" si="13"/>
        <v/>
      </c>
      <c r="DX20" s="29" t="str">
        <f t="shared" si="13"/>
        <v/>
      </c>
      <c r="DY20" s="29" t="str">
        <f t="shared" si="13"/>
        <v/>
      </c>
      <c r="DZ20" s="29" t="str">
        <f t="shared" si="13"/>
        <v/>
      </c>
      <c r="EA20" s="29" t="str">
        <f t="shared" si="13"/>
        <v/>
      </c>
      <c r="EB20" s="29" t="str">
        <f t="shared" si="13"/>
        <v/>
      </c>
      <c r="EC20" s="29" t="str">
        <f t="shared" si="13"/>
        <v/>
      </c>
      <c r="ED20" s="29" t="str">
        <f t="shared" si="13"/>
        <v/>
      </c>
      <c r="EE20" s="29" t="str">
        <f t="shared" si="13"/>
        <v/>
      </c>
      <c r="EF20" s="29" t="str">
        <f t="shared" si="13"/>
        <v/>
      </c>
      <c r="EG20" s="29" t="str">
        <f t="shared" si="13"/>
        <v/>
      </c>
      <c r="EH20" s="29" t="str">
        <f t="shared" si="13"/>
        <v/>
      </c>
      <c r="EI20" s="29" t="str">
        <f t="shared" si="13"/>
        <v/>
      </c>
      <c r="EJ20" s="29" t="str">
        <f t="shared" si="13"/>
        <v/>
      </c>
      <c r="EK20" s="29" t="str">
        <f t="shared" si="13"/>
        <v/>
      </c>
      <c r="EL20" s="29" t="str">
        <f t="shared" si="13"/>
        <v/>
      </c>
      <c r="EM20" s="29" t="str">
        <f t="shared" si="13"/>
        <v/>
      </c>
      <c r="EN20" s="29" t="str">
        <f t="shared" si="13"/>
        <v/>
      </c>
      <c r="EO20" s="29" t="str">
        <f t="shared" si="13"/>
        <v/>
      </c>
      <c r="EP20" s="29" t="str">
        <f t="shared" si="13"/>
        <v/>
      </c>
      <c r="EQ20" s="29" t="str">
        <f t="shared" si="13"/>
        <v/>
      </c>
      <c r="ER20" s="29" t="str">
        <f t="shared" si="13"/>
        <v/>
      </c>
      <c r="ES20" s="29" t="str">
        <f t="shared" si="13"/>
        <v/>
      </c>
      <c r="ET20" s="29" t="str">
        <f t="shared" si="13"/>
        <v/>
      </c>
    </row>
    <row r="21" spans="1:150" x14ac:dyDescent="0.2">
      <c r="A21" s="103" t="str">
        <f>TEXT('M&amp;V Tasks'!A22,"#")</f>
        <v>4</v>
      </c>
      <c r="B21" s="104" t="str">
        <f>TEXT('M&amp;V Tasks'!B22,"#")</f>
        <v>Finalise M&amp;V budget and timing</v>
      </c>
      <c r="C21" s="103">
        <f>'M&amp;V Tasks'!I22</f>
        <v>0</v>
      </c>
      <c r="D21" s="27"/>
      <c r="E21" s="27"/>
      <c r="F21" s="29" t="str">
        <f t="shared" si="0"/>
        <v/>
      </c>
      <c r="G21" s="29" t="str">
        <f t="shared" si="0"/>
        <v/>
      </c>
      <c r="H21" s="29" t="str">
        <f t="shared" si="0"/>
        <v/>
      </c>
      <c r="I21" s="29" t="str">
        <f t="shared" si="0"/>
        <v/>
      </c>
      <c r="J21" s="29" t="str">
        <f t="shared" si="0"/>
        <v/>
      </c>
      <c r="K21" s="29" t="str">
        <f t="shared" si="0"/>
        <v/>
      </c>
      <c r="L21" s="29" t="str">
        <f t="shared" si="0"/>
        <v/>
      </c>
      <c r="M21" s="29" t="str">
        <f t="shared" si="0"/>
        <v/>
      </c>
      <c r="N21" s="29" t="str">
        <f t="shared" si="0"/>
        <v/>
      </c>
      <c r="O21" s="29" t="str">
        <f t="shared" si="0"/>
        <v/>
      </c>
      <c r="P21" s="29" t="str">
        <f t="shared" si="0"/>
        <v/>
      </c>
      <c r="Q21" s="29" t="str">
        <f t="shared" si="0"/>
        <v/>
      </c>
      <c r="R21" s="29" t="str">
        <f t="shared" si="0"/>
        <v/>
      </c>
      <c r="S21" s="29" t="str">
        <f t="shared" si="0"/>
        <v/>
      </c>
      <c r="T21" s="29" t="str">
        <f t="shared" si="0"/>
        <v/>
      </c>
      <c r="U21" s="29" t="str">
        <f t="shared" si="0"/>
        <v/>
      </c>
      <c r="V21" s="29" t="str">
        <f t="shared" ref="V21:BR22" si="14">IF(AND(V$9&gt;=$D21,V$9&lt;=$E21),1,"")</f>
        <v/>
      </c>
      <c r="W21" s="29" t="str">
        <f t="shared" si="14"/>
        <v/>
      </c>
      <c r="X21" s="29" t="str">
        <f t="shared" si="14"/>
        <v/>
      </c>
      <c r="Y21" s="29" t="str">
        <f t="shared" si="14"/>
        <v/>
      </c>
      <c r="Z21" s="29" t="str">
        <f t="shared" si="14"/>
        <v/>
      </c>
      <c r="AA21" s="29" t="str">
        <f t="shared" si="14"/>
        <v/>
      </c>
      <c r="AB21" s="29" t="str">
        <f t="shared" si="14"/>
        <v/>
      </c>
      <c r="AC21" s="29" t="str">
        <f t="shared" si="14"/>
        <v/>
      </c>
      <c r="AD21" s="29" t="str">
        <f t="shared" si="14"/>
        <v/>
      </c>
      <c r="AE21" s="29" t="str">
        <f t="shared" si="14"/>
        <v/>
      </c>
      <c r="AF21" s="29" t="str">
        <f t="shared" si="14"/>
        <v/>
      </c>
      <c r="AG21" s="29" t="str">
        <f t="shared" si="14"/>
        <v/>
      </c>
      <c r="AH21" s="29" t="str">
        <f t="shared" si="14"/>
        <v/>
      </c>
      <c r="AI21" s="29" t="str">
        <f t="shared" si="14"/>
        <v/>
      </c>
      <c r="AJ21" s="29" t="str">
        <f t="shared" si="14"/>
        <v/>
      </c>
      <c r="AK21" s="29" t="str">
        <f t="shared" si="14"/>
        <v/>
      </c>
      <c r="AL21" s="29" t="str">
        <f t="shared" si="14"/>
        <v/>
      </c>
      <c r="AM21" s="29" t="str">
        <f t="shared" si="14"/>
        <v/>
      </c>
      <c r="AN21" s="29" t="str">
        <f t="shared" si="14"/>
        <v/>
      </c>
      <c r="AO21" s="29" t="str">
        <f t="shared" si="14"/>
        <v/>
      </c>
      <c r="AP21" s="29" t="str">
        <f t="shared" si="14"/>
        <v/>
      </c>
      <c r="AQ21" s="29" t="str">
        <f t="shared" si="14"/>
        <v/>
      </c>
      <c r="AR21" s="29" t="str">
        <f t="shared" si="14"/>
        <v/>
      </c>
      <c r="AS21" s="29" t="str">
        <f t="shared" si="14"/>
        <v/>
      </c>
      <c r="AT21" s="29" t="str">
        <f t="shared" si="14"/>
        <v/>
      </c>
      <c r="AU21" s="29" t="str">
        <f t="shared" si="14"/>
        <v/>
      </c>
      <c r="AV21" s="29" t="str">
        <f t="shared" si="14"/>
        <v/>
      </c>
      <c r="AW21" s="29" t="str">
        <f t="shared" si="14"/>
        <v/>
      </c>
      <c r="AX21" s="29" t="str">
        <f t="shared" si="14"/>
        <v/>
      </c>
      <c r="AY21" s="29" t="str">
        <f t="shared" si="14"/>
        <v/>
      </c>
      <c r="AZ21" s="29" t="str">
        <f t="shared" si="14"/>
        <v/>
      </c>
      <c r="BA21" s="29" t="str">
        <f t="shared" si="14"/>
        <v/>
      </c>
      <c r="BB21" s="29" t="str">
        <f t="shared" si="14"/>
        <v/>
      </c>
      <c r="BC21" s="29" t="str">
        <f t="shared" si="14"/>
        <v/>
      </c>
      <c r="BD21" s="29" t="str">
        <f t="shared" si="14"/>
        <v/>
      </c>
      <c r="BE21" s="29" t="str">
        <f t="shared" si="14"/>
        <v/>
      </c>
      <c r="BF21" s="29" t="str">
        <f t="shared" si="14"/>
        <v/>
      </c>
      <c r="BG21" s="29" t="str">
        <f t="shared" si="14"/>
        <v/>
      </c>
      <c r="BH21" s="29" t="str">
        <f t="shared" si="14"/>
        <v/>
      </c>
      <c r="BI21" s="29" t="str">
        <f t="shared" si="14"/>
        <v/>
      </c>
      <c r="BJ21" s="29" t="str">
        <f t="shared" si="14"/>
        <v/>
      </c>
      <c r="BK21" s="29" t="str">
        <f t="shared" si="14"/>
        <v/>
      </c>
      <c r="BL21" s="29" t="str">
        <f t="shared" si="14"/>
        <v/>
      </c>
      <c r="BM21" s="29" t="str">
        <f t="shared" si="14"/>
        <v/>
      </c>
      <c r="BN21" s="29" t="str">
        <f t="shared" si="14"/>
        <v/>
      </c>
      <c r="BO21" s="29" t="str">
        <f t="shared" si="14"/>
        <v/>
      </c>
      <c r="BP21" s="29" t="str">
        <f t="shared" si="14"/>
        <v/>
      </c>
      <c r="BQ21" s="29" t="str">
        <f t="shared" si="14"/>
        <v/>
      </c>
      <c r="BR21" s="29" t="str">
        <f t="shared" si="7"/>
        <v/>
      </c>
      <c r="BS21" s="29" t="str">
        <f t="shared" si="7"/>
        <v/>
      </c>
      <c r="BT21" s="29" t="str">
        <f t="shared" si="7"/>
        <v/>
      </c>
      <c r="BU21" s="29" t="str">
        <f t="shared" si="7"/>
        <v/>
      </c>
      <c r="BV21" s="29" t="str">
        <f t="shared" si="7"/>
        <v/>
      </c>
      <c r="BW21" s="29" t="str">
        <f t="shared" si="7"/>
        <v/>
      </c>
      <c r="BX21" s="29" t="str">
        <f t="shared" si="11"/>
        <v/>
      </c>
      <c r="BY21" s="29" t="str">
        <f t="shared" si="11"/>
        <v/>
      </c>
      <c r="BZ21" s="29" t="str">
        <f t="shared" si="11"/>
        <v/>
      </c>
      <c r="CA21" s="29" t="str">
        <f t="shared" si="11"/>
        <v/>
      </c>
      <c r="CB21" s="29" t="str">
        <f t="shared" si="11"/>
        <v/>
      </c>
      <c r="CC21" s="29" t="str">
        <f t="shared" si="11"/>
        <v/>
      </c>
      <c r="CD21" s="29" t="str">
        <f t="shared" si="11"/>
        <v/>
      </c>
      <c r="CE21" s="29" t="str">
        <f t="shared" si="11"/>
        <v/>
      </c>
      <c r="CF21" s="29" t="str">
        <f t="shared" si="11"/>
        <v/>
      </c>
      <c r="CG21" s="29" t="str">
        <f t="shared" si="11"/>
        <v/>
      </c>
      <c r="CH21" s="29" t="str">
        <f t="shared" si="11"/>
        <v/>
      </c>
      <c r="CI21" s="29" t="str">
        <f t="shared" si="11"/>
        <v/>
      </c>
      <c r="CJ21" s="29" t="str">
        <f t="shared" si="11"/>
        <v/>
      </c>
      <c r="CK21" s="29" t="str">
        <f t="shared" si="11"/>
        <v/>
      </c>
      <c r="CL21" s="29" t="str">
        <f t="shared" si="11"/>
        <v/>
      </c>
      <c r="CM21" s="29" t="str">
        <f t="shared" si="11"/>
        <v/>
      </c>
      <c r="CN21" s="29" t="str">
        <f t="shared" si="11"/>
        <v/>
      </c>
      <c r="CO21" s="29" t="str">
        <f t="shared" si="11"/>
        <v/>
      </c>
      <c r="CP21" s="29" t="str">
        <f t="shared" si="11"/>
        <v/>
      </c>
      <c r="CQ21" s="29" t="str">
        <f t="shared" si="11"/>
        <v/>
      </c>
      <c r="CR21" s="29" t="str">
        <f t="shared" si="11"/>
        <v/>
      </c>
      <c r="CS21" s="29" t="str">
        <f t="shared" si="11"/>
        <v/>
      </c>
      <c r="CT21" s="29" t="str">
        <f t="shared" si="11"/>
        <v/>
      </c>
      <c r="CU21" s="29" t="str">
        <f t="shared" si="11"/>
        <v/>
      </c>
      <c r="CV21" s="29" t="str">
        <f t="shared" si="11"/>
        <v/>
      </c>
      <c r="CW21" s="29" t="str">
        <f t="shared" si="12"/>
        <v/>
      </c>
      <c r="CX21" s="29" t="str">
        <f t="shared" si="12"/>
        <v/>
      </c>
      <c r="CY21" s="29" t="str">
        <f t="shared" si="12"/>
        <v/>
      </c>
      <c r="CZ21" s="29" t="str">
        <f t="shared" si="12"/>
        <v/>
      </c>
      <c r="DA21" s="29" t="str">
        <f t="shared" si="12"/>
        <v/>
      </c>
      <c r="DB21" s="29" t="str">
        <f t="shared" si="12"/>
        <v/>
      </c>
      <c r="DC21" s="29" t="str">
        <f t="shared" si="12"/>
        <v/>
      </c>
      <c r="DD21" s="29" t="str">
        <f t="shared" si="12"/>
        <v/>
      </c>
      <c r="DE21" s="29" t="str">
        <f t="shared" si="12"/>
        <v/>
      </c>
      <c r="DF21" s="29" t="str">
        <f t="shared" si="12"/>
        <v/>
      </c>
      <c r="DG21" s="29" t="str">
        <f t="shared" si="12"/>
        <v/>
      </c>
      <c r="DH21" s="29" t="str">
        <f t="shared" si="12"/>
        <v/>
      </c>
      <c r="DI21" s="29" t="str">
        <f t="shared" si="12"/>
        <v/>
      </c>
      <c r="DJ21" s="29" t="str">
        <f t="shared" si="12"/>
        <v/>
      </c>
      <c r="DK21" s="29" t="str">
        <f t="shared" si="12"/>
        <v/>
      </c>
      <c r="DL21" s="29" t="str">
        <f t="shared" si="12"/>
        <v/>
      </c>
      <c r="DM21" s="29" t="str">
        <f t="shared" si="12"/>
        <v/>
      </c>
      <c r="DN21" s="29" t="str">
        <f t="shared" si="12"/>
        <v/>
      </c>
      <c r="DO21" s="29" t="str">
        <f t="shared" si="12"/>
        <v/>
      </c>
      <c r="DP21" s="29" t="str">
        <f t="shared" si="12"/>
        <v/>
      </c>
      <c r="DQ21" s="29" t="str">
        <f t="shared" si="12"/>
        <v/>
      </c>
      <c r="DR21" s="29" t="str">
        <f t="shared" si="12"/>
        <v/>
      </c>
      <c r="DS21" s="29" t="str">
        <f t="shared" si="12"/>
        <v/>
      </c>
      <c r="DT21" s="29" t="str">
        <f t="shared" si="12"/>
        <v/>
      </c>
      <c r="DU21" s="29" t="str">
        <f t="shared" si="12"/>
        <v/>
      </c>
      <c r="DV21" s="29" t="str">
        <f t="shared" si="13"/>
        <v/>
      </c>
      <c r="DW21" s="29" t="str">
        <f t="shared" si="13"/>
        <v/>
      </c>
      <c r="DX21" s="29" t="str">
        <f t="shared" si="13"/>
        <v/>
      </c>
      <c r="DY21" s="29" t="str">
        <f t="shared" si="13"/>
        <v/>
      </c>
      <c r="DZ21" s="29" t="str">
        <f t="shared" si="13"/>
        <v/>
      </c>
      <c r="EA21" s="29" t="str">
        <f t="shared" si="13"/>
        <v/>
      </c>
      <c r="EB21" s="29" t="str">
        <f t="shared" si="13"/>
        <v/>
      </c>
      <c r="EC21" s="29" t="str">
        <f t="shared" si="13"/>
        <v/>
      </c>
      <c r="ED21" s="29" t="str">
        <f t="shared" si="13"/>
        <v/>
      </c>
      <c r="EE21" s="29" t="str">
        <f t="shared" si="13"/>
        <v/>
      </c>
      <c r="EF21" s="29" t="str">
        <f t="shared" si="13"/>
        <v/>
      </c>
      <c r="EG21" s="29" t="str">
        <f t="shared" si="13"/>
        <v/>
      </c>
      <c r="EH21" s="29" t="str">
        <f t="shared" si="13"/>
        <v/>
      </c>
      <c r="EI21" s="29" t="str">
        <f t="shared" si="13"/>
        <v/>
      </c>
      <c r="EJ21" s="29" t="str">
        <f t="shared" si="13"/>
        <v/>
      </c>
      <c r="EK21" s="29" t="str">
        <f t="shared" si="13"/>
        <v/>
      </c>
      <c r="EL21" s="29" t="str">
        <f t="shared" si="13"/>
        <v/>
      </c>
      <c r="EM21" s="29" t="str">
        <f t="shared" si="13"/>
        <v/>
      </c>
      <c r="EN21" s="29" t="str">
        <f t="shared" si="13"/>
        <v/>
      </c>
      <c r="EO21" s="29" t="str">
        <f t="shared" si="13"/>
        <v/>
      </c>
      <c r="EP21" s="29" t="str">
        <f t="shared" si="13"/>
        <v/>
      </c>
      <c r="EQ21" s="29" t="str">
        <f t="shared" si="13"/>
        <v/>
      </c>
      <c r="ER21" s="29" t="str">
        <f t="shared" si="13"/>
        <v/>
      </c>
      <c r="ES21" s="29" t="str">
        <f t="shared" si="13"/>
        <v/>
      </c>
      <c r="ET21" s="29" t="str">
        <f t="shared" si="13"/>
        <v/>
      </c>
    </row>
    <row r="22" spans="1:150" x14ac:dyDescent="0.2">
      <c r="A22" s="103" t="str">
        <f>TEXT('M&amp;V Tasks'!A23,"#")</f>
        <v>5</v>
      </c>
      <c r="B22" s="104" t="str">
        <f>TEXT('M&amp;V Tasks'!B23,"#")</f>
        <v>Document agreed approach using standard M&amp;V Plan proforma</v>
      </c>
      <c r="C22" s="103">
        <f>'M&amp;V Tasks'!I23</f>
        <v>0</v>
      </c>
      <c r="D22" s="27"/>
      <c r="E22" s="27"/>
      <c r="F22" s="29" t="str">
        <f t="shared" si="0"/>
        <v/>
      </c>
      <c r="G22" s="29" t="str">
        <f t="shared" si="0"/>
        <v/>
      </c>
      <c r="H22" s="29" t="str">
        <f t="shared" si="0"/>
        <v/>
      </c>
      <c r="I22" s="29" t="str">
        <f t="shared" si="0"/>
        <v/>
      </c>
      <c r="J22" s="29" t="str">
        <f t="shared" si="0"/>
        <v/>
      </c>
      <c r="K22" s="29" t="str">
        <f t="shared" si="0"/>
        <v/>
      </c>
      <c r="L22" s="29" t="str">
        <f t="shared" si="0"/>
        <v/>
      </c>
      <c r="M22" s="29" t="str">
        <f t="shared" si="0"/>
        <v/>
      </c>
      <c r="N22" s="29" t="str">
        <f t="shared" si="0"/>
        <v/>
      </c>
      <c r="O22" s="29" t="str">
        <f t="shared" si="0"/>
        <v/>
      </c>
      <c r="P22" s="29" t="str">
        <f t="shared" si="0"/>
        <v/>
      </c>
      <c r="Q22" s="29" t="str">
        <f t="shared" si="0"/>
        <v/>
      </c>
      <c r="R22" s="29" t="str">
        <f t="shared" si="0"/>
        <v/>
      </c>
      <c r="S22" s="29" t="str">
        <f t="shared" si="0"/>
        <v/>
      </c>
      <c r="T22" s="29" t="str">
        <f t="shared" si="0"/>
        <v/>
      </c>
      <c r="U22" s="29" t="str">
        <f t="shared" si="0"/>
        <v/>
      </c>
      <c r="V22" s="29" t="str">
        <f t="shared" si="14"/>
        <v/>
      </c>
      <c r="W22" s="29" t="str">
        <f t="shared" si="14"/>
        <v/>
      </c>
      <c r="X22" s="29" t="str">
        <f t="shared" si="14"/>
        <v/>
      </c>
      <c r="Y22" s="29" t="str">
        <f t="shared" si="14"/>
        <v/>
      </c>
      <c r="Z22" s="29" t="str">
        <f t="shared" si="14"/>
        <v/>
      </c>
      <c r="AA22" s="29" t="str">
        <f t="shared" si="14"/>
        <v/>
      </c>
      <c r="AB22" s="29" t="str">
        <f t="shared" si="14"/>
        <v/>
      </c>
      <c r="AC22" s="29" t="str">
        <f t="shared" si="14"/>
        <v/>
      </c>
      <c r="AD22" s="29" t="str">
        <f t="shared" si="14"/>
        <v/>
      </c>
      <c r="AE22" s="29" t="str">
        <f t="shared" si="14"/>
        <v/>
      </c>
      <c r="AF22" s="29" t="str">
        <f t="shared" si="14"/>
        <v/>
      </c>
      <c r="AG22" s="29" t="str">
        <f t="shared" si="14"/>
        <v/>
      </c>
      <c r="AH22" s="29" t="str">
        <f t="shared" si="14"/>
        <v/>
      </c>
      <c r="AI22" s="29" t="str">
        <f t="shared" si="14"/>
        <v/>
      </c>
      <c r="AJ22" s="29" t="str">
        <f t="shared" si="14"/>
        <v/>
      </c>
      <c r="AK22" s="29" t="str">
        <f t="shared" si="14"/>
        <v/>
      </c>
      <c r="AL22" s="29" t="str">
        <f t="shared" si="14"/>
        <v/>
      </c>
      <c r="AM22" s="29" t="str">
        <f t="shared" si="14"/>
        <v/>
      </c>
      <c r="AN22" s="29" t="str">
        <f t="shared" si="14"/>
        <v/>
      </c>
      <c r="AO22" s="29" t="str">
        <f t="shared" si="14"/>
        <v/>
      </c>
      <c r="AP22" s="29" t="str">
        <f t="shared" si="14"/>
        <v/>
      </c>
      <c r="AQ22" s="29" t="str">
        <f t="shared" si="14"/>
        <v/>
      </c>
      <c r="AR22" s="29" t="str">
        <f t="shared" si="14"/>
        <v/>
      </c>
      <c r="AS22" s="29" t="str">
        <f t="shared" si="14"/>
        <v/>
      </c>
      <c r="AT22" s="29" t="str">
        <f t="shared" si="14"/>
        <v/>
      </c>
      <c r="AU22" s="29" t="str">
        <f t="shared" si="14"/>
        <v/>
      </c>
      <c r="AV22" s="29" t="str">
        <f t="shared" si="14"/>
        <v/>
      </c>
      <c r="AW22" s="29" t="str">
        <f t="shared" si="14"/>
        <v/>
      </c>
      <c r="AX22" s="29" t="str">
        <f t="shared" si="14"/>
        <v/>
      </c>
      <c r="AY22" s="29" t="str">
        <f t="shared" si="14"/>
        <v/>
      </c>
      <c r="AZ22" s="29" t="str">
        <f t="shared" si="14"/>
        <v/>
      </c>
      <c r="BA22" s="29" t="str">
        <f t="shared" si="14"/>
        <v/>
      </c>
      <c r="BB22" s="29" t="str">
        <f t="shared" si="14"/>
        <v/>
      </c>
      <c r="BC22" s="29" t="str">
        <f t="shared" si="14"/>
        <v/>
      </c>
      <c r="BD22" s="29" t="str">
        <f t="shared" si="14"/>
        <v/>
      </c>
      <c r="BE22" s="29" t="str">
        <f t="shared" si="14"/>
        <v/>
      </c>
      <c r="BF22" s="29" t="str">
        <f t="shared" si="14"/>
        <v/>
      </c>
      <c r="BG22" s="29" t="str">
        <f t="shared" si="14"/>
        <v/>
      </c>
      <c r="BH22" s="29" t="str">
        <f t="shared" si="14"/>
        <v/>
      </c>
      <c r="BI22" s="29" t="str">
        <f t="shared" si="14"/>
        <v/>
      </c>
      <c r="BJ22" s="29" t="str">
        <f t="shared" si="14"/>
        <v/>
      </c>
      <c r="BK22" s="29" t="str">
        <f t="shared" si="14"/>
        <v/>
      </c>
      <c r="BL22" s="29" t="str">
        <f t="shared" si="14"/>
        <v/>
      </c>
      <c r="BM22" s="29" t="str">
        <f t="shared" si="14"/>
        <v/>
      </c>
      <c r="BN22" s="29" t="str">
        <f t="shared" si="14"/>
        <v/>
      </c>
      <c r="BO22" s="29" t="str">
        <f t="shared" si="14"/>
        <v/>
      </c>
      <c r="BP22" s="29" t="str">
        <f t="shared" si="14"/>
        <v/>
      </c>
      <c r="BQ22" s="29" t="str">
        <f t="shared" si="14"/>
        <v/>
      </c>
      <c r="BR22" s="29" t="str">
        <f t="shared" si="14"/>
        <v/>
      </c>
      <c r="BS22" s="29" t="str">
        <f t="shared" si="7"/>
        <v/>
      </c>
      <c r="BT22" s="29" t="str">
        <f t="shared" si="7"/>
        <v/>
      </c>
      <c r="BU22" s="29" t="str">
        <f t="shared" si="7"/>
        <v/>
      </c>
      <c r="BV22" s="29" t="str">
        <f t="shared" si="7"/>
        <v/>
      </c>
      <c r="BW22" s="29" t="str">
        <f t="shared" si="7"/>
        <v/>
      </c>
      <c r="BX22" s="29" t="str">
        <f t="shared" si="11"/>
        <v/>
      </c>
      <c r="BY22" s="29" t="str">
        <f t="shared" si="11"/>
        <v/>
      </c>
      <c r="BZ22" s="29" t="str">
        <f t="shared" si="11"/>
        <v/>
      </c>
      <c r="CA22" s="29" t="str">
        <f t="shared" si="11"/>
        <v/>
      </c>
      <c r="CB22" s="29" t="str">
        <f t="shared" si="11"/>
        <v/>
      </c>
      <c r="CC22" s="29" t="str">
        <f t="shared" si="11"/>
        <v/>
      </c>
      <c r="CD22" s="29" t="str">
        <f t="shared" si="11"/>
        <v/>
      </c>
      <c r="CE22" s="29" t="str">
        <f t="shared" si="11"/>
        <v/>
      </c>
      <c r="CF22" s="29" t="str">
        <f t="shared" si="11"/>
        <v/>
      </c>
      <c r="CG22" s="29" t="str">
        <f t="shared" si="11"/>
        <v/>
      </c>
      <c r="CH22" s="29" t="str">
        <f t="shared" si="11"/>
        <v/>
      </c>
      <c r="CI22" s="29" t="str">
        <f t="shared" si="11"/>
        <v/>
      </c>
      <c r="CJ22" s="29" t="str">
        <f t="shared" si="11"/>
        <v/>
      </c>
      <c r="CK22" s="29" t="str">
        <f t="shared" si="11"/>
        <v/>
      </c>
      <c r="CL22" s="29" t="str">
        <f t="shared" si="11"/>
        <v/>
      </c>
      <c r="CM22" s="29" t="str">
        <f t="shared" si="11"/>
        <v/>
      </c>
      <c r="CN22" s="29" t="str">
        <f t="shared" si="11"/>
        <v/>
      </c>
      <c r="CO22" s="29" t="str">
        <f t="shared" si="11"/>
        <v/>
      </c>
      <c r="CP22" s="29" t="str">
        <f t="shared" si="11"/>
        <v/>
      </c>
      <c r="CQ22" s="29" t="str">
        <f t="shared" si="11"/>
        <v/>
      </c>
      <c r="CR22" s="29" t="str">
        <f t="shared" si="11"/>
        <v/>
      </c>
      <c r="CS22" s="29" t="str">
        <f t="shared" si="11"/>
        <v/>
      </c>
      <c r="CT22" s="29" t="str">
        <f t="shared" si="11"/>
        <v/>
      </c>
      <c r="CU22" s="29" t="str">
        <f t="shared" si="11"/>
        <v/>
      </c>
      <c r="CV22" s="29" t="str">
        <f t="shared" si="11"/>
        <v/>
      </c>
      <c r="CW22" s="29" t="str">
        <f t="shared" si="12"/>
        <v/>
      </c>
      <c r="CX22" s="29" t="str">
        <f t="shared" si="12"/>
        <v/>
      </c>
      <c r="CY22" s="29" t="str">
        <f t="shared" si="12"/>
        <v/>
      </c>
      <c r="CZ22" s="29" t="str">
        <f t="shared" si="12"/>
        <v/>
      </c>
      <c r="DA22" s="29" t="str">
        <f t="shared" si="12"/>
        <v/>
      </c>
      <c r="DB22" s="29" t="str">
        <f t="shared" si="12"/>
        <v/>
      </c>
      <c r="DC22" s="29" t="str">
        <f t="shared" si="12"/>
        <v/>
      </c>
      <c r="DD22" s="29" t="str">
        <f t="shared" si="12"/>
        <v/>
      </c>
      <c r="DE22" s="29" t="str">
        <f t="shared" si="12"/>
        <v/>
      </c>
      <c r="DF22" s="29" t="str">
        <f t="shared" si="12"/>
        <v/>
      </c>
      <c r="DG22" s="29" t="str">
        <f t="shared" si="12"/>
        <v/>
      </c>
      <c r="DH22" s="29" t="str">
        <f t="shared" si="12"/>
        <v/>
      </c>
      <c r="DI22" s="29" t="str">
        <f t="shared" si="12"/>
        <v/>
      </c>
      <c r="DJ22" s="29" t="str">
        <f t="shared" si="12"/>
        <v/>
      </c>
      <c r="DK22" s="29" t="str">
        <f t="shared" si="12"/>
        <v/>
      </c>
      <c r="DL22" s="29" t="str">
        <f t="shared" si="12"/>
        <v/>
      </c>
      <c r="DM22" s="29" t="str">
        <f t="shared" si="12"/>
        <v/>
      </c>
      <c r="DN22" s="29" t="str">
        <f t="shared" si="12"/>
        <v/>
      </c>
      <c r="DO22" s="29" t="str">
        <f t="shared" si="12"/>
        <v/>
      </c>
      <c r="DP22" s="29" t="str">
        <f t="shared" si="12"/>
        <v/>
      </c>
      <c r="DQ22" s="29" t="str">
        <f t="shared" si="12"/>
        <v/>
      </c>
      <c r="DR22" s="29" t="str">
        <f t="shared" si="12"/>
        <v/>
      </c>
      <c r="DS22" s="29" t="str">
        <f t="shared" si="12"/>
        <v/>
      </c>
      <c r="DT22" s="29" t="str">
        <f t="shared" si="12"/>
        <v/>
      </c>
      <c r="DU22" s="29" t="str">
        <f t="shared" si="12"/>
        <v/>
      </c>
      <c r="DV22" s="29" t="str">
        <f t="shared" si="13"/>
        <v/>
      </c>
      <c r="DW22" s="29" t="str">
        <f t="shared" si="13"/>
        <v/>
      </c>
      <c r="DX22" s="29" t="str">
        <f t="shared" si="13"/>
        <v/>
      </c>
      <c r="DY22" s="29" t="str">
        <f t="shared" si="13"/>
        <v/>
      </c>
      <c r="DZ22" s="29" t="str">
        <f t="shared" si="13"/>
        <v/>
      </c>
      <c r="EA22" s="29" t="str">
        <f t="shared" si="13"/>
        <v/>
      </c>
      <c r="EB22" s="29" t="str">
        <f t="shared" si="13"/>
        <v/>
      </c>
      <c r="EC22" s="29" t="str">
        <f t="shared" si="13"/>
        <v/>
      </c>
      <c r="ED22" s="29" t="str">
        <f t="shared" si="13"/>
        <v/>
      </c>
      <c r="EE22" s="29" t="str">
        <f t="shared" si="13"/>
        <v/>
      </c>
      <c r="EF22" s="29" t="str">
        <f t="shared" si="13"/>
        <v/>
      </c>
      <c r="EG22" s="29" t="str">
        <f t="shared" si="13"/>
        <v/>
      </c>
      <c r="EH22" s="29" t="str">
        <f t="shared" si="13"/>
        <v/>
      </c>
      <c r="EI22" s="29" t="str">
        <f t="shared" si="13"/>
        <v/>
      </c>
      <c r="EJ22" s="29" t="str">
        <f t="shared" si="13"/>
        <v/>
      </c>
      <c r="EK22" s="29" t="str">
        <f t="shared" si="13"/>
        <v/>
      </c>
      <c r="EL22" s="29" t="str">
        <f t="shared" si="13"/>
        <v/>
      </c>
      <c r="EM22" s="29" t="str">
        <f t="shared" si="13"/>
        <v/>
      </c>
      <c r="EN22" s="29" t="str">
        <f t="shared" si="13"/>
        <v/>
      </c>
      <c r="EO22" s="29" t="str">
        <f t="shared" si="13"/>
        <v/>
      </c>
      <c r="EP22" s="29" t="str">
        <f t="shared" si="13"/>
        <v/>
      </c>
      <c r="EQ22" s="29" t="str">
        <f t="shared" si="13"/>
        <v/>
      </c>
      <c r="ER22" s="29" t="str">
        <f t="shared" si="13"/>
        <v/>
      </c>
      <c r="ES22" s="29" t="str">
        <f t="shared" si="13"/>
        <v/>
      </c>
      <c r="ET22" s="29" t="str">
        <f t="shared" si="13"/>
        <v/>
      </c>
    </row>
    <row r="23" spans="1:150" x14ac:dyDescent="0.2">
      <c r="A23" s="103" t="str">
        <f>TEXT('M&amp;V Tasks'!A24,"#")</f>
        <v>6</v>
      </c>
      <c r="B23" s="104" t="str">
        <f>TEXT('M&amp;V Tasks'!B24,"#")</f>
        <v/>
      </c>
      <c r="C23" s="103">
        <f>'M&amp;V Tasks'!I24</f>
        <v>0</v>
      </c>
      <c r="D23" s="26"/>
      <c r="E23" s="26"/>
      <c r="F23" s="29" t="str">
        <f t="shared" si="0"/>
        <v/>
      </c>
      <c r="G23" s="29" t="str">
        <f t="shared" si="0"/>
        <v/>
      </c>
      <c r="H23" s="29" t="str">
        <f t="shared" si="0"/>
        <v/>
      </c>
      <c r="I23" s="29" t="str">
        <f t="shared" si="0"/>
        <v/>
      </c>
      <c r="J23" s="29" t="str">
        <f t="shared" si="0"/>
        <v/>
      </c>
      <c r="K23" s="29" t="str">
        <f t="shared" si="0"/>
        <v/>
      </c>
      <c r="L23" s="29" t="str">
        <f t="shared" si="0"/>
        <v/>
      </c>
      <c r="M23" s="29" t="str">
        <f t="shared" si="0"/>
        <v/>
      </c>
      <c r="N23" s="29" t="str">
        <f t="shared" si="0"/>
        <v/>
      </c>
      <c r="O23" s="29" t="str">
        <f t="shared" si="0"/>
        <v/>
      </c>
      <c r="P23" s="29" t="str">
        <f t="shared" si="0"/>
        <v/>
      </c>
      <c r="Q23" s="29" t="str">
        <f t="shared" si="0"/>
        <v/>
      </c>
      <c r="R23" s="29" t="str">
        <f t="shared" si="0"/>
        <v/>
      </c>
      <c r="S23" s="29" t="str">
        <f t="shared" si="0"/>
        <v/>
      </c>
      <c r="T23" s="29" t="str">
        <f t="shared" si="0"/>
        <v/>
      </c>
      <c r="U23" s="29" t="str">
        <f t="shared" ref="U23:BW27" si="15">IF(AND(U$9&gt;=$D23,U$9&lt;=$E23),1,"")</f>
        <v/>
      </c>
      <c r="V23" s="29" t="str">
        <f t="shared" si="15"/>
        <v/>
      </c>
      <c r="W23" s="29" t="str">
        <f t="shared" si="15"/>
        <v/>
      </c>
      <c r="X23" s="29" t="str">
        <f t="shared" si="15"/>
        <v/>
      </c>
      <c r="Y23" s="29" t="str">
        <f t="shared" si="15"/>
        <v/>
      </c>
      <c r="Z23" s="29" t="str">
        <f t="shared" si="15"/>
        <v/>
      </c>
      <c r="AA23" s="29" t="str">
        <f t="shared" si="15"/>
        <v/>
      </c>
      <c r="AB23" s="29" t="str">
        <f t="shared" si="15"/>
        <v/>
      </c>
      <c r="AC23" s="29" t="str">
        <f t="shared" si="15"/>
        <v/>
      </c>
      <c r="AD23" s="29" t="str">
        <f t="shared" si="15"/>
        <v/>
      </c>
      <c r="AE23" s="29" t="str">
        <f t="shared" si="15"/>
        <v/>
      </c>
      <c r="AF23" s="29" t="str">
        <f t="shared" si="15"/>
        <v/>
      </c>
      <c r="AG23" s="29" t="str">
        <f t="shared" si="15"/>
        <v/>
      </c>
      <c r="AH23" s="29" t="str">
        <f t="shared" si="15"/>
        <v/>
      </c>
      <c r="AI23" s="29" t="str">
        <f t="shared" si="15"/>
        <v/>
      </c>
      <c r="AJ23" s="29" t="str">
        <f t="shared" si="15"/>
        <v/>
      </c>
      <c r="AK23" s="29" t="str">
        <f t="shared" si="15"/>
        <v/>
      </c>
      <c r="AL23" s="29" t="str">
        <f t="shared" si="15"/>
        <v/>
      </c>
      <c r="AM23" s="29" t="str">
        <f t="shared" si="15"/>
        <v/>
      </c>
      <c r="AN23" s="29" t="str">
        <f t="shared" si="15"/>
        <v/>
      </c>
      <c r="AO23" s="29" t="str">
        <f t="shared" si="15"/>
        <v/>
      </c>
      <c r="AP23" s="29" t="str">
        <f t="shared" si="15"/>
        <v/>
      </c>
      <c r="AQ23" s="29" t="str">
        <f t="shared" si="15"/>
        <v/>
      </c>
      <c r="AR23" s="29" t="str">
        <f t="shared" si="15"/>
        <v/>
      </c>
      <c r="AS23" s="29" t="str">
        <f t="shared" si="15"/>
        <v/>
      </c>
      <c r="AT23" s="29" t="str">
        <f t="shared" si="15"/>
        <v/>
      </c>
      <c r="AU23" s="29" t="str">
        <f t="shared" si="15"/>
        <v/>
      </c>
      <c r="AV23" s="29" t="str">
        <f t="shared" si="15"/>
        <v/>
      </c>
      <c r="AW23" s="29" t="str">
        <f t="shared" si="15"/>
        <v/>
      </c>
      <c r="AX23" s="29" t="str">
        <f t="shared" si="15"/>
        <v/>
      </c>
      <c r="AY23" s="29" t="str">
        <f t="shared" si="15"/>
        <v/>
      </c>
      <c r="AZ23" s="29" t="str">
        <f t="shared" si="15"/>
        <v/>
      </c>
      <c r="BA23" s="29" t="str">
        <f t="shared" si="15"/>
        <v/>
      </c>
      <c r="BB23" s="29" t="str">
        <f t="shared" si="15"/>
        <v/>
      </c>
      <c r="BC23" s="29" t="str">
        <f t="shared" si="15"/>
        <v/>
      </c>
      <c r="BD23" s="29" t="str">
        <f t="shared" si="15"/>
        <v/>
      </c>
      <c r="BE23" s="29" t="str">
        <f t="shared" si="15"/>
        <v/>
      </c>
      <c r="BF23" s="29" t="str">
        <f t="shared" si="15"/>
        <v/>
      </c>
      <c r="BG23" s="29" t="str">
        <f t="shared" si="15"/>
        <v/>
      </c>
      <c r="BH23" s="29" t="str">
        <f t="shared" si="15"/>
        <v/>
      </c>
      <c r="BI23" s="29" t="str">
        <f t="shared" si="15"/>
        <v/>
      </c>
      <c r="BJ23" s="29" t="str">
        <f t="shared" si="15"/>
        <v/>
      </c>
      <c r="BK23" s="29" t="str">
        <f t="shared" si="15"/>
        <v/>
      </c>
      <c r="BL23" s="29" t="str">
        <f t="shared" si="15"/>
        <v/>
      </c>
      <c r="BM23" s="29" t="str">
        <f t="shared" si="15"/>
        <v/>
      </c>
      <c r="BN23" s="29" t="str">
        <f t="shared" si="15"/>
        <v/>
      </c>
      <c r="BO23" s="29" t="str">
        <f t="shared" si="15"/>
        <v/>
      </c>
      <c r="BP23" s="29" t="str">
        <f t="shared" si="15"/>
        <v/>
      </c>
      <c r="BQ23" s="29" t="str">
        <f t="shared" si="15"/>
        <v/>
      </c>
      <c r="BR23" s="29" t="str">
        <f t="shared" si="15"/>
        <v/>
      </c>
      <c r="BS23" s="29" t="str">
        <f t="shared" si="7"/>
        <v/>
      </c>
      <c r="BT23" s="29" t="str">
        <f t="shared" si="7"/>
        <v/>
      </c>
      <c r="BU23" s="29" t="str">
        <f t="shared" si="7"/>
        <v/>
      </c>
      <c r="BV23" s="29" t="str">
        <f t="shared" si="7"/>
        <v/>
      </c>
      <c r="BW23" s="29" t="str">
        <f t="shared" si="7"/>
        <v/>
      </c>
      <c r="BX23" s="29" t="str">
        <f t="shared" si="11"/>
        <v/>
      </c>
      <c r="BY23" s="29" t="str">
        <f t="shared" si="11"/>
        <v/>
      </c>
      <c r="BZ23" s="29" t="str">
        <f t="shared" si="11"/>
        <v/>
      </c>
      <c r="CA23" s="29" t="str">
        <f t="shared" si="11"/>
        <v/>
      </c>
      <c r="CB23" s="29" t="str">
        <f t="shared" si="11"/>
        <v/>
      </c>
      <c r="CC23" s="29" t="str">
        <f t="shared" si="11"/>
        <v/>
      </c>
      <c r="CD23" s="29" t="str">
        <f t="shared" si="11"/>
        <v/>
      </c>
      <c r="CE23" s="29" t="str">
        <f t="shared" si="11"/>
        <v/>
      </c>
      <c r="CF23" s="29" t="str">
        <f t="shared" si="11"/>
        <v/>
      </c>
      <c r="CG23" s="29" t="str">
        <f t="shared" si="11"/>
        <v/>
      </c>
      <c r="CH23" s="29" t="str">
        <f t="shared" si="11"/>
        <v/>
      </c>
      <c r="CI23" s="29" t="str">
        <f t="shared" si="11"/>
        <v/>
      </c>
      <c r="CJ23" s="29" t="str">
        <f t="shared" si="11"/>
        <v/>
      </c>
      <c r="CK23" s="29" t="str">
        <f t="shared" si="11"/>
        <v/>
      </c>
      <c r="CL23" s="29" t="str">
        <f t="shared" si="11"/>
        <v/>
      </c>
      <c r="CM23" s="29" t="str">
        <f t="shared" si="11"/>
        <v/>
      </c>
      <c r="CN23" s="29" t="str">
        <f t="shared" si="11"/>
        <v/>
      </c>
      <c r="CO23" s="29" t="str">
        <f t="shared" si="11"/>
        <v/>
      </c>
      <c r="CP23" s="29" t="str">
        <f t="shared" si="11"/>
        <v/>
      </c>
      <c r="CQ23" s="29" t="str">
        <f t="shared" si="11"/>
        <v/>
      </c>
      <c r="CR23" s="29" t="str">
        <f t="shared" si="11"/>
        <v/>
      </c>
      <c r="CS23" s="29" t="str">
        <f t="shared" si="11"/>
        <v/>
      </c>
      <c r="CT23" s="29" t="str">
        <f t="shared" si="11"/>
        <v/>
      </c>
      <c r="CU23" s="29" t="str">
        <f t="shared" si="11"/>
        <v/>
      </c>
      <c r="CV23" s="29" t="str">
        <f t="shared" si="11"/>
        <v/>
      </c>
      <c r="CW23" s="29" t="str">
        <f t="shared" si="12"/>
        <v/>
      </c>
      <c r="CX23" s="29" t="str">
        <f t="shared" si="12"/>
        <v/>
      </c>
      <c r="CY23" s="29" t="str">
        <f t="shared" si="12"/>
        <v/>
      </c>
      <c r="CZ23" s="29" t="str">
        <f t="shared" si="12"/>
        <v/>
      </c>
      <c r="DA23" s="29" t="str">
        <f t="shared" si="12"/>
        <v/>
      </c>
      <c r="DB23" s="29" t="str">
        <f t="shared" si="12"/>
        <v/>
      </c>
      <c r="DC23" s="29" t="str">
        <f t="shared" si="12"/>
        <v/>
      </c>
      <c r="DD23" s="29" t="str">
        <f t="shared" si="12"/>
        <v/>
      </c>
      <c r="DE23" s="29" t="str">
        <f t="shared" si="12"/>
        <v/>
      </c>
      <c r="DF23" s="29" t="str">
        <f t="shared" si="12"/>
        <v/>
      </c>
      <c r="DG23" s="29" t="str">
        <f t="shared" si="12"/>
        <v/>
      </c>
      <c r="DH23" s="29" t="str">
        <f t="shared" si="12"/>
        <v/>
      </c>
      <c r="DI23" s="29" t="str">
        <f t="shared" si="12"/>
        <v/>
      </c>
      <c r="DJ23" s="29" t="str">
        <f t="shared" si="12"/>
        <v/>
      </c>
      <c r="DK23" s="29" t="str">
        <f t="shared" si="12"/>
        <v/>
      </c>
      <c r="DL23" s="29" t="str">
        <f t="shared" si="12"/>
        <v/>
      </c>
      <c r="DM23" s="29" t="str">
        <f t="shared" si="12"/>
        <v/>
      </c>
      <c r="DN23" s="29" t="str">
        <f t="shared" si="12"/>
        <v/>
      </c>
      <c r="DO23" s="29" t="str">
        <f t="shared" si="12"/>
        <v/>
      </c>
      <c r="DP23" s="29" t="str">
        <f t="shared" si="12"/>
        <v/>
      </c>
      <c r="DQ23" s="29" t="str">
        <f t="shared" si="12"/>
        <v/>
      </c>
      <c r="DR23" s="29" t="str">
        <f t="shared" si="12"/>
        <v/>
      </c>
      <c r="DS23" s="29" t="str">
        <f t="shared" si="12"/>
        <v/>
      </c>
      <c r="DT23" s="29" t="str">
        <f t="shared" si="12"/>
        <v/>
      </c>
      <c r="DU23" s="29" t="str">
        <f t="shared" si="12"/>
        <v/>
      </c>
      <c r="DV23" s="29" t="str">
        <f t="shared" si="13"/>
        <v/>
      </c>
      <c r="DW23" s="29" t="str">
        <f t="shared" si="13"/>
        <v/>
      </c>
      <c r="DX23" s="29" t="str">
        <f t="shared" si="13"/>
        <v/>
      </c>
      <c r="DY23" s="29" t="str">
        <f t="shared" si="13"/>
        <v/>
      </c>
      <c r="DZ23" s="29" t="str">
        <f t="shared" si="13"/>
        <v/>
      </c>
      <c r="EA23" s="29" t="str">
        <f t="shared" si="13"/>
        <v/>
      </c>
      <c r="EB23" s="29" t="str">
        <f t="shared" si="13"/>
        <v/>
      </c>
      <c r="EC23" s="29" t="str">
        <f t="shared" si="13"/>
        <v/>
      </c>
      <c r="ED23" s="29" t="str">
        <f t="shared" si="13"/>
        <v/>
      </c>
      <c r="EE23" s="29" t="str">
        <f t="shared" si="13"/>
        <v/>
      </c>
      <c r="EF23" s="29" t="str">
        <f t="shared" si="13"/>
        <v/>
      </c>
      <c r="EG23" s="29" t="str">
        <f t="shared" si="13"/>
        <v/>
      </c>
      <c r="EH23" s="29" t="str">
        <f t="shared" si="13"/>
        <v/>
      </c>
      <c r="EI23" s="29" t="str">
        <f t="shared" si="13"/>
        <v/>
      </c>
      <c r="EJ23" s="29" t="str">
        <f t="shared" si="13"/>
        <v/>
      </c>
      <c r="EK23" s="29" t="str">
        <f t="shared" si="13"/>
        <v/>
      </c>
      <c r="EL23" s="29" t="str">
        <f t="shared" si="13"/>
        <v/>
      </c>
      <c r="EM23" s="29" t="str">
        <f t="shared" si="13"/>
        <v/>
      </c>
      <c r="EN23" s="29" t="str">
        <f t="shared" si="13"/>
        <v/>
      </c>
      <c r="EO23" s="29" t="str">
        <f t="shared" si="13"/>
        <v/>
      </c>
      <c r="EP23" s="29" t="str">
        <f t="shared" si="13"/>
        <v/>
      </c>
      <c r="EQ23" s="29" t="str">
        <f t="shared" si="13"/>
        <v/>
      </c>
      <c r="ER23" s="29" t="str">
        <f t="shared" si="13"/>
        <v/>
      </c>
      <c r="ES23" s="29" t="str">
        <f t="shared" si="13"/>
        <v/>
      </c>
      <c r="ET23" s="29" t="str">
        <f t="shared" si="13"/>
        <v/>
      </c>
    </row>
    <row r="24" spans="1:150" x14ac:dyDescent="0.2">
      <c r="A24" s="88" t="str">
        <f>TEXT('M&amp;V Tasks'!A25,"#")</f>
        <v/>
      </c>
      <c r="B24" s="91" t="str">
        <f>TEXT('M&amp;V Tasks'!B25,"#")</f>
        <v>Collect Baseline Data</v>
      </c>
      <c r="C24" s="88">
        <f>'M&amp;V Tasks'!I25</f>
        <v>0</v>
      </c>
      <c r="D24" s="27"/>
      <c r="E24" s="27"/>
      <c r="F24" s="29" t="str">
        <f t="shared" ref="F24:U39" si="16">IF(AND(F$9&gt;=$D24,F$9&lt;=$E24),1,"")</f>
        <v/>
      </c>
      <c r="G24" s="29" t="str">
        <f t="shared" si="16"/>
        <v/>
      </c>
      <c r="H24" s="29" t="str">
        <f t="shared" si="16"/>
        <v/>
      </c>
      <c r="I24" s="29" t="str">
        <f t="shared" si="16"/>
        <v/>
      </c>
      <c r="J24" s="29" t="str">
        <f t="shared" si="16"/>
        <v/>
      </c>
      <c r="K24" s="29" t="str">
        <f t="shared" si="16"/>
        <v/>
      </c>
      <c r="L24" s="29" t="str">
        <f t="shared" si="16"/>
        <v/>
      </c>
      <c r="M24" s="29" t="str">
        <f t="shared" si="16"/>
        <v/>
      </c>
      <c r="N24" s="29" t="str">
        <f t="shared" si="16"/>
        <v/>
      </c>
      <c r="O24" s="29" t="str">
        <f t="shared" si="16"/>
        <v/>
      </c>
      <c r="P24" s="29" t="str">
        <f t="shared" si="16"/>
        <v/>
      </c>
      <c r="Q24" s="29" t="str">
        <f t="shared" si="16"/>
        <v/>
      </c>
      <c r="R24" s="29" t="str">
        <f t="shared" si="16"/>
        <v/>
      </c>
      <c r="S24" s="29" t="str">
        <f t="shared" si="16"/>
        <v/>
      </c>
      <c r="T24" s="29" t="str">
        <f t="shared" si="16"/>
        <v/>
      </c>
      <c r="U24" s="29" t="str">
        <f t="shared" si="16"/>
        <v/>
      </c>
      <c r="V24" s="29" t="str">
        <f t="shared" si="15"/>
        <v/>
      </c>
      <c r="W24" s="29" t="str">
        <f t="shared" si="15"/>
        <v/>
      </c>
      <c r="X24" s="29" t="str">
        <f t="shared" si="15"/>
        <v/>
      </c>
      <c r="Y24" s="29" t="str">
        <f t="shared" si="15"/>
        <v/>
      </c>
      <c r="Z24" s="29" t="str">
        <f t="shared" si="15"/>
        <v/>
      </c>
      <c r="AA24" s="29" t="str">
        <f t="shared" si="15"/>
        <v/>
      </c>
      <c r="AB24" s="29" t="str">
        <f t="shared" si="15"/>
        <v/>
      </c>
      <c r="AC24" s="29" t="str">
        <f t="shared" si="15"/>
        <v/>
      </c>
      <c r="AD24" s="29" t="str">
        <f t="shared" si="15"/>
        <v/>
      </c>
      <c r="AE24" s="29" t="str">
        <f t="shared" si="15"/>
        <v/>
      </c>
      <c r="AF24" s="29" t="str">
        <f t="shared" si="15"/>
        <v/>
      </c>
      <c r="AG24" s="29" t="str">
        <f t="shared" si="15"/>
        <v/>
      </c>
      <c r="AH24" s="29" t="str">
        <f t="shared" si="15"/>
        <v/>
      </c>
      <c r="AI24" s="29" t="str">
        <f t="shared" si="15"/>
        <v/>
      </c>
      <c r="AJ24" s="29" t="str">
        <f t="shared" si="15"/>
        <v/>
      </c>
      <c r="AK24" s="29" t="str">
        <f t="shared" si="15"/>
        <v/>
      </c>
      <c r="AL24" s="29" t="str">
        <f t="shared" si="15"/>
        <v/>
      </c>
      <c r="AM24" s="29" t="str">
        <f t="shared" si="15"/>
        <v/>
      </c>
      <c r="AN24" s="29" t="str">
        <f t="shared" si="15"/>
        <v/>
      </c>
      <c r="AO24" s="29" t="str">
        <f t="shared" si="15"/>
        <v/>
      </c>
      <c r="AP24" s="29" t="str">
        <f t="shared" si="15"/>
        <v/>
      </c>
      <c r="AQ24" s="29" t="str">
        <f t="shared" si="15"/>
        <v/>
      </c>
      <c r="AR24" s="29" t="str">
        <f t="shared" si="15"/>
        <v/>
      </c>
      <c r="AS24" s="29" t="str">
        <f t="shared" si="15"/>
        <v/>
      </c>
      <c r="AT24" s="29" t="str">
        <f t="shared" si="15"/>
        <v/>
      </c>
      <c r="AU24" s="29" t="str">
        <f t="shared" si="15"/>
        <v/>
      </c>
      <c r="AV24" s="29" t="str">
        <f t="shared" si="15"/>
        <v/>
      </c>
      <c r="AW24" s="29" t="str">
        <f t="shared" si="15"/>
        <v/>
      </c>
      <c r="AX24" s="29" t="str">
        <f t="shared" si="15"/>
        <v/>
      </c>
      <c r="AY24" s="29" t="str">
        <f t="shared" si="15"/>
        <v/>
      </c>
      <c r="AZ24" s="29" t="str">
        <f t="shared" si="15"/>
        <v/>
      </c>
      <c r="BA24" s="29" t="str">
        <f t="shared" si="15"/>
        <v/>
      </c>
      <c r="BB24" s="29" t="str">
        <f t="shared" si="15"/>
        <v/>
      </c>
      <c r="BC24" s="29" t="str">
        <f t="shared" si="15"/>
        <v/>
      </c>
      <c r="BD24" s="29" t="str">
        <f t="shared" si="15"/>
        <v/>
      </c>
      <c r="BE24" s="29" t="str">
        <f t="shared" si="15"/>
        <v/>
      </c>
      <c r="BF24" s="29" t="str">
        <f t="shared" si="15"/>
        <v/>
      </c>
      <c r="BG24" s="29" t="str">
        <f t="shared" si="15"/>
        <v/>
      </c>
      <c r="BH24" s="29" t="str">
        <f t="shared" si="15"/>
        <v/>
      </c>
      <c r="BI24" s="29" t="str">
        <f t="shared" si="15"/>
        <v/>
      </c>
      <c r="BJ24" s="29" t="str">
        <f t="shared" si="15"/>
        <v/>
      </c>
      <c r="BK24" s="29" t="str">
        <f t="shared" si="15"/>
        <v/>
      </c>
      <c r="BL24" s="29" t="str">
        <f t="shared" si="15"/>
        <v/>
      </c>
      <c r="BM24" s="29" t="str">
        <f t="shared" si="15"/>
        <v/>
      </c>
      <c r="BN24" s="29" t="str">
        <f t="shared" si="15"/>
        <v/>
      </c>
      <c r="BO24" s="29" t="str">
        <f t="shared" si="15"/>
        <v/>
      </c>
      <c r="BP24" s="29" t="str">
        <f t="shared" si="15"/>
        <v/>
      </c>
      <c r="BQ24" s="29" t="str">
        <f t="shared" si="15"/>
        <v/>
      </c>
      <c r="BR24" s="29" t="str">
        <f t="shared" si="15"/>
        <v/>
      </c>
      <c r="BS24" s="29" t="str">
        <f t="shared" si="7"/>
        <v/>
      </c>
      <c r="BT24" s="29" t="str">
        <f t="shared" si="7"/>
        <v/>
      </c>
      <c r="BU24" s="29" t="str">
        <f t="shared" si="7"/>
        <v/>
      </c>
      <c r="BV24" s="29" t="str">
        <f t="shared" si="7"/>
        <v/>
      </c>
      <c r="BW24" s="29" t="str">
        <f t="shared" si="7"/>
        <v/>
      </c>
      <c r="BX24" s="29" t="str">
        <f t="shared" si="11"/>
        <v/>
      </c>
      <c r="BY24" s="29" t="str">
        <f t="shared" si="11"/>
        <v/>
      </c>
      <c r="BZ24" s="29" t="str">
        <f t="shared" si="11"/>
        <v/>
      </c>
      <c r="CA24" s="29" t="str">
        <f t="shared" si="11"/>
        <v/>
      </c>
      <c r="CB24" s="29" t="str">
        <f t="shared" si="11"/>
        <v/>
      </c>
      <c r="CC24" s="29" t="str">
        <f t="shared" si="11"/>
        <v/>
      </c>
      <c r="CD24" s="29" t="str">
        <f t="shared" si="11"/>
        <v/>
      </c>
      <c r="CE24" s="29" t="str">
        <f t="shared" si="11"/>
        <v/>
      </c>
      <c r="CF24" s="29" t="str">
        <f t="shared" si="11"/>
        <v/>
      </c>
      <c r="CG24" s="29" t="str">
        <f t="shared" si="11"/>
        <v/>
      </c>
      <c r="CH24" s="29" t="str">
        <f t="shared" si="11"/>
        <v/>
      </c>
      <c r="CI24" s="29" t="str">
        <f t="shared" si="11"/>
        <v/>
      </c>
      <c r="CJ24" s="29" t="str">
        <f t="shared" si="11"/>
        <v/>
      </c>
      <c r="CK24" s="29" t="str">
        <f t="shared" si="11"/>
        <v/>
      </c>
      <c r="CL24" s="29" t="str">
        <f t="shared" si="11"/>
        <v/>
      </c>
      <c r="CM24" s="29" t="str">
        <f t="shared" si="11"/>
        <v/>
      </c>
      <c r="CN24" s="29" t="str">
        <f t="shared" si="11"/>
        <v/>
      </c>
      <c r="CO24" s="29" t="str">
        <f t="shared" si="11"/>
        <v/>
      </c>
      <c r="CP24" s="29" t="str">
        <f t="shared" si="11"/>
        <v/>
      </c>
      <c r="CQ24" s="29" t="str">
        <f t="shared" si="11"/>
        <v/>
      </c>
      <c r="CR24" s="29" t="str">
        <f t="shared" si="11"/>
        <v/>
      </c>
      <c r="CS24" s="29" t="str">
        <f t="shared" si="11"/>
        <v/>
      </c>
      <c r="CT24" s="29" t="str">
        <f t="shared" si="11"/>
        <v/>
      </c>
      <c r="CU24" s="29" t="str">
        <f t="shared" si="11"/>
        <v/>
      </c>
      <c r="CV24" s="29" t="str">
        <f t="shared" si="11"/>
        <v/>
      </c>
      <c r="CW24" s="29" t="str">
        <f t="shared" si="12"/>
        <v/>
      </c>
      <c r="CX24" s="29" t="str">
        <f t="shared" si="12"/>
        <v/>
      </c>
      <c r="CY24" s="29" t="str">
        <f t="shared" si="12"/>
        <v/>
      </c>
      <c r="CZ24" s="29" t="str">
        <f t="shared" si="12"/>
        <v/>
      </c>
      <c r="DA24" s="29" t="str">
        <f t="shared" si="12"/>
        <v/>
      </c>
      <c r="DB24" s="29" t="str">
        <f t="shared" si="12"/>
        <v/>
      </c>
      <c r="DC24" s="29" t="str">
        <f t="shared" si="12"/>
        <v/>
      </c>
      <c r="DD24" s="29" t="str">
        <f t="shared" si="12"/>
        <v/>
      </c>
      <c r="DE24" s="29" t="str">
        <f t="shared" si="12"/>
        <v/>
      </c>
      <c r="DF24" s="29" t="str">
        <f t="shared" si="12"/>
        <v/>
      </c>
      <c r="DG24" s="29" t="str">
        <f t="shared" si="12"/>
        <v/>
      </c>
      <c r="DH24" s="29" t="str">
        <f t="shared" si="12"/>
        <v/>
      </c>
      <c r="DI24" s="29" t="str">
        <f t="shared" si="12"/>
        <v/>
      </c>
      <c r="DJ24" s="29" t="str">
        <f t="shared" si="12"/>
        <v/>
      </c>
      <c r="DK24" s="29" t="str">
        <f t="shared" si="12"/>
        <v/>
      </c>
      <c r="DL24" s="29" t="str">
        <f t="shared" si="12"/>
        <v/>
      </c>
      <c r="DM24" s="29" t="str">
        <f t="shared" si="12"/>
        <v/>
      </c>
      <c r="DN24" s="29" t="str">
        <f t="shared" si="12"/>
        <v/>
      </c>
      <c r="DO24" s="29" t="str">
        <f t="shared" si="12"/>
        <v/>
      </c>
      <c r="DP24" s="29" t="str">
        <f t="shared" si="12"/>
        <v/>
      </c>
      <c r="DQ24" s="29" t="str">
        <f t="shared" si="12"/>
        <v/>
      </c>
      <c r="DR24" s="29" t="str">
        <f t="shared" si="12"/>
        <v/>
      </c>
      <c r="DS24" s="29" t="str">
        <f t="shared" si="12"/>
        <v/>
      </c>
      <c r="DT24" s="29" t="str">
        <f t="shared" si="12"/>
        <v/>
      </c>
      <c r="DU24" s="29" t="str">
        <f t="shared" si="12"/>
        <v/>
      </c>
      <c r="DV24" s="29" t="str">
        <f t="shared" si="13"/>
        <v/>
      </c>
      <c r="DW24" s="29" t="str">
        <f t="shared" si="13"/>
        <v/>
      </c>
      <c r="DX24" s="29" t="str">
        <f t="shared" si="13"/>
        <v/>
      </c>
      <c r="DY24" s="29" t="str">
        <f t="shared" si="13"/>
        <v/>
      </c>
      <c r="DZ24" s="29" t="str">
        <f t="shared" si="13"/>
        <v/>
      </c>
      <c r="EA24" s="29" t="str">
        <f t="shared" si="13"/>
        <v/>
      </c>
      <c r="EB24" s="29" t="str">
        <f t="shared" si="13"/>
        <v/>
      </c>
      <c r="EC24" s="29" t="str">
        <f t="shared" si="13"/>
        <v/>
      </c>
      <c r="ED24" s="29" t="str">
        <f t="shared" si="13"/>
        <v/>
      </c>
      <c r="EE24" s="29" t="str">
        <f t="shared" si="13"/>
        <v/>
      </c>
      <c r="EF24" s="29" t="str">
        <f t="shared" si="13"/>
        <v/>
      </c>
      <c r="EG24" s="29" t="str">
        <f t="shared" si="13"/>
        <v/>
      </c>
      <c r="EH24" s="29" t="str">
        <f t="shared" si="13"/>
        <v/>
      </c>
      <c r="EI24" s="29" t="str">
        <f t="shared" si="13"/>
        <v/>
      </c>
      <c r="EJ24" s="29" t="str">
        <f t="shared" si="13"/>
        <v/>
      </c>
      <c r="EK24" s="29" t="str">
        <f t="shared" si="13"/>
        <v/>
      </c>
      <c r="EL24" s="29" t="str">
        <f t="shared" si="13"/>
        <v/>
      </c>
      <c r="EM24" s="29" t="str">
        <f t="shared" si="13"/>
        <v/>
      </c>
      <c r="EN24" s="29" t="str">
        <f t="shared" si="13"/>
        <v/>
      </c>
      <c r="EO24" s="29" t="str">
        <f t="shared" si="13"/>
        <v/>
      </c>
      <c r="EP24" s="29" t="str">
        <f t="shared" si="13"/>
        <v/>
      </c>
      <c r="EQ24" s="29" t="str">
        <f t="shared" si="13"/>
        <v/>
      </c>
      <c r="ER24" s="29" t="str">
        <f t="shared" si="13"/>
        <v/>
      </c>
      <c r="ES24" s="29" t="str">
        <f t="shared" si="13"/>
        <v/>
      </c>
      <c r="ET24" s="29" t="str">
        <f t="shared" si="13"/>
        <v/>
      </c>
    </row>
    <row r="25" spans="1:150" x14ac:dyDescent="0.2">
      <c r="A25" s="103" t="str">
        <f>TEXT('M&amp;V Tasks'!A26,"#")</f>
        <v>1</v>
      </c>
      <c r="B25" s="104" t="str">
        <f>TEXT('M&amp;V Tasks'!B26,"#")</f>
        <v>Prepare production data tracking sheet and discuss with equipment operator</v>
      </c>
      <c r="C25" s="103">
        <f>'M&amp;V Tasks'!I26</f>
        <v>0</v>
      </c>
      <c r="D25" s="27"/>
      <c r="E25" s="27"/>
      <c r="F25" s="29" t="str">
        <f t="shared" si="16"/>
        <v/>
      </c>
      <c r="G25" s="29" t="str">
        <f t="shared" si="16"/>
        <v/>
      </c>
      <c r="H25" s="29" t="str">
        <f t="shared" si="16"/>
        <v/>
      </c>
      <c r="I25" s="29" t="str">
        <f t="shared" si="16"/>
        <v/>
      </c>
      <c r="J25" s="29" t="str">
        <f t="shared" si="16"/>
        <v/>
      </c>
      <c r="K25" s="29" t="str">
        <f t="shared" si="16"/>
        <v/>
      </c>
      <c r="L25" s="29" t="str">
        <f t="shared" si="16"/>
        <v/>
      </c>
      <c r="M25" s="29" t="str">
        <f t="shared" si="16"/>
        <v/>
      </c>
      <c r="N25" s="29" t="str">
        <f t="shared" si="16"/>
        <v/>
      </c>
      <c r="O25" s="29" t="str">
        <f t="shared" si="16"/>
        <v/>
      </c>
      <c r="P25" s="29" t="str">
        <f t="shared" si="16"/>
        <v/>
      </c>
      <c r="Q25" s="29" t="str">
        <f t="shared" si="16"/>
        <v/>
      </c>
      <c r="R25" s="29" t="str">
        <f t="shared" si="16"/>
        <v/>
      </c>
      <c r="S25" s="29" t="str">
        <f t="shared" si="16"/>
        <v/>
      </c>
      <c r="T25" s="29" t="str">
        <f t="shared" si="16"/>
        <v/>
      </c>
      <c r="U25" s="29" t="str">
        <f t="shared" si="16"/>
        <v/>
      </c>
      <c r="V25" s="29" t="str">
        <f t="shared" si="15"/>
        <v/>
      </c>
      <c r="W25" s="29" t="str">
        <f t="shared" si="15"/>
        <v/>
      </c>
      <c r="X25" s="29" t="str">
        <f t="shared" si="15"/>
        <v/>
      </c>
      <c r="Y25" s="29" t="str">
        <f t="shared" si="15"/>
        <v/>
      </c>
      <c r="Z25" s="29" t="str">
        <f t="shared" si="15"/>
        <v/>
      </c>
      <c r="AA25" s="29" t="str">
        <f t="shared" si="15"/>
        <v/>
      </c>
      <c r="AB25" s="29" t="str">
        <f t="shared" si="15"/>
        <v/>
      </c>
      <c r="AC25" s="29" t="str">
        <f t="shared" si="15"/>
        <v/>
      </c>
      <c r="AD25" s="29" t="str">
        <f t="shared" si="15"/>
        <v/>
      </c>
      <c r="AE25" s="29" t="str">
        <f t="shared" si="15"/>
        <v/>
      </c>
      <c r="AF25" s="29" t="str">
        <f t="shared" si="15"/>
        <v/>
      </c>
      <c r="AG25" s="29" t="str">
        <f t="shared" si="15"/>
        <v/>
      </c>
      <c r="AH25" s="29" t="str">
        <f t="shared" si="15"/>
        <v/>
      </c>
      <c r="AI25" s="29" t="str">
        <f t="shared" si="15"/>
        <v/>
      </c>
      <c r="AJ25" s="29" t="str">
        <f t="shared" si="15"/>
        <v/>
      </c>
      <c r="AK25" s="29" t="str">
        <f t="shared" si="15"/>
        <v/>
      </c>
      <c r="AL25" s="29" t="str">
        <f t="shared" si="15"/>
        <v/>
      </c>
      <c r="AM25" s="29" t="str">
        <f t="shared" si="15"/>
        <v/>
      </c>
      <c r="AN25" s="29" t="str">
        <f t="shared" si="15"/>
        <v/>
      </c>
      <c r="AO25" s="29" t="str">
        <f t="shared" si="15"/>
        <v/>
      </c>
      <c r="AP25" s="29" t="str">
        <f t="shared" si="15"/>
        <v/>
      </c>
      <c r="AQ25" s="29" t="str">
        <f t="shared" si="15"/>
        <v/>
      </c>
      <c r="AR25" s="29" t="str">
        <f t="shared" si="15"/>
        <v/>
      </c>
      <c r="AS25" s="29" t="str">
        <f t="shared" si="15"/>
        <v/>
      </c>
      <c r="AT25" s="29" t="str">
        <f t="shared" si="15"/>
        <v/>
      </c>
      <c r="AU25" s="29" t="str">
        <f t="shared" si="15"/>
        <v/>
      </c>
      <c r="AV25" s="29" t="str">
        <f t="shared" si="15"/>
        <v/>
      </c>
      <c r="AW25" s="29" t="str">
        <f t="shared" si="15"/>
        <v/>
      </c>
      <c r="AX25" s="29" t="str">
        <f t="shared" si="15"/>
        <v/>
      </c>
      <c r="AY25" s="29" t="str">
        <f t="shared" si="15"/>
        <v/>
      </c>
      <c r="AZ25" s="29" t="str">
        <f t="shared" si="15"/>
        <v/>
      </c>
      <c r="BA25" s="29" t="str">
        <f t="shared" si="15"/>
        <v/>
      </c>
      <c r="BB25" s="29" t="str">
        <f t="shared" si="15"/>
        <v/>
      </c>
      <c r="BC25" s="29" t="str">
        <f t="shared" si="15"/>
        <v/>
      </c>
      <c r="BD25" s="29" t="str">
        <f t="shared" si="15"/>
        <v/>
      </c>
      <c r="BE25" s="29" t="str">
        <f t="shared" si="15"/>
        <v/>
      </c>
      <c r="BF25" s="29" t="str">
        <f t="shared" si="15"/>
        <v/>
      </c>
      <c r="BG25" s="29" t="str">
        <f t="shared" si="15"/>
        <v/>
      </c>
      <c r="BH25" s="29" t="str">
        <f t="shared" si="15"/>
        <v/>
      </c>
      <c r="BI25" s="29" t="str">
        <f>IF(AND(BI$9&gt;=$D25,BI$9&lt;=$E25),1,"")</f>
        <v/>
      </c>
      <c r="BJ25" s="29" t="str">
        <f>IF(AND(BJ$9&gt;=$D25,BJ$9&lt;=$E25),1,"")</f>
        <v/>
      </c>
      <c r="BK25" s="29" t="str">
        <f>IF(AND(BK$9&gt;=$D25,BK$9&lt;=$E25),1,"")</f>
        <v/>
      </c>
      <c r="BL25" s="29" t="str">
        <f>IF(AND(BL$9&gt;=$D25,BL$9&lt;=$E25),1,"")</f>
        <v/>
      </c>
      <c r="BM25" s="29" t="str">
        <f t="shared" si="15"/>
        <v/>
      </c>
      <c r="BN25" s="29" t="str">
        <f t="shared" si="15"/>
        <v/>
      </c>
      <c r="BO25" s="29" t="str">
        <f t="shared" si="15"/>
        <v/>
      </c>
      <c r="BP25" s="29" t="str">
        <f t="shared" si="15"/>
        <v/>
      </c>
      <c r="BQ25" s="29" t="str">
        <f t="shared" si="15"/>
        <v/>
      </c>
      <c r="BR25" s="29" t="str">
        <f t="shared" si="15"/>
        <v/>
      </c>
      <c r="BS25" s="29" t="str">
        <f t="shared" si="15"/>
        <v/>
      </c>
      <c r="BT25" s="29" t="str">
        <f t="shared" si="15"/>
        <v/>
      </c>
      <c r="BU25" s="29" t="str">
        <f t="shared" si="15"/>
        <v/>
      </c>
      <c r="BV25" s="29" t="str">
        <f t="shared" si="15"/>
        <v/>
      </c>
      <c r="BW25" s="29" t="str">
        <f t="shared" si="15"/>
        <v/>
      </c>
      <c r="BX25" s="29" t="str">
        <f t="shared" si="11"/>
        <v/>
      </c>
      <c r="BY25" s="29" t="str">
        <f t="shared" si="11"/>
        <v/>
      </c>
      <c r="BZ25" s="29" t="str">
        <f t="shared" si="11"/>
        <v/>
      </c>
      <c r="CA25" s="29" t="str">
        <f t="shared" si="11"/>
        <v/>
      </c>
      <c r="CB25" s="29" t="str">
        <f t="shared" si="11"/>
        <v/>
      </c>
      <c r="CC25" s="29" t="str">
        <f t="shared" si="11"/>
        <v/>
      </c>
      <c r="CD25" s="29" t="str">
        <f t="shared" si="11"/>
        <v/>
      </c>
      <c r="CE25" s="29" t="str">
        <f t="shared" si="11"/>
        <v/>
      </c>
      <c r="CF25" s="29" t="str">
        <f t="shared" si="11"/>
        <v/>
      </c>
      <c r="CG25" s="29" t="str">
        <f t="shared" si="11"/>
        <v/>
      </c>
      <c r="CH25" s="29" t="str">
        <f>IF(AND(CH$9&gt;=$D25,CH$9&lt;=$E25),1,"")</f>
        <v/>
      </c>
      <c r="CI25" s="29" t="str">
        <f>IF(AND(CI$9&gt;=$D25,CI$9&lt;=$E25),1,"")</f>
        <v/>
      </c>
      <c r="CJ25" s="29" t="str">
        <f>IF(AND(CJ$9&gt;=$D25,CJ$9&lt;=$E25),1,"")</f>
        <v/>
      </c>
      <c r="CK25" s="29" t="str">
        <f>IF(AND(CK$9&gt;=$D25,CK$9&lt;=$E25),1,"")</f>
        <v/>
      </c>
      <c r="CL25" s="29" t="str">
        <f t="shared" si="11"/>
        <v/>
      </c>
      <c r="CM25" s="29" t="str">
        <f t="shared" si="11"/>
        <v/>
      </c>
      <c r="CN25" s="29" t="str">
        <f t="shared" si="11"/>
        <v/>
      </c>
      <c r="CO25" s="29" t="str">
        <f t="shared" si="11"/>
        <v/>
      </c>
      <c r="CP25" s="29" t="str">
        <f t="shared" si="11"/>
        <v/>
      </c>
      <c r="CQ25" s="29" t="str">
        <f t="shared" si="11"/>
        <v/>
      </c>
      <c r="CR25" s="29" t="str">
        <f t="shared" si="11"/>
        <v/>
      </c>
      <c r="CS25" s="29" t="str">
        <f t="shared" si="11"/>
        <v/>
      </c>
      <c r="CT25" s="29" t="str">
        <f t="shared" si="11"/>
        <v/>
      </c>
      <c r="CU25" s="29" t="str">
        <f t="shared" si="11"/>
        <v/>
      </c>
      <c r="CV25" s="29" t="str">
        <f t="shared" si="11"/>
        <v/>
      </c>
      <c r="CW25" s="29" t="str">
        <f t="shared" si="12"/>
        <v/>
      </c>
      <c r="CX25" s="29" t="str">
        <f t="shared" si="12"/>
        <v/>
      </c>
      <c r="CY25" s="29" t="str">
        <f t="shared" si="12"/>
        <v/>
      </c>
      <c r="CZ25" s="29" t="str">
        <f t="shared" si="12"/>
        <v/>
      </c>
      <c r="DA25" s="29" t="str">
        <f t="shared" si="12"/>
        <v/>
      </c>
      <c r="DB25" s="29" t="str">
        <f t="shared" si="12"/>
        <v/>
      </c>
      <c r="DC25" s="29" t="str">
        <f t="shared" si="12"/>
        <v/>
      </c>
      <c r="DD25" s="29" t="str">
        <f t="shared" si="12"/>
        <v/>
      </c>
      <c r="DE25" s="29" t="str">
        <f t="shared" si="12"/>
        <v/>
      </c>
      <c r="DF25" s="29" t="str">
        <f t="shared" si="12"/>
        <v/>
      </c>
      <c r="DG25" s="29" t="str">
        <f>IF(AND(DG$9&gt;=$D25,DG$9&lt;=$E25),1,"")</f>
        <v/>
      </c>
      <c r="DH25" s="29" t="str">
        <f>IF(AND(DH$9&gt;=$D25,DH$9&lt;=$E25),1,"")</f>
        <v/>
      </c>
      <c r="DI25" s="29" t="str">
        <f>IF(AND(DI$9&gt;=$D25,DI$9&lt;=$E25),1,"")</f>
        <v/>
      </c>
      <c r="DJ25" s="29" t="str">
        <f>IF(AND(DJ$9&gt;=$D25,DJ$9&lt;=$E25),1,"")</f>
        <v/>
      </c>
      <c r="DK25" s="29" t="str">
        <f t="shared" si="12"/>
        <v/>
      </c>
      <c r="DL25" s="29" t="str">
        <f t="shared" si="12"/>
        <v/>
      </c>
      <c r="DM25" s="29" t="str">
        <f t="shared" si="12"/>
        <v/>
      </c>
      <c r="DN25" s="29" t="str">
        <f t="shared" si="12"/>
        <v/>
      </c>
      <c r="DO25" s="29" t="str">
        <f t="shared" si="12"/>
        <v/>
      </c>
      <c r="DP25" s="29" t="str">
        <f t="shared" si="12"/>
        <v/>
      </c>
      <c r="DQ25" s="29" t="str">
        <f t="shared" si="12"/>
        <v/>
      </c>
      <c r="DR25" s="29" t="str">
        <f t="shared" si="12"/>
        <v/>
      </c>
      <c r="DS25" s="29" t="str">
        <f t="shared" si="12"/>
        <v/>
      </c>
      <c r="DT25" s="29" t="str">
        <f t="shared" si="12"/>
        <v/>
      </c>
      <c r="DU25" s="29" t="str">
        <f t="shared" si="12"/>
        <v/>
      </c>
      <c r="DV25" s="29" t="str">
        <f t="shared" si="13"/>
        <v/>
      </c>
      <c r="DW25" s="29" t="str">
        <f t="shared" si="13"/>
        <v/>
      </c>
      <c r="DX25" s="29" t="str">
        <f t="shared" si="13"/>
        <v/>
      </c>
      <c r="DY25" s="29" t="str">
        <f t="shared" si="13"/>
        <v/>
      </c>
      <c r="DZ25" s="29" t="str">
        <f t="shared" si="13"/>
        <v/>
      </c>
      <c r="EA25" s="29" t="str">
        <f t="shared" si="13"/>
        <v/>
      </c>
      <c r="EB25" s="29" t="str">
        <f t="shared" si="13"/>
        <v/>
      </c>
      <c r="EC25" s="29" t="str">
        <f t="shared" si="13"/>
        <v/>
      </c>
      <c r="ED25" s="29" t="str">
        <f t="shared" si="13"/>
        <v/>
      </c>
      <c r="EE25" s="29" t="str">
        <f t="shared" si="13"/>
        <v/>
      </c>
      <c r="EF25" s="29" t="str">
        <f>IF(AND(EF$9&gt;=$D25,EF$9&lt;=$E25),1,"")</f>
        <v/>
      </c>
      <c r="EG25" s="29" t="str">
        <f>IF(AND(EG$9&gt;=$D25,EG$9&lt;=$E25),1,"")</f>
        <v/>
      </c>
      <c r="EH25" s="29" t="str">
        <f>IF(AND(EH$9&gt;=$D25,EH$9&lt;=$E25),1,"")</f>
        <v/>
      </c>
      <c r="EI25" s="29" t="str">
        <f>IF(AND(EI$9&gt;=$D25,EI$9&lt;=$E25),1,"")</f>
        <v/>
      </c>
      <c r="EJ25" s="29" t="str">
        <f t="shared" si="13"/>
        <v/>
      </c>
      <c r="EK25" s="29" t="str">
        <f t="shared" si="13"/>
        <v/>
      </c>
      <c r="EL25" s="29" t="str">
        <f t="shared" si="13"/>
        <v/>
      </c>
      <c r="EM25" s="29" t="str">
        <f t="shared" si="13"/>
        <v/>
      </c>
      <c r="EN25" s="29" t="str">
        <f t="shared" si="13"/>
        <v/>
      </c>
      <c r="EO25" s="29" t="str">
        <f t="shared" si="13"/>
        <v/>
      </c>
      <c r="EP25" s="29" t="str">
        <f t="shared" si="13"/>
        <v/>
      </c>
      <c r="EQ25" s="29" t="str">
        <f t="shared" si="13"/>
        <v/>
      </c>
      <c r="ER25" s="29" t="str">
        <f t="shared" si="13"/>
        <v/>
      </c>
      <c r="ES25" s="29" t="str">
        <f t="shared" si="13"/>
        <v/>
      </c>
      <c r="ET25" s="29" t="str">
        <f t="shared" si="13"/>
        <v/>
      </c>
    </row>
    <row r="26" spans="1:150" x14ac:dyDescent="0.2">
      <c r="A26" s="103" t="str">
        <f>TEXT('M&amp;V Tasks'!A27,"#")</f>
        <v>2</v>
      </c>
      <c r="B26" s="104" t="str">
        <f>TEXT('M&amp;V Tasks'!B27,"#")</f>
        <v>Hire electricity data logger</v>
      </c>
      <c r="C26" s="103">
        <f>'M&amp;V Tasks'!I27</f>
        <v>0</v>
      </c>
      <c r="D26" s="27"/>
      <c r="E26" s="27"/>
      <c r="F26" s="29" t="str">
        <f t="shared" si="16"/>
        <v/>
      </c>
      <c r="G26" s="29" t="str">
        <f t="shared" si="16"/>
        <v/>
      </c>
      <c r="H26" s="29" t="str">
        <f t="shared" si="16"/>
        <v/>
      </c>
      <c r="I26" s="29" t="str">
        <f t="shared" si="16"/>
        <v/>
      </c>
      <c r="J26" s="29" t="str">
        <f t="shared" si="16"/>
        <v/>
      </c>
      <c r="K26" s="29" t="str">
        <f t="shared" si="16"/>
        <v/>
      </c>
      <c r="L26" s="29" t="str">
        <f t="shared" si="16"/>
        <v/>
      </c>
      <c r="M26" s="29" t="str">
        <f t="shared" si="16"/>
        <v/>
      </c>
      <c r="N26" s="29" t="str">
        <f t="shared" si="16"/>
        <v/>
      </c>
      <c r="O26" s="29" t="str">
        <f t="shared" si="16"/>
        <v/>
      </c>
      <c r="P26" s="29" t="str">
        <f t="shared" si="16"/>
        <v/>
      </c>
      <c r="Q26" s="29" t="str">
        <f t="shared" si="16"/>
        <v/>
      </c>
      <c r="R26" s="29" t="str">
        <f t="shared" si="16"/>
        <v/>
      </c>
      <c r="S26" s="29" t="str">
        <f t="shared" si="16"/>
        <v/>
      </c>
      <c r="T26" s="29" t="str">
        <f t="shared" si="16"/>
        <v/>
      </c>
      <c r="U26" s="29" t="str">
        <f t="shared" si="16"/>
        <v/>
      </c>
      <c r="V26" s="29" t="str">
        <f t="shared" si="15"/>
        <v/>
      </c>
      <c r="W26" s="29" t="str">
        <f t="shared" si="15"/>
        <v/>
      </c>
      <c r="X26" s="29" t="str">
        <f t="shared" si="15"/>
        <v/>
      </c>
      <c r="Y26" s="29" t="str">
        <f t="shared" si="15"/>
        <v/>
      </c>
      <c r="Z26" s="29" t="str">
        <f t="shared" si="15"/>
        <v/>
      </c>
      <c r="AA26" s="29" t="str">
        <f t="shared" si="15"/>
        <v/>
      </c>
      <c r="AB26" s="29" t="str">
        <f t="shared" si="15"/>
        <v/>
      </c>
      <c r="AC26" s="29" t="str">
        <f t="shared" si="15"/>
        <v/>
      </c>
      <c r="AD26" s="29" t="str">
        <f t="shared" si="15"/>
        <v/>
      </c>
      <c r="AE26" s="29" t="str">
        <f t="shared" si="15"/>
        <v/>
      </c>
      <c r="AF26" s="29" t="str">
        <f t="shared" si="15"/>
        <v/>
      </c>
      <c r="AG26" s="29" t="str">
        <f t="shared" si="15"/>
        <v/>
      </c>
      <c r="AH26" s="29" t="str">
        <f t="shared" si="15"/>
        <v/>
      </c>
      <c r="AI26" s="29" t="str">
        <f t="shared" si="15"/>
        <v/>
      </c>
      <c r="AJ26" s="29" t="str">
        <f t="shared" si="15"/>
        <v/>
      </c>
      <c r="AK26" s="29" t="str">
        <f t="shared" si="15"/>
        <v/>
      </c>
      <c r="AL26" s="29" t="str">
        <f t="shared" si="15"/>
        <v/>
      </c>
      <c r="AM26" s="29" t="str">
        <f t="shared" si="15"/>
        <v/>
      </c>
      <c r="AN26" s="29" t="str">
        <f t="shared" si="15"/>
        <v/>
      </c>
      <c r="AO26" s="29" t="str">
        <f t="shared" si="15"/>
        <v/>
      </c>
      <c r="AP26" s="29" t="str">
        <f t="shared" si="15"/>
        <v/>
      </c>
      <c r="AQ26" s="29" t="str">
        <f t="shared" si="15"/>
        <v/>
      </c>
      <c r="AR26" s="29" t="str">
        <f t="shared" si="15"/>
        <v/>
      </c>
      <c r="AS26" s="29" t="str">
        <f t="shared" si="15"/>
        <v/>
      </c>
      <c r="AT26" s="29" t="str">
        <f t="shared" si="15"/>
        <v/>
      </c>
      <c r="AU26" s="29" t="str">
        <f t="shared" si="15"/>
        <v/>
      </c>
      <c r="AV26" s="29" t="str">
        <f t="shared" si="15"/>
        <v/>
      </c>
      <c r="AW26" s="29" t="str">
        <f t="shared" si="15"/>
        <v/>
      </c>
      <c r="AX26" s="29" t="str">
        <f t="shared" si="15"/>
        <v/>
      </c>
      <c r="AY26" s="29" t="str">
        <f t="shared" si="15"/>
        <v/>
      </c>
      <c r="AZ26" s="29" t="str">
        <f t="shared" si="15"/>
        <v/>
      </c>
      <c r="BA26" s="29" t="str">
        <f t="shared" si="15"/>
        <v/>
      </c>
      <c r="BB26" s="29" t="str">
        <f t="shared" si="15"/>
        <v/>
      </c>
      <c r="BC26" s="29" t="str">
        <f t="shared" si="15"/>
        <v/>
      </c>
      <c r="BD26" s="29" t="str">
        <f t="shared" si="15"/>
        <v/>
      </c>
      <c r="BE26" s="29" t="str">
        <f t="shared" si="15"/>
        <v/>
      </c>
      <c r="BF26" s="29" t="str">
        <f t="shared" si="15"/>
        <v/>
      </c>
      <c r="BG26" s="29" t="str">
        <f t="shared" si="15"/>
        <v/>
      </c>
      <c r="BH26" s="29" t="str">
        <f t="shared" si="15"/>
        <v/>
      </c>
      <c r="BI26" s="29" t="str">
        <f t="shared" si="15"/>
        <v/>
      </c>
      <c r="BJ26" s="29" t="str">
        <f t="shared" si="15"/>
        <v/>
      </c>
      <c r="BK26" s="29" t="str">
        <f t="shared" si="15"/>
        <v/>
      </c>
      <c r="BL26" s="29" t="str">
        <f t="shared" si="15"/>
        <v/>
      </c>
      <c r="BM26" s="29" t="str">
        <f t="shared" si="15"/>
        <v/>
      </c>
      <c r="BN26" s="29" t="str">
        <f t="shared" si="15"/>
        <v/>
      </c>
      <c r="BO26" s="29" t="str">
        <f t="shared" si="15"/>
        <v/>
      </c>
      <c r="BP26" s="29" t="str">
        <f t="shared" si="15"/>
        <v/>
      </c>
      <c r="BQ26" s="29" t="str">
        <f t="shared" si="15"/>
        <v/>
      </c>
      <c r="BR26" s="29" t="str">
        <f t="shared" si="15"/>
        <v/>
      </c>
      <c r="BS26" s="29" t="str">
        <f t="shared" si="15"/>
        <v/>
      </c>
      <c r="BT26" s="29" t="str">
        <f t="shared" si="15"/>
        <v/>
      </c>
      <c r="BU26" s="29" t="str">
        <f t="shared" si="15"/>
        <v/>
      </c>
      <c r="BV26" s="29" t="str">
        <f t="shared" si="15"/>
        <v/>
      </c>
      <c r="BW26" s="29" t="str">
        <f t="shared" si="15"/>
        <v/>
      </c>
      <c r="BX26" s="29" t="str">
        <f t="shared" si="11"/>
        <v/>
      </c>
      <c r="BY26" s="29" t="str">
        <f t="shared" si="11"/>
        <v/>
      </c>
      <c r="BZ26" s="29" t="str">
        <f t="shared" si="11"/>
        <v/>
      </c>
      <c r="CA26" s="29" t="str">
        <f t="shared" si="11"/>
        <v/>
      </c>
      <c r="CB26" s="29" t="str">
        <f t="shared" si="11"/>
        <v/>
      </c>
      <c r="CC26" s="29" t="str">
        <f t="shared" si="11"/>
        <v/>
      </c>
      <c r="CD26" s="29" t="str">
        <f t="shared" si="11"/>
        <v/>
      </c>
      <c r="CE26" s="29" t="str">
        <f t="shared" si="11"/>
        <v/>
      </c>
      <c r="CF26" s="29" t="str">
        <f t="shared" si="11"/>
        <v/>
      </c>
      <c r="CG26" s="29" t="str">
        <f t="shared" si="11"/>
        <v/>
      </c>
      <c r="CH26" s="29" t="str">
        <f t="shared" si="11"/>
        <v/>
      </c>
      <c r="CI26" s="29" t="str">
        <f t="shared" si="11"/>
        <v/>
      </c>
      <c r="CJ26" s="29" t="str">
        <f t="shared" si="11"/>
        <v/>
      </c>
      <c r="CK26" s="29" t="str">
        <f t="shared" si="11"/>
        <v/>
      </c>
      <c r="CL26" s="29" t="str">
        <f t="shared" si="11"/>
        <v/>
      </c>
      <c r="CM26" s="29" t="str">
        <f t="shared" si="11"/>
        <v/>
      </c>
      <c r="CN26" s="29" t="str">
        <f t="shared" si="11"/>
        <v/>
      </c>
      <c r="CO26" s="29" t="str">
        <f t="shared" si="11"/>
        <v/>
      </c>
      <c r="CP26" s="29" t="str">
        <f t="shared" si="11"/>
        <v/>
      </c>
      <c r="CQ26" s="29" t="str">
        <f t="shared" si="11"/>
        <v/>
      </c>
      <c r="CR26" s="29" t="str">
        <f t="shared" si="11"/>
        <v/>
      </c>
      <c r="CS26" s="29" t="str">
        <f t="shared" si="11"/>
        <v/>
      </c>
      <c r="CT26" s="29" t="str">
        <f t="shared" si="11"/>
        <v/>
      </c>
      <c r="CU26" s="29" t="str">
        <f t="shared" si="11"/>
        <v/>
      </c>
      <c r="CV26" s="29" t="str">
        <f t="shared" si="11"/>
        <v/>
      </c>
      <c r="CW26" s="29" t="str">
        <f t="shared" si="12"/>
        <v/>
      </c>
      <c r="CX26" s="29" t="str">
        <f t="shared" si="12"/>
        <v/>
      </c>
      <c r="CY26" s="29" t="str">
        <f t="shared" si="12"/>
        <v/>
      </c>
      <c r="CZ26" s="29" t="str">
        <f t="shared" si="12"/>
        <v/>
      </c>
      <c r="DA26" s="29" t="str">
        <f t="shared" si="12"/>
        <v/>
      </c>
      <c r="DB26" s="29" t="str">
        <f t="shared" si="12"/>
        <v/>
      </c>
      <c r="DC26" s="29" t="str">
        <f t="shared" si="12"/>
        <v/>
      </c>
      <c r="DD26" s="29" t="str">
        <f t="shared" si="12"/>
        <v/>
      </c>
      <c r="DE26" s="29" t="str">
        <f t="shared" si="12"/>
        <v/>
      </c>
      <c r="DF26" s="29" t="str">
        <f t="shared" si="12"/>
        <v/>
      </c>
      <c r="DG26" s="29" t="str">
        <f t="shared" si="12"/>
        <v/>
      </c>
      <c r="DH26" s="29" t="str">
        <f t="shared" si="12"/>
        <v/>
      </c>
      <c r="DI26" s="29" t="str">
        <f t="shared" si="12"/>
        <v/>
      </c>
      <c r="DJ26" s="29" t="str">
        <f t="shared" si="12"/>
        <v/>
      </c>
      <c r="DK26" s="29" t="str">
        <f t="shared" si="12"/>
        <v/>
      </c>
      <c r="DL26" s="29" t="str">
        <f t="shared" si="12"/>
        <v/>
      </c>
      <c r="DM26" s="29" t="str">
        <f t="shared" si="12"/>
        <v/>
      </c>
      <c r="DN26" s="29" t="str">
        <f t="shared" si="12"/>
        <v/>
      </c>
      <c r="DO26" s="29" t="str">
        <f t="shared" si="12"/>
        <v/>
      </c>
      <c r="DP26" s="29" t="str">
        <f t="shared" si="12"/>
        <v/>
      </c>
      <c r="DQ26" s="29" t="str">
        <f t="shared" si="12"/>
        <v/>
      </c>
      <c r="DR26" s="29" t="str">
        <f t="shared" si="12"/>
        <v/>
      </c>
      <c r="DS26" s="29" t="str">
        <f t="shared" si="12"/>
        <v/>
      </c>
      <c r="DT26" s="29" t="str">
        <f t="shared" si="12"/>
        <v/>
      </c>
      <c r="DU26" s="29" t="str">
        <f t="shared" si="12"/>
        <v/>
      </c>
      <c r="DV26" s="29" t="str">
        <f t="shared" si="13"/>
        <v/>
      </c>
      <c r="DW26" s="29" t="str">
        <f t="shared" si="13"/>
        <v/>
      </c>
      <c r="DX26" s="29" t="str">
        <f t="shared" si="13"/>
        <v/>
      </c>
      <c r="DY26" s="29" t="str">
        <f t="shared" si="13"/>
        <v/>
      </c>
      <c r="DZ26" s="29" t="str">
        <f t="shared" si="13"/>
        <v/>
      </c>
      <c r="EA26" s="29" t="str">
        <f t="shared" si="13"/>
        <v/>
      </c>
      <c r="EB26" s="29" t="str">
        <f t="shared" si="13"/>
        <v/>
      </c>
      <c r="EC26" s="29" t="str">
        <f t="shared" si="13"/>
        <v/>
      </c>
      <c r="ED26" s="29" t="str">
        <f t="shared" si="13"/>
        <v/>
      </c>
      <c r="EE26" s="29" t="str">
        <f t="shared" si="13"/>
        <v/>
      </c>
      <c r="EF26" s="29" t="str">
        <f t="shared" si="13"/>
        <v/>
      </c>
      <c r="EG26" s="29" t="str">
        <f t="shared" si="13"/>
        <v/>
      </c>
      <c r="EH26" s="29" t="str">
        <f t="shared" si="13"/>
        <v/>
      </c>
      <c r="EI26" s="29" t="str">
        <f t="shared" si="13"/>
        <v/>
      </c>
      <c r="EJ26" s="29" t="str">
        <f t="shared" si="13"/>
        <v/>
      </c>
      <c r="EK26" s="29" t="str">
        <f t="shared" si="13"/>
        <v/>
      </c>
      <c r="EL26" s="29" t="str">
        <f t="shared" si="13"/>
        <v/>
      </c>
      <c r="EM26" s="29" t="str">
        <f t="shared" si="13"/>
        <v/>
      </c>
      <c r="EN26" s="29" t="str">
        <f t="shared" si="13"/>
        <v/>
      </c>
      <c r="EO26" s="29" t="str">
        <f t="shared" si="13"/>
        <v/>
      </c>
      <c r="EP26" s="29" t="str">
        <f t="shared" si="13"/>
        <v/>
      </c>
      <c r="EQ26" s="29" t="str">
        <f t="shared" si="13"/>
        <v/>
      </c>
      <c r="ER26" s="29" t="str">
        <f t="shared" si="13"/>
        <v/>
      </c>
      <c r="ES26" s="29" t="str">
        <f t="shared" si="13"/>
        <v/>
      </c>
      <c r="ET26" s="29" t="str">
        <f t="shared" si="13"/>
        <v/>
      </c>
    </row>
    <row r="27" spans="1:150" x14ac:dyDescent="0.2">
      <c r="A27" s="103" t="str">
        <f>TEXT('M&amp;V Tasks'!A28,"#")</f>
        <v>3</v>
      </c>
      <c r="B27" s="104" t="str">
        <f>TEXT('M&amp;V Tasks'!B28,"#")</f>
        <v>Install data logger on equipment and log for 1 week</v>
      </c>
      <c r="C27" s="103">
        <f>'M&amp;V Tasks'!I28</f>
        <v>0</v>
      </c>
      <c r="D27" s="27"/>
      <c r="E27" s="27"/>
      <c r="F27" s="29" t="str">
        <f t="shared" si="16"/>
        <v/>
      </c>
      <c r="G27" s="29" t="str">
        <f t="shared" si="16"/>
        <v/>
      </c>
      <c r="H27" s="29" t="str">
        <f t="shared" si="16"/>
        <v/>
      </c>
      <c r="I27" s="29" t="str">
        <f t="shared" si="16"/>
        <v/>
      </c>
      <c r="J27" s="29" t="str">
        <f t="shared" si="16"/>
        <v/>
      </c>
      <c r="K27" s="29" t="str">
        <f t="shared" si="16"/>
        <v/>
      </c>
      <c r="L27" s="29" t="str">
        <f t="shared" si="16"/>
        <v/>
      </c>
      <c r="M27" s="29" t="str">
        <f t="shared" si="16"/>
        <v/>
      </c>
      <c r="N27" s="29" t="str">
        <f t="shared" si="16"/>
        <v/>
      </c>
      <c r="O27" s="29" t="str">
        <f t="shared" si="16"/>
        <v/>
      </c>
      <c r="P27" s="29" t="str">
        <f t="shared" si="16"/>
        <v/>
      </c>
      <c r="Q27" s="29" t="str">
        <f t="shared" si="16"/>
        <v/>
      </c>
      <c r="R27" s="29" t="str">
        <f t="shared" si="16"/>
        <v/>
      </c>
      <c r="S27" s="29" t="str">
        <f t="shared" si="16"/>
        <v/>
      </c>
      <c r="T27" s="29" t="str">
        <f t="shared" si="16"/>
        <v/>
      </c>
      <c r="U27" s="29" t="str">
        <f t="shared" si="16"/>
        <v/>
      </c>
      <c r="V27" s="29" t="str">
        <f t="shared" si="15"/>
        <v/>
      </c>
      <c r="W27" s="29" t="str">
        <f t="shared" si="15"/>
        <v/>
      </c>
      <c r="X27" s="29" t="str">
        <f t="shared" si="15"/>
        <v/>
      </c>
      <c r="Y27" s="29" t="str">
        <f t="shared" si="15"/>
        <v/>
      </c>
      <c r="Z27" s="29" t="str">
        <f t="shared" si="15"/>
        <v/>
      </c>
      <c r="AA27" s="29" t="str">
        <f t="shared" si="15"/>
        <v/>
      </c>
      <c r="AB27" s="29" t="str">
        <f t="shared" si="15"/>
        <v/>
      </c>
      <c r="AC27" s="29" t="str">
        <f t="shared" si="15"/>
        <v/>
      </c>
      <c r="AD27" s="29" t="str">
        <f t="shared" si="15"/>
        <v/>
      </c>
      <c r="AE27" s="29" t="str">
        <f t="shared" si="15"/>
        <v/>
      </c>
      <c r="AF27" s="29" t="str">
        <f t="shared" si="15"/>
        <v/>
      </c>
      <c r="AG27" s="29" t="str">
        <f t="shared" si="15"/>
        <v/>
      </c>
      <c r="AH27" s="29" t="str">
        <f t="shared" si="15"/>
        <v/>
      </c>
      <c r="AI27" s="29" t="str">
        <f t="shared" si="15"/>
        <v/>
      </c>
      <c r="AJ27" s="29" t="str">
        <f t="shared" si="15"/>
        <v/>
      </c>
      <c r="AK27" s="29" t="str">
        <f t="shared" si="15"/>
        <v/>
      </c>
      <c r="AL27" s="29" t="str">
        <f t="shared" si="15"/>
        <v/>
      </c>
      <c r="AM27" s="29" t="str">
        <f t="shared" si="15"/>
        <v/>
      </c>
      <c r="AN27" s="29" t="str">
        <f t="shared" si="15"/>
        <v/>
      </c>
      <c r="AO27" s="29" t="str">
        <f t="shared" si="15"/>
        <v/>
      </c>
      <c r="AP27" s="29" t="str">
        <f t="shared" si="15"/>
        <v/>
      </c>
      <c r="AQ27" s="29" t="str">
        <f t="shared" si="15"/>
        <v/>
      </c>
      <c r="AR27" s="29" t="str">
        <f t="shared" si="15"/>
        <v/>
      </c>
      <c r="AS27" s="29" t="str">
        <f t="shared" si="15"/>
        <v/>
      </c>
      <c r="AT27" s="29" t="str">
        <f t="shared" si="15"/>
        <v/>
      </c>
      <c r="AU27" s="29" t="str">
        <f t="shared" si="15"/>
        <v/>
      </c>
      <c r="AV27" s="29" t="str">
        <f t="shared" si="15"/>
        <v/>
      </c>
      <c r="AW27" s="29" t="str">
        <f t="shared" si="15"/>
        <v/>
      </c>
      <c r="AX27" s="29" t="str">
        <f t="shared" si="15"/>
        <v/>
      </c>
      <c r="AY27" s="29" t="str">
        <f t="shared" si="15"/>
        <v/>
      </c>
      <c r="AZ27" s="29" t="str">
        <f t="shared" si="15"/>
        <v/>
      </c>
      <c r="BA27" s="29" t="str">
        <f t="shared" si="15"/>
        <v/>
      </c>
      <c r="BB27" s="29" t="str">
        <f t="shared" si="15"/>
        <v/>
      </c>
      <c r="BC27" s="29" t="str">
        <f t="shared" si="15"/>
        <v/>
      </c>
      <c r="BD27" s="29" t="str">
        <f t="shared" si="15"/>
        <v/>
      </c>
      <c r="BE27" s="29" t="str">
        <f t="shared" si="15"/>
        <v/>
      </c>
      <c r="BF27" s="29" t="str">
        <f t="shared" si="15"/>
        <v/>
      </c>
      <c r="BG27" s="29" t="str">
        <f t="shared" si="15"/>
        <v/>
      </c>
      <c r="BH27" s="29" t="str">
        <f t="shared" si="15"/>
        <v/>
      </c>
      <c r="BI27" s="29" t="str">
        <f t="shared" si="15"/>
        <v/>
      </c>
      <c r="BJ27" s="29" t="str">
        <f t="shared" si="15"/>
        <v/>
      </c>
      <c r="BK27" s="29" t="str">
        <f t="shared" si="15"/>
        <v/>
      </c>
      <c r="BL27" s="29" t="str">
        <f t="shared" si="15"/>
        <v/>
      </c>
      <c r="BM27" s="29" t="str">
        <f t="shared" si="15"/>
        <v/>
      </c>
      <c r="BN27" s="29" t="str">
        <f t="shared" si="15"/>
        <v/>
      </c>
      <c r="BO27" s="29" t="str">
        <f t="shared" si="15"/>
        <v/>
      </c>
      <c r="BP27" s="29" t="str">
        <f t="shared" si="15"/>
        <v/>
      </c>
      <c r="BQ27" s="29" t="str">
        <f t="shared" si="15"/>
        <v/>
      </c>
      <c r="BR27" s="29" t="str">
        <f t="shared" si="15"/>
        <v/>
      </c>
      <c r="BS27" s="29" t="str">
        <f t="shared" si="15"/>
        <v/>
      </c>
      <c r="BT27" s="29" t="str">
        <f t="shared" si="15"/>
        <v/>
      </c>
      <c r="BU27" s="29" t="str">
        <f t="shared" si="15"/>
        <v/>
      </c>
      <c r="BV27" s="29" t="str">
        <f>IF(AND(BV$9&gt;=$D27,BV$9&lt;=$E27),1,"")</f>
        <v/>
      </c>
      <c r="BW27" s="29" t="str">
        <f>IF(AND(BW$9&gt;=$D27,BW$9&lt;=$E27),1,"")</f>
        <v/>
      </c>
      <c r="BX27" s="29" t="str">
        <f t="shared" si="11"/>
        <v/>
      </c>
      <c r="BY27" s="29" t="str">
        <f t="shared" si="11"/>
        <v/>
      </c>
      <c r="BZ27" s="29" t="str">
        <f t="shared" si="11"/>
        <v/>
      </c>
      <c r="CA27" s="29" t="str">
        <f t="shared" si="11"/>
        <v/>
      </c>
      <c r="CB27" s="29" t="str">
        <f t="shared" si="11"/>
        <v/>
      </c>
      <c r="CC27" s="29" t="str">
        <f t="shared" si="11"/>
        <v/>
      </c>
      <c r="CD27" s="29" t="str">
        <f t="shared" si="11"/>
        <v/>
      </c>
      <c r="CE27" s="29" t="str">
        <f t="shared" si="11"/>
        <v/>
      </c>
      <c r="CF27" s="29" t="str">
        <f t="shared" si="11"/>
        <v/>
      </c>
      <c r="CG27" s="29" t="str">
        <f t="shared" si="11"/>
        <v/>
      </c>
      <c r="CH27" s="29" t="str">
        <f t="shared" si="11"/>
        <v/>
      </c>
      <c r="CI27" s="29" t="str">
        <f t="shared" si="11"/>
        <v/>
      </c>
      <c r="CJ27" s="29" t="str">
        <f t="shared" si="11"/>
        <v/>
      </c>
      <c r="CK27" s="29" t="str">
        <f t="shared" si="11"/>
        <v/>
      </c>
      <c r="CL27" s="29" t="str">
        <f t="shared" si="11"/>
        <v/>
      </c>
      <c r="CM27" s="29" t="str">
        <f t="shared" si="11"/>
        <v/>
      </c>
      <c r="CN27" s="29" t="str">
        <f t="shared" si="11"/>
        <v/>
      </c>
      <c r="CO27" s="29" t="str">
        <f t="shared" si="11"/>
        <v/>
      </c>
      <c r="CP27" s="29" t="str">
        <f t="shared" si="11"/>
        <v/>
      </c>
      <c r="CQ27" s="29" t="str">
        <f t="shared" si="11"/>
        <v/>
      </c>
      <c r="CR27" s="29" t="str">
        <f t="shared" si="11"/>
        <v/>
      </c>
      <c r="CS27" s="29" t="str">
        <f t="shared" si="11"/>
        <v/>
      </c>
      <c r="CT27" s="29" t="str">
        <f t="shared" si="11"/>
        <v/>
      </c>
      <c r="CU27" s="29" t="str">
        <f t="shared" si="11"/>
        <v/>
      </c>
      <c r="CV27" s="29" t="str">
        <f t="shared" si="11"/>
        <v/>
      </c>
      <c r="CW27" s="29" t="str">
        <f t="shared" si="12"/>
        <v/>
      </c>
      <c r="CX27" s="29" t="str">
        <f t="shared" si="12"/>
        <v/>
      </c>
      <c r="CY27" s="29" t="str">
        <f t="shared" si="12"/>
        <v/>
      </c>
      <c r="CZ27" s="29" t="str">
        <f t="shared" si="12"/>
        <v/>
      </c>
      <c r="DA27" s="29" t="str">
        <f t="shared" si="12"/>
        <v/>
      </c>
      <c r="DB27" s="29" t="str">
        <f t="shared" si="12"/>
        <v/>
      </c>
      <c r="DC27" s="29" t="str">
        <f t="shared" si="12"/>
        <v/>
      </c>
      <c r="DD27" s="29" t="str">
        <f t="shared" si="12"/>
        <v/>
      </c>
      <c r="DE27" s="29" t="str">
        <f t="shared" si="12"/>
        <v/>
      </c>
      <c r="DF27" s="29" t="str">
        <f t="shared" si="12"/>
        <v/>
      </c>
      <c r="DG27" s="29" t="str">
        <f t="shared" si="12"/>
        <v/>
      </c>
      <c r="DH27" s="29" t="str">
        <f t="shared" si="12"/>
        <v/>
      </c>
      <c r="DI27" s="29" t="str">
        <f t="shared" si="12"/>
        <v/>
      </c>
      <c r="DJ27" s="29" t="str">
        <f t="shared" si="12"/>
        <v/>
      </c>
      <c r="DK27" s="29" t="str">
        <f t="shared" si="12"/>
        <v/>
      </c>
      <c r="DL27" s="29" t="str">
        <f t="shared" si="12"/>
        <v/>
      </c>
      <c r="DM27" s="29" t="str">
        <f t="shared" si="12"/>
        <v/>
      </c>
      <c r="DN27" s="29" t="str">
        <f t="shared" si="12"/>
        <v/>
      </c>
      <c r="DO27" s="29" t="str">
        <f t="shared" si="12"/>
        <v/>
      </c>
      <c r="DP27" s="29" t="str">
        <f t="shared" si="12"/>
        <v/>
      </c>
      <c r="DQ27" s="29" t="str">
        <f t="shared" si="12"/>
        <v/>
      </c>
      <c r="DR27" s="29" t="str">
        <f t="shared" si="12"/>
        <v/>
      </c>
      <c r="DS27" s="29" t="str">
        <f t="shared" si="12"/>
        <v/>
      </c>
      <c r="DT27" s="29" t="str">
        <f t="shared" si="12"/>
        <v/>
      </c>
      <c r="DU27" s="29" t="str">
        <f t="shared" si="12"/>
        <v/>
      </c>
      <c r="DV27" s="29" t="str">
        <f t="shared" si="13"/>
        <v/>
      </c>
      <c r="DW27" s="29" t="str">
        <f t="shared" si="13"/>
        <v/>
      </c>
      <c r="DX27" s="29" t="str">
        <f t="shared" si="13"/>
        <v/>
      </c>
      <c r="DY27" s="29" t="str">
        <f t="shared" si="13"/>
        <v/>
      </c>
      <c r="DZ27" s="29" t="str">
        <f t="shared" si="13"/>
        <v/>
      </c>
      <c r="EA27" s="29" t="str">
        <f t="shared" si="13"/>
        <v/>
      </c>
      <c r="EB27" s="29" t="str">
        <f t="shared" si="13"/>
        <v/>
      </c>
      <c r="EC27" s="29" t="str">
        <f t="shared" si="13"/>
        <v/>
      </c>
      <c r="ED27" s="29" t="str">
        <f t="shared" si="13"/>
        <v/>
      </c>
      <c r="EE27" s="29" t="str">
        <f t="shared" si="13"/>
        <v/>
      </c>
      <c r="EF27" s="29" t="str">
        <f t="shared" si="13"/>
        <v/>
      </c>
      <c r="EG27" s="29" t="str">
        <f t="shared" si="13"/>
        <v/>
      </c>
      <c r="EH27" s="29" t="str">
        <f t="shared" si="13"/>
        <v/>
      </c>
      <c r="EI27" s="29" t="str">
        <f t="shared" si="13"/>
        <v/>
      </c>
      <c r="EJ27" s="29" t="str">
        <f t="shared" si="13"/>
        <v/>
      </c>
      <c r="EK27" s="29" t="str">
        <f t="shared" si="13"/>
        <v/>
      </c>
      <c r="EL27" s="29" t="str">
        <f t="shared" si="13"/>
        <v/>
      </c>
      <c r="EM27" s="29" t="str">
        <f t="shared" si="13"/>
        <v/>
      </c>
      <c r="EN27" s="29" t="str">
        <f t="shared" si="13"/>
        <v/>
      </c>
      <c r="EO27" s="29" t="str">
        <f t="shared" si="13"/>
        <v/>
      </c>
      <c r="EP27" s="29" t="str">
        <f t="shared" si="13"/>
        <v/>
      </c>
      <c r="EQ27" s="29" t="str">
        <f t="shared" si="13"/>
        <v/>
      </c>
      <c r="ER27" s="29" t="str">
        <f t="shared" si="13"/>
        <v/>
      </c>
      <c r="ES27" s="29" t="str">
        <f t="shared" si="13"/>
        <v/>
      </c>
      <c r="ET27" s="29" t="str">
        <f t="shared" si="13"/>
        <v/>
      </c>
    </row>
    <row r="28" spans="1:150" x14ac:dyDescent="0.2">
      <c r="A28" s="103" t="str">
        <f>TEXT('M&amp;V Tasks'!A29,"#")</f>
        <v>4</v>
      </c>
      <c r="B28" s="104" t="str">
        <f>TEXT('M&amp;V Tasks'!B29,"#")</f>
        <v>Review throughput tracker to ensure quality data collection</v>
      </c>
      <c r="C28" s="103">
        <f>'M&amp;V Tasks'!I29</f>
        <v>0</v>
      </c>
      <c r="D28" s="27"/>
      <c r="E28" s="27"/>
      <c r="F28" s="29" t="str">
        <f t="shared" si="16"/>
        <v/>
      </c>
      <c r="G28" s="29" t="str">
        <f t="shared" si="16"/>
        <v/>
      </c>
      <c r="H28" s="29" t="str">
        <f t="shared" si="16"/>
        <v/>
      </c>
      <c r="I28" s="29" t="str">
        <f t="shared" si="16"/>
        <v/>
      </c>
      <c r="J28" s="29" t="str">
        <f t="shared" si="16"/>
        <v/>
      </c>
      <c r="K28" s="29" t="str">
        <f t="shared" si="16"/>
        <v/>
      </c>
      <c r="L28" s="29" t="str">
        <f t="shared" si="16"/>
        <v/>
      </c>
      <c r="M28" s="29" t="str">
        <f t="shared" si="16"/>
        <v/>
      </c>
      <c r="N28" s="29" t="str">
        <f t="shared" si="16"/>
        <v/>
      </c>
      <c r="O28" s="29" t="str">
        <f t="shared" si="16"/>
        <v/>
      </c>
      <c r="P28" s="29" t="str">
        <f t="shared" si="16"/>
        <v/>
      </c>
      <c r="Q28" s="29" t="str">
        <f t="shared" si="16"/>
        <v/>
      </c>
      <c r="R28" s="29" t="str">
        <f t="shared" si="16"/>
        <v/>
      </c>
      <c r="S28" s="29" t="str">
        <f t="shared" si="16"/>
        <v/>
      </c>
      <c r="T28" s="29" t="str">
        <f t="shared" si="16"/>
        <v/>
      </c>
      <c r="U28" s="29" t="str">
        <f t="shared" si="16"/>
        <v/>
      </c>
      <c r="V28" s="29" t="str">
        <f t="shared" ref="V28:BX32" si="17">IF(AND(V$9&gt;=$D28,V$9&lt;=$E28),1,"")</f>
        <v/>
      </c>
      <c r="W28" s="29" t="str">
        <f t="shared" si="17"/>
        <v/>
      </c>
      <c r="X28" s="29" t="str">
        <f t="shared" si="17"/>
        <v/>
      </c>
      <c r="Y28" s="29" t="str">
        <f t="shared" si="17"/>
        <v/>
      </c>
      <c r="Z28" s="29" t="str">
        <f t="shared" si="17"/>
        <v/>
      </c>
      <c r="AA28" s="29" t="str">
        <f t="shared" si="17"/>
        <v/>
      </c>
      <c r="AB28" s="29" t="str">
        <f t="shared" si="17"/>
        <v/>
      </c>
      <c r="AC28" s="29" t="str">
        <f t="shared" si="17"/>
        <v/>
      </c>
      <c r="AD28" s="29" t="str">
        <f t="shared" si="17"/>
        <v/>
      </c>
      <c r="AE28" s="29" t="str">
        <f t="shared" si="17"/>
        <v/>
      </c>
      <c r="AF28" s="29" t="str">
        <f t="shared" si="17"/>
        <v/>
      </c>
      <c r="AG28" s="29" t="str">
        <f t="shared" si="17"/>
        <v/>
      </c>
      <c r="AH28" s="29" t="str">
        <f t="shared" si="17"/>
        <v/>
      </c>
      <c r="AI28" s="29" t="str">
        <f t="shared" si="17"/>
        <v/>
      </c>
      <c r="AJ28" s="29" t="str">
        <f t="shared" si="17"/>
        <v/>
      </c>
      <c r="AK28" s="29" t="str">
        <f t="shared" si="17"/>
        <v/>
      </c>
      <c r="AL28" s="29" t="str">
        <f t="shared" si="17"/>
        <v/>
      </c>
      <c r="AM28" s="29" t="str">
        <f t="shared" si="17"/>
        <v/>
      </c>
      <c r="AN28" s="29" t="str">
        <f t="shared" si="17"/>
        <v/>
      </c>
      <c r="AO28" s="29" t="str">
        <f t="shared" si="17"/>
        <v/>
      </c>
      <c r="AP28" s="29" t="str">
        <f t="shared" si="17"/>
        <v/>
      </c>
      <c r="AQ28" s="29" t="str">
        <f t="shared" si="17"/>
        <v/>
      </c>
      <c r="AR28" s="29" t="str">
        <f t="shared" si="17"/>
        <v/>
      </c>
      <c r="AS28" s="29" t="str">
        <f t="shared" si="17"/>
        <v/>
      </c>
      <c r="AT28" s="29" t="str">
        <f t="shared" si="17"/>
        <v/>
      </c>
      <c r="AU28" s="29" t="str">
        <f t="shared" si="17"/>
        <v/>
      </c>
      <c r="AV28" s="29" t="str">
        <f t="shared" si="17"/>
        <v/>
      </c>
      <c r="AW28" s="29" t="str">
        <f t="shared" si="17"/>
        <v/>
      </c>
      <c r="AX28" s="29" t="str">
        <f t="shared" si="17"/>
        <v/>
      </c>
      <c r="AY28" s="29" t="str">
        <f t="shared" si="17"/>
        <v/>
      </c>
      <c r="AZ28" s="29" t="str">
        <f t="shared" si="17"/>
        <v/>
      </c>
      <c r="BA28" s="29" t="str">
        <f t="shared" si="17"/>
        <v/>
      </c>
      <c r="BB28" s="29" t="str">
        <f t="shared" si="17"/>
        <v/>
      </c>
      <c r="BC28" s="29" t="str">
        <f t="shared" si="17"/>
        <v/>
      </c>
      <c r="BD28" s="29" t="str">
        <f t="shared" si="17"/>
        <v/>
      </c>
      <c r="BE28" s="29" t="str">
        <f t="shared" si="17"/>
        <v/>
      </c>
      <c r="BF28" s="29" t="str">
        <f t="shared" si="17"/>
        <v/>
      </c>
      <c r="BG28" s="29" t="str">
        <f t="shared" si="17"/>
        <v/>
      </c>
      <c r="BH28" s="29" t="str">
        <f t="shared" si="17"/>
        <v/>
      </c>
      <c r="BI28" s="29" t="str">
        <f t="shared" si="17"/>
        <v/>
      </c>
      <c r="BJ28" s="29" t="str">
        <f t="shared" si="17"/>
        <v/>
      </c>
      <c r="BK28" s="29" t="str">
        <f t="shared" si="17"/>
        <v/>
      </c>
      <c r="BL28" s="29" t="str">
        <f t="shared" si="17"/>
        <v/>
      </c>
      <c r="BM28" s="29" t="str">
        <f t="shared" si="17"/>
        <v/>
      </c>
      <c r="BN28" s="29" t="str">
        <f t="shared" si="17"/>
        <v/>
      </c>
      <c r="BO28" s="29" t="str">
        <f t="shared" si="17"/>
        <v/>
      </c>
      <c r="BP28" s="29" t="str">
        <f t="shared" si="17"/>
        <v/>
      </c>
      <c r="BQ28" s="29" t="str">
        <f t="shared" si="17"/>
        <v/>
      </c>
      <c r="BR28" s="29" t="str">
        <f t="shared" si="17"/>
        <v/>
      </c>
      <c r="BS28" s="29" t="str">
        <f t="shared" si="17"/>
        <v/>
      </c>
      <c r="BT28" s="29" t="str">
        <f t="shared" si="17"/>
        <v/>
      </c>
      <c r="BU28" s="29" t="str">
        <f t="shared" si="17"/>
        <v/>
      </c>
      <c r="BV28" s="29" t="str">
        <f t="shared" si="17"/>
        <v/>
      </c>
      <c r="BW28" s="29" t="str">
        <f t="shared" si="17"/>
        <v/>
      </c>
      <c r="BX28" s="29" t="str">
        <f t="shared" si="11"/>
        <v/>
      </c>
      <c r="BY28" s="29" t="str">
        <f t="shared" si="11"/>
        <v/>
      </c>
      <c r="BZ28" s="29" t="str">
        <f t="shared" si="11"/>
        <v/>
      </c>
      <c r="CA28" s="29" t="str">
        <f t="shared" si="11"/>
        <v/>
      </c>
      <c r="CB28" s="29" t="str">
        <f t="shared" si="11"/>
        <v/>
      </c>
      <c r="CC28" s="29" t="str">
        <f t="shared" si="11"/>
        <v/>
      </c>
      <c r="CD28" s="29" t="str">
        <f t="shared" si="11"/>
        <v/>
      </c>
      <c r="CE28" s="29" t="str">
        <f t="shared" si="11"/>
        <v/>
      </c>
      <c r="CF28" s="29" t="str">
        <f t="shared" si="11"/>
        <v/>
      </c>
      <c r="CG28" s="29" t="str">
        <f t="shared" si="11"/>
        <v/>
      </c>
      <c r="CH28" s="29" t="str">
        <f t="shared" si="11"/>
        <v/>
      </c>
      <c r="CI28" s="29" t="str">
        <f t="shared" si="11"/>
        <v/>
      </c>
      <c r="CJ28" s="29" t="str">
        <f t="shared" si="11"/>
        <v/>
      </c>
      <c r="CK28" s="29" t="str">
        <f t="shared" si="11"/>
        <v/>
      </c>
      <c r="CL28" s="29" t="str">
        <f t="shared" si="11"/>
        <v/>
      </c>
      <c r="CM28" s="29" t="str">
        <f t="shared" si="11"/>
        <v/>
      </c>
      <c r="CN28" s="29" t="str">
        <f t="shared" si="11"/>
        <v/>
      </c>
      <c r="CO28" s="29" t="str">
        <f t="shared" si="11"/>
        <v/>
      </c>
      <c r="CP28" s="29" t="str">
        <f t="shared" si="11"/>
        <v/>
      </c>
      <c r="CQ28" s="29" t="str">
        <f t="shared" si="11"/>
        <v/>
      </c>
      <c r="CR28" s="29" t="str">
        <f t="shared" si="11"/>
        <v/>
      </c>
      <c r="CS28" s="29" t="str">
        <f t="shared" si="11"/>
        <v/>
      </c>
      <c r="CT28" s="29" t="str">
        <f t="shared" si="11"/>
        <v/>
      </c>
      <c r="CU28" s="29" t="str">
        <f t="shared" si="11"/>
        <v/>
      </c>
      <c r="CV28" s="29" t="str">
        <f t="shared" si="11"/>
        <v/>
      </c>
      <c r="CW28" s="29" t="str">
        <f t="shared" si="12"/>
        <v/>
      </c>
      <c r="CX28" s="29" t="str">
        <f t="shared" si="12"/>
        <v/>
      </c>
      <c r="CY28" s="29" t="str">
        <f t="shared" si="12"/>
        <v/>
      </c>
      <c r="CZ28" s="29" t="str">
        <f t="shared" si="12"/>
        <v/>
      </c>
      <c r="DA28" s="29" t="str">
        <f t="shared" si="12"/>
        <v/>
      </c>
      <c r="DB28" s="29" t="str">
        <f t="shared" si="12"/>
        <v/>
      </c>
      <c r="DC28" s="29" t="str">
        <f t="shared" si="12"/>
        <v/>
      </c>
      <c r="DD28" s="29" t="str">
        <f t="shared" si="12"/>
        <v/>
      </c>
      <c r="DE28" s="29" t="str">
        <f t="shared" si="12"/>
        <v/>
      </c>
      <c r="DF28" s="29" t="str">
        <f t="shared" si="12"/>
        <v/>
      </c>
      <c r="DG28" s="29" t="str">
        <f t="shared" si="12"/>
        <v/>
      </c>
      <c r="DH28" s="29" t="str">
        <f t="shared" si="12"/>
        <v/>
      </c>
      <c r="DI28" s="29" t="str">
        <f t="shared" si="12"/>
        <v/>
      </c>
      <c r="DJ28" s="29" t="str">
        <f t="shared" si="12"/>
        <v/>
      </c>
      <c r="DK28" s="29" t="str">
        <f t="shared" si="12"/>
        <v/>
      </c>
      <c r="DL28" s="29" t="str">
        <f t="shared" si="12"/>
        <v/>
      </c>
      <c r="DM28" s="29" t="str">
        <f t="shared" si="12"/>
        <v/>
      </c>
      <c r="DN28" s="29" t="str">
        <f t="shared" si="12"/>
        <v/>
      </c>
      <c r="DO28" s="29" t="str">
        <f t="shared" si="12"/>
        <v/>
      </c>
      <c r="DP28" s="29" t="str">
        <f t="shared" si="12"/>
        <v/>
      </c>
      <c r="DQ28" s="29" t="str">
        <f t="shared" si="12"/>
        <v/>
      </c>
      <c r="DR28" s="29" t="str">
        <f t="shared" si="12"/>
        <v/>
      </c>
      <c r="DS28" s="29" t="str">
        <f t="shared" si="12"/>
        <v/>
      </c>
      <c r="DT28" s="29" t="str">
        <f t="shared" si="12"/>
        <v/>
      </c>
      <c r="DU28" s="29" t="str">
        <f t="shared" si="12"/>
        <v/>
      </c>
      <c r="DV28" s="29" t="str">
        <f t="shared" si="13"/>
        <v/>
      </c>
      <c r="DW28" s="29" t="str">
        <f t="shared" si="13"/>
        <v/>
      </c>
      <c r="DX28" s="29" t="str">
        <f t="shared" si="13"/>
        <v/>
      </c>
      <c r="DY28" s="29" t="str">
        <f t="shared" si="13"/>
        <v/>
      </c>
      <c r="DZ28" s="29" t="str">
        <f t="shared" si="13"/>
        <v/>
      </c>
      <c r="EA28" s="29" t="str">
        <f t="shared" si="13"/>
        <v/>
      </c>
      <c r="EB28" s="29" t="str">
        <f t="shared" si="13"/>
        <v/>
      </c>
      <c r="EC28" s="29" t="str">
        <f t="shared" si="13"/>
        <v/>
      </c>
      <c r="ED28" s="29" t="str">
        <f t="shared" si="13"/>
        <v/>
      </c>
      <c r="EE28" s="29" t="str">
        <f t="shared" si="13"/>
        <v/>
      </c>
      <c r="EF28" s="29" t="str">
        <f t="shared" si="13"/>
        <v/>
      </c>
      <c r="EG28" s="29" t="str">
        <f t="shared" si="13"/>
        <v/>
      </c>
      <c r="EH28" s="29" t="str">
        <f t="shared" si="13"/>
        <v/>
      </c>
      <c r="EI28" s="29" t="str">
        <f t="shared" si="13"/>
        <v/>
      </c>
      <c r="EJ28" s="29" t="str">
        <f t="shared" si="13"/>
        <v/>
      </c>
      <c r="EK28" s="29" t="str">
        <f t="shared" si="13"/>
        <v/>
      </c>
      <c r="EL28" s="29" t="str">
        <f t="shared" si="13"/>
        <v/>
      </c>
      <c r="EM28" s="29" t="str">
        <f t="shared" si="13"/>
        <v/>
      </c>
      <c r="EN28" s="29" t="str">
        <f t="shared" si="13"/>
        <v/>
      </c>
      <c r="EO28" s="29" t="str">
        <f t="shared" si="13"/>
        <v/>
      </c>
      <c r="EP28" s="29" t="str">
        <f t="shared" si="13"/>
        <v/>
      </c>
      <c r="EQ28" s="29" t="str">
        <f t="shared" si="13"/>
        <v/>
      </c>
      <c r="ER28" s="29" t="str">
        <f t="shared" si="13"/>
        <v/>
      </c>
      <c r="ES28" s="29" t="str">
        <f t="shared" si="13"/>
        <v/>
      </c>
      <c r="ET28" s="29" t="str">
        <f t="shared" si="13"/>
        <v/>
      </c>
    </row>
    <row r="29" spans="1:150" x14ac:dyDescent="0.2">
      <c r="A29" s="103" t="str">
        <f>TEXT('M&amp;V Tasks'!A30,"#")</f>
        <v>5</v>
      </c>
      <c r="B29" s="104" t="str">
        <f>TEXT('M&amp;V Tasks'!B30,"#")</f>
        <v>Download logger data and check to ensure completeness</v>
      </c>
      <c r="C29" s="103">
        <f>'M&amp;V Tasks'!I30</f>
        <v>0</v>
      </c>
      <c r="D29" s="27"/>
      <c r="E29" s="27"/>
      <c r="F29" s="29" t="str">
        <f t="shared" si="16"/>
        <v/>
      </c>
      <c r="G29" s="29" t="str">
        <f t="shared" si="16"/>
        <v/>
      </c>
      <c r="H29" s="29" t="str">
        <f t="shared" si="16"/>
        <v/>
      </c>
      <c r="I29" s="29" t="str">
        <f t="shared" si="16"/>
        <v/>
      </c>
      <c r="J29" s="29" t="str">
        <f t="shared" si="16"/>
        <v/>
      </c>
      <c r="K29" s="29" t="str">
        <f t="shared" si="16"/>
        <v/>
      </c>
      <c r="L29" s="29" t="str">
        <f t="shared" si="16"/>
        <v/>
      </c>
      <c r="M29" s="29" t="str">
        <f t="shared" si="16"/>
        <v/>
      </c>
      <c r="N29" s="29" t="str">
        <f t="shared" si="16"/>
        <v/>
      </c>
      <c r="O29" s="29" t="str">
        <f t="shared" si="16"/>
        <v/>
      </c>
      <c r="P29" s="29" t="str">
        <f t="shared" si="16"/>
        <v/>
      </c>
      <c r="Q29" s="29" t="str">
        <f t="shared" si="16"/>
        <v/>
      </c>
      <c r="R29" s="29" t="str">
        <f t="shared" si="16"/>
        <v/>
      </c>
      <c r="S29" s="29" t="str">
        <f t="shared" si="16"/>
        <v/>
      </c>
      <c r="T29" s="29" t="str">
        <f t="shared" si="16"/>
        <v/>
      </c>
      <c r="U29" s="29" t="str">
        <f t="shared" si="16"/>
        <v/>
      </c>
      <c r="V29" s="29" t="str">
        <f t="shared" si="17"/>
        <v/>
      </c>
      <c r="W29" s="29" t="str">
        <f t="shared" si="17"/>
        <v/>
      </c>
      <c r="X29" s="29" t="str">
        <f t="shared" si="17"/>
        <v/>
      </c>
      <c r="Y29" s="29" t="str">
        <f t="shared" si="17"/>
        <v/>
      </c>
      <c r="Z29" s="29" t="str">
        <f t="shared" si="17"/>
        <v/>
      </c>
      <c r="AA29" s="29" t="str">
        <f t="shared" si="17"/>
        <v/>
      </c>
      <c r="AB29" s="29" t="str">
        <f t="shared" si="17"/>
        <v/>
      </c>
      <c r="AC29" s="29" t="str">
        <f t="shared" si="17"/>
        <v/>
      </c>
      <c r="AD29" s="29" t="str">
        <f t="shared" si="17"/>
        <v/>
      </c>
      <c r="AE29" s="29" t="str">
        <f t="shared" si="17"/>
        <v/>
      </c>
      <c r="AF29" s="29" t="str">
        <f t="shared" si="17"/>
        <v/>
      </c>
      <c r="AG29" s="29" t="str">
        <f t="shared" si="17"/>
        <v/>
      </c>
      <c r="AH29" s="29" t="str">
        <f t="shared" si="17"/>
        <v/>
      </c>
      <c r="AI29" s="29" t="str">
        <f t="shared" si="17"/>
        <v/>
      </c>
      <c r="AJ29" s="29" t="str">
        <f t="shared" si="17"/>
        <v/>
      </c>
      <c r="AK29" s="29" t="str">
        <f t="shared" si="17"/>
        <v/>
      </c>
      <c r="AL29" s="29" t="str">
        <f t="shared" si="17"/>
        <v/>
      </c>
      <c r="AM29" s="29" t="str">
        <f t="shared" si="17"/>
        <v/>
      </c>
      <c r="AN29" s="29" t="str">
        <f t="shared" si="17"/>
        <v/>
      </c>
      <c r="AO29" s="29" t="str">
        <f t="shared" si="17"/>
        <v/>
      </c>
      <c r="AP29" s="29" t="str">
        <f t="shared" si="17"/>
        <v/>
      </c>
      <c r="AQ29" s="29" t="str">
        <f t="shared" si="17"/>
        <v/>
      </c>
      <c r="AR29" s="29" t="str">
        <f t="shared" si="17"/>
        <v/>
      </c>
      <c r="AS29" s="29" t="str">
        <f t="shared" si="17"/>
        <v/>
      </c>
      <c r="AT29" s="29" t="str">
        <f t="shared" si="17"/>
        <v/>
      </c>
      <c r="AU29" s="29" t="str">
        <f t="shared" si="17"/>
        <v/>
      </c>
      <c r="AV29" s="29" t="str">
        <f t="shared" si="17"/>
        <v/>
      </c>
      <c r="AW29" s="29" t="str">
        <f t="shared" si="17"/>
        <v/>
      </c>
      <c r="AX29" s="29" t="str">
        <f t="shared" si="17"/>
        <v/>
      </c>
      <c r="AY29" s="29" t="str">
        <f t="shared" si="17"/>
        <v/>
      </c>
      <c r="AZ29" s="29" t="str">
        <f t="shared" si="17"/>
        <v/>
      </c>
      <c r="BA29" s="29" t="str">
        <f t="shared" si="17"/>
        <v/>
      </c>
      <c r="BB29" s="29" t="str">
        <f t="shared" si="17"/>
        <v/>
      </c>
      <c r="BC29" s="29" t="str">
        <f t="shared" si="17"/>
        <v/>
      </c>
      <c r="BD29" s="29" t="str">
        <f t="shared" si="17"/>
        <v/>
      </c>
      <c r="BE29" s="29" t="str">
        <f t="shared" si="17"/>
        <v/>
      </c>
      <c r="BF29" s="29" t="str">
        <f t="shared" si="17"/>
        <v/>
      </c>
      <c r="BG29" s="29" t="str">
        <f t="shared" si="17"/>
        <v/>
      </c>
      <c r="BH29" s="29" t="str">
        <f t="shared" si="17"/>
        <v/>
      </c>
      <c r="BI29" s="29" t="str">
        <f t="shared" si="17"/>
        <v/>
      </c>
      <c r="BJ29" s="29" t="str">
        <f t="shared" si="17"/>
        <v/>
      </c>
      <c r="BK29" s="29" t="str">
        <f t="shared" si="17"/>
        <v/>
      </c>
      <c r="BL29" s="29" t="str">
        <f t="shared" si="17"/>
        <v/>
      </c>
      <c r="BM29" s="29" t="str">
        <f t="shared" si="17"/>
        <v/>
      </c>
      <c r="BN29" s="29" t="str">
        <f t="shared" si="17"/>
        <v/>
      </c>
      <c r="BO29" s="29" t="str">
        <f t="shared" si="17"/>
        <v/>
      </c>
      <c r="BP29" s="29" t="str">
        <f t="shared" si="17"/>
        <v/>
      </c>
      <c r="BQ29" s="29" t="str">
        <f t="shared" si="17"/>
        <v/>
      </c>
      <c r="BR29" s="29" t="str">
        <f t="shared" si="17"/>
        <v/>
      </c>
      <c r="BS29" s="29" t="str">
        <f t="shared" si="17"/>
        <v/>
      </c>
      <c r="BT29" s="29" t="str">
        <f t="shared" si="17"/>
        <v/>
      </c>
      <c r="BU29" s="29" t="str">
        <f t="shared" si="17"/>
        <v/>
      </c>
      <c r="BV29" s="29" t="str">
        <f t="shared" si="17"/>
        <v/>
      </c>
      <c r="BW29" s="29" t="str">
        <f t="shared" si="17"/>
        <v/>
      </c>
      <c r="BX29" s="29" t="str">
        <f t="shared" si="11"/>
        <v/>
      </c>
      <c r="BY29" s="29" t="str">
        <f t="shared" si="11"/>
        <v/>
      </c>
      <c r="BZ29" s="29" t="str">
        <f t="shared" si="11"/>
        <v/>
      </c>
      <c r="CA29" s="29" t="str">
        <f t="shared" si="11"/>
        <v/>
      </c>
      <c r="CB29" s="29" t="str">
        <f t="shared" si="11"/>
        <v/>
      </c>
      <c r="CC29" s="29" t="str">
        <f t="shared" si="11"/>
        <v/>
      </c>
      <c r="CD29" s="29" t="str">
        <f t="shared" si="11"/>
        <v/>
      </c>
      <c r="CE29" s="29" t="str">
        <f t="shared" si="11"/>
        <v/>
      </c>
      <c r="CF29" s="29" t="str">
        <f t="shared" si="11"/>
        <v/>
      </c>
      <c r="CG29" s="29" t="str">
        <f t="shared" ref="CG29:CV29" si="18">IF(AND(CG$9&gt;=$D29,CG$9&lt;=$E29),1,"")</f>
        <v/>
      </c>
      <c r="CH29" s="29" t="str">
        <f t="shared" si="18"/>
        <v/>
      </c>
      <c r="CI29" s="29" t="str">
        <f t="shared" si="18"/>
        <v/>
      </c>
      <c r="CJ29" s="29" t="str">
        <f t="shared" si="18"/>
        <v/>
      </c>
      <c r="CK29" s="29" t="str">
        <f t="shared" si="18"/>
        <v/>
      </c>
      <c r="CL29" s="29" t="str">
        <f t="shared" si="18"/>
        <v/>
      </c>
      <c r="CM29" s="29" t="str">
        <f t="shared" si="18"/>
        <v/>
      </c>
      <c r="CN29" s="29" t="str">
        <f t="shared" si="18"/>
        <v/>
      </c>
      <c r="CO29" s="29" t="str">
        <f t="shared" si="18"/>
        <v/>
      </c>
      <c r="CP29" s="29" t="str">
        <f t="shared" si="18"/>
        <v/>
      </c>
      <c r="CQ29" s="29" t="str">
        <f t="shared" si="18"/>
        <v/>
      </c>
      <c r="CR29" s="29" t="str">
        <f t="shared" si="18"/>
        <v/>
      </c>
      <c r="CS29" s="29" t="str">
        <f t="shared" si="18"/>
        <v/>
      </c>
      <c r="CT29" s="29" t="str">
        <f t="shared" si="18"/>
        <v/>
      </c>
      <c r="CU29" s="29" t="str">
        <f t="shared" si="18"/>
        <v/>
      </c>
      <c r="CV29" s="29" t="str">
        <f t="shared" si="18"/>
        <v/>
      </c>
      <c r="CW29" s="29" t="str">
        <f t="shared" si="12"/>
        <v/>
      </c>
      <c r="CX29" s="29" t="str">
        <f t="shared" si="12"/>
        <v/>
      </c>
      <c r="CY29" s="29" t="str">
        <f t="shared" si="12"/>
        <v/>
      </c>
      <c r="CZ29" s="29" t="str">
        <f t="shared" si="12"/>
        <v/>
      </c>
      <c r="DA29" s="29" t="str">
        <f t="shared" si="12"/>
        <v/>
      </c>
      <c r="DB29" s="29" t="str">
        <f t="shared" si="12"/>
        <v/>
      </c>
      <c r="DC29" s="29" t="str">
        <f t="shared" si="12"/>
        <v/>
      </c>
      <c r="DD29" s="29" t="str">
        <f t="shared" si="12"/>
        <v/>
      </c>
      <c r="DE29" s="29" t="str">
        <f t="shared" si="12"/>
        <v/>
      </c>
      <c r="DF29" s="29" t="str">
        <f t="shared" ref="DF29:DU29" si="19">IF(AND(DF$9&gt;=$D29,DF$9&lt;=$E29),1,"")</f>
        <v/>
      </c>
      <c r="DG29" s="29" t="str">
        <f t="shared" si="19"/>
        <v/>
      </c>
      <c r="DH29" s="29" t="str">
        <f t="shared" si="19"/>
        <v/>
      </c>
      <c r="DI29" s="29" t="str">
        <f t="shared" si="19"/>
        <v/>
      </c>
      <c r="DJ29" s="29" t="str">
        <f t="shared" si="19"/>
        <v/>
      </c>
      <c r="DK29" s="29" t="str">
        <f t="shared" si="19"/>
        <v/>
      </c>
      <c r="DL29" s="29" t="str">
        <f t="shared" si="19"/>
        <v/>
      </c>
      <c r="DM29" s="29" t="str">
        <f t="shared" si="19"/>
        <v/>
      </c>
      <c r="DN29" s="29" t="str">
        <f t="shared" si="19"/>
        <v/>
      </c>
      <c r="DO29" s="29" t="str">
        <f t="shared" si="19"/>
        <v/>
      </c>
      <c r="DP29" s="29" t="str">
        <f t="shared" si="19"/>
        <v/>
      </c>
      <c r="DQ29" s="29" t="str">
        <f t="shared" si="19"/>
        <v/>
      </c>
      <c r="DR29" s="29" t="str">
        <f t="shared" si="19"/>
        <v/>
      </c>
      <c r="DS29" s="29" t="str">
        <f t="shared" si="19"/>
        <v/>
      </c>
      <c r="DT29" s="29" t="str">
        <f t="shared" si="19"/>
        <v/>
      </c>
      <c r="DU29" s="29" t="str">
        <f t="shared" si="19"/>
        <v/>
      </c>
      <c r="DV29" s="29" t="str">
        <f t="shared" si="13"/>
        <v/>
      </c>
      <c r="DW29" s="29" t="str">
        <f t="shared" si="13"/>
        <v/>
      </c>
      <c r="DX29" s="29" t="str">
        <f t="shared" si="13"/>
        <v/>
      </c>
      <c r="DY29" s="29" t="str">
        <f t="shared" si="13"/>
        <v/>
      </c>
      <c r="DZ29" s="29" t="str">
        <f t="shared" si="13"/>
        <v/>
      </c>
      <c r="EA29" s="29" t="str">
        <f t="shared" si="13"/>
        <v/>
      </c>
      <c r="EB29" s="29" t="str">
        <f t="shared" si="13"/>
        <v/>
      </c>
      <c r="EC29" s="29" t="str">
        <f t="shared" si="13"/>
        <v/>
      </c>
      <c r="ED29" s="29" t="str">
        <f t="shared" si="13"/>
        <v/>
      </c>
      <c r="EE29" s="29" t="str">
        <f t="shared" ref="EE29:ET29" si="20">IF(AND(EE$9&gt;=$D29,EE$9&lt;=$E29),1,"")</f>
        <v/>
      </c>
      <c r="EF29" s="29" t="str">
        <f t="shared" si="20"/>
        <v/>
      </c>
      <c r="EG29" s="29" t="str">
        <f t="shared" si="20"/>
        <v/>
      </c>
      <c r="EH29" s="29" t="str">
        <f t="shared" si="20"/>
        <v/>
      </c>
      <c r="EI29" s="29" t="str">
        <f t="shared" si="20"/>
        <v/>
      </c>
      <c r="EJ29" s="29" t="str">
        <f t="shared" si="20"/>
        <v/>
      </c>
      <c r="EK29" s="29" t="str">
        <f t="shared" si="20"/>
        <v/>
      </c>
      <c r="EL29" s="29" t="str">
        <f t="shared" si="20"/>
        <v/>
      </c>
      <c r="EM29" s="29" t="str">
        <f t="shared" si="20"/>
        <v/>
      </c>
      <c r="EN29" s="29" t="str">
        <f t="shared" si="20"/>
        <v/>
      </c>
      <c r="EO29" s="29" t="str">
        <f t="shared" si="20"/>
        <v/>
      </c>
      <c r="EP29" s="29" t="str">
        <f t="shared" si="20"/>
        <v/>
      </c>
      <c r="EQ29" s="29" t="str">
        <f t="shared" si="20"/>
        <v/>
      </c>
      <c r="ER29" s="29" t="str">
        <f t="shared" si="20"/>
        <v/>
      </c>
      <c r="ES29" s="29" t="str">
        <f t="shared" si="20"/>
        <v/>
      </c>
      <c r="ET29" s="29" t="str">
        <f t="shared" si="20"/>
        <v/>
      </c>
    </row>
    <row r="30" spans="1:150" x14ac:dyDescent="0.2">
      <c r="A30" s="103" t="str">
        <f>TEXT('M&amp;V Tasks'!A31,"#")</f>
        <v>6</v>
      </c>
      <c r="B30" s="104" t="str">
        <f>TEXT('M&amp;V Tasks'!B31,"#")</f>
        <v/>
      </c>
      <c r="C30" s="103">
        <f>'M&amp;V Tasks'!I31</f>
        <v>0</v>
      </c>
      <c r="D30" s="27"/>
      <c r="E30" s="27"/>
      <c r="F30" s="29" t="str">
        <f t="shared" si="16"/>
        <v/>
      </c>
      <c r="G30" s="29" t="str">
        <f t="shared" si="16"/>
        <v/>
      </c>
      <c r="H30" s="29" t="str">
        <f t="shared" si="16"/>
        <v/>
      </c>
      <c r="I30" s="29" t="str">
        <f t="shared" si="16"/>
        <v/>
      </c>
      <c r="J30" s="29" t="str">
        <f t="shared" si="16"/>
        <v/>
      </c>
      <c r="K30" s="29" t="str">
        <f t="shared" si="16"/>
        <v/>
      </c>
      <c r="L30" s="29" t="str">
        <f t="shared" si="16"/>
        <v/>
      </c>
      <c r="M30" s="29" t="str">
        <f t="shared" si="16"/>
        <v/>
      </c>
      <c r="N30" s="29" t="str">
        <f t="shared" si="16"/>
        <v/>
      </c>
      <c r="O30" s="29" t="str">
        <f t="shared" si="16"/>
        <v/>
      </c>
      <c r="P30" s="29" t="str">
        <f t="shared" si="16"/>
        <v/>
      </c>
      <c r="Q30" s="29" t="str">
        <f t="shared" si="16"/>
        <v/>
      </c>
      <c r="R30" s="29" t="str">
        <f t="shared" si="16"/>
        <v/>
      </c>
      <c r="S30" s="29" t="str">
        <f t="shared" si="16"/>
        <v/>
      </c>
      <c r="T30" s="29" t="str">
        <f t="shared" si="16"/>
        <v/>
      </c>
      <c r="U30" s="29" t="str">
        <f t="shared" si="16"/>
        <v/>
      </c>
      <c r="V30" s="29" t="str">
        <f t="shared" si="17"/>
        <v/>
      </c>
      <c r="W30" s="29" t="str">
        <f t="shared" si="17"/>
        <v/>
      </c>
      <c r="X30" s="29" t="str">
        <f t="shared" si="17"/>
        <v/>
      </c>
      <c r="Y30" s="29" t="str">
        <f t="shared" si="17"/>
        <v/>
      </c>
      <c r="Z30" s="29" t="str">
        <f t="shared" si="17"/>
        <v/>
      </c>
      <c r="AA30" s="29" t="str">
        <f t="shared" si="17"/>
        <v/>
      </c>
      <c r="AB30" s="29" t="str">
        <f t="shared" si="17"/>
        <v/>
      </c>
      <c r="AC30" s="29" t="str">
        <f t="shared" si="17"/>
        <v/>
      </c>
      <c r="AD30" s="29" t="str">
        <f t="shared" si="17"/>
        <v/>
      </c>
      <c r="AE30" s="29" t="str">
        <f t="shared" si="17"/>
        <v/>
      </c>
      <c r="AF30" s="29" t="str">
        <f t="shared" si="17"/>
        <v/>
      </c>
      <c r="AG30" s="29" t="str">
        <f t="shared" si="17"/>
        <v/>
      </c>
      <c r="AH30" s="29" t="str">
        <f t="shared" si="17"/>
        <v/>
      </c>
      <c r="AI30" s="29" t="str">
        <f t="shared" si="17"/>
        <v/>
      </c>
      <c r="AJ30" s="29" t="str">
        <f t="shared" si="17"/>
        <v/>
      </c>
      <c r="AK30" s="29" t="str">
        <f t="shared" si="17"/>
        <v/>
      </c>
      <c r="AL30" s="29" t="str">
        <f t="shared" si="17"/>
        <v/>
      </c>
      <c r="AM30" s="29" t="str">
        <f t="shared" si="17"/>
        <v/>
      </c>
      <c r="AN30" s="29" t="str">
        <f t="shared" si="17"/>
        <v/>
      </c>
      <c r="AO30" s="29" t="str">
        <f t="shared" si="17"/>
        <v/>
      </c>
      <c r="AP30" s="29" t="str">
        <f t="shared" si="17"/>
        <v/>
      </c>
      <c r="AQ30" s="29" t="str">
        <f t="shared" si="17"/>
        <v/>
      </c>
      <c r="AR30" s="29" t="str">
        <f t="shared" si="17"/>
        <v/>
      </c>
      <c r="AS30" s="29" t="str">
        <f t="shared" si="17"/>
        <v/>
      </c>
      <c r="AT30" s="29" t="str">
        <f t="shared" si="17"/>
        <v/>
      </c>
      <c r="AU30" s="29" t="str">
        <f t="shared" si="17"/>
        <v/>
      </c>
      <c r="AV30" s="29" t="str">
        <f t="shared" si="17"/>
        <v/>
      </c>
      <c r="AW30" s="29" t="str">
        <f t="shared" si="17"/>
        <v/>
      </c>
      <c r="AX30" s="29" t="str">
        <f t="shared" si="17"/>
        <v/>
      </c>
      <c r="AY30" s="29" t="str">
        <f t="shared" si="17"/>
        <v/>
      </c>
      <c r="AZ30" s="29" t="str">
        <f t="shared" si="17"/>
        <v/>
      </c>
      <c r="BA30" s="29" t="str">
        <f t="shared" si="17"/>
        <v/>
      </c>
      <c r="BB30" s="29" t="str">
        <f t="shared" si="17"/>
        <v/>
      </c>
      <c r="BC30" s="29" t="str">
        <f t="shared" si="17"/>
        <v/>
      </c>
      <c r="BD30" s="29" t="str">
        <f t="shared" si="17"/>
        <v/>
      </c>
      <c r="BE30" s="29" t="str">
        <f t="shared" si="17"/>
        <v/>
      </c>
      <c r="BF30" s="29" t="str">
        <f t="shared" si="17"/>
        <v/>
      </c>
      <c r="BG30" s="29" t="str">
        <f t="shared" si="17"/>
        <v/>
      </c>
      <c r="BH30" s="29" t="str">
        <f t="shared" si="17"/>
        <v/>
      </c>
      <c r="BI30" s="29" t="str">
        <f>IF(AND(BI$9&gt;=$D30,BI$9&lt;=$E30),1,"")</f>
        <v/>
      </c>
      <c r="BJ30" s="29" t="str">
        <f>IF(AND(BJ$9&gt;=$D30,BJ$9&lt;=$E30),1,"")</f>
        <v/>
      </c>
      <c r="BK30" s="29" t="str">
        <f>IF(AND(BK$9&gt;=$D30,BK$9&lt;=$E30),1,"")</f>
        <v/>
      </c>
      <c r="BL30" s="29" t="str">
        <f>IF(AND(BL$9&gt;=$D30,BL$9&lt;=$E30),1,"")</f>
        <v/>
      </c>
      <c r="BM30" s="29" t="str">
        <f t="shared" si="17"/>
        <v/>
      </c>
      <c r="BN30" s="29" t="str">
        <f t="shared" si="17"/>
        <v/>
      </c>
      <c r="BO30" s="29" t="str">
        <f t="shared" si="17"/>
        <v/>
      </c>
      <c r="BP30" s="29" t="str">
        <f t="shared" si="17"/>
        <v/>
      </c>
      <c r="BQ30" s="29" t="str">
        <f t="shared" si="17"/>
        <v/>
      </c>
      <c r="BR30" s="29" t="str">
        <f t="shared" si="17"/>
        <v/>
      </c>
      <c r="BS30" s="29" t="str">
        <f t="shared" si="17"/>
        <v/>
      </c>
      <c r="BT30" s="29" t="str">
        <f t="shared" si="17"/>
        <v/>
      </c>
      <c r="BU30" s="29" t="str">
        <f t="shared" si="17"/>
        <v/>
      </c>
      <c r="BV30" s="29" t="str">
        <f t="shared" si="17"/>
        <v/>
      </c>
      <c r="BW30" s="29" t="str">
        <f t="shared" si="17"/>
        <v/>
      </c>
      <c r="BX30" s="29" t="str">
        <f t="shared" si="17"/>
        <v/>
      </c>
      <c r="BY30" s="29" t="str">
        <f t="shared" ref="BY30:CH31" si="21">IF(AND(BY$9&gt;=$D30,BY$9&lt;=$E30),1,"")</f>
        <v/>
      </c>
      <c r="BZ30" s="29" t="str">
        <f t="shared" si="21"/>
        <v/>
      </c>
      <c r="CA30" s="29" t="str">
        <f t="shared" si="21"/>
        <v/>
      </c>
      <c r="CB30" s="29" t="str">
        <f t="shared" si="21"/>
        <v/>
      </c>
      <c r="CC30" s="29" t="str">
        <f t="shared" si="21"/>
        <v/>
      </c>
      <c r="CD30" s="29" t="str">
        <f t="shared" si="21"/>
        <v/>
      </c>
      <c r="CE30" s="29" t="str">
        <f t="shared" si="21"/>
        <v/>
      </c>
      <c r="CF30" s="29" t="str">
        <f t="shared" si="21"/>
        <v/>
      </c>
      <c r="CG30" s="29" t="str">
        <f t="shared" si="21"/>
        <v/>
      </c>
      <c r="CH30" s="29" t="str">
        <f t="shared" si="21"/>
        <v/>
      </c>
      <c r="CI30" s="29" t="str">
        <f t="shared" ref="CI30:CW31" si="22">IF(AND(CI$9&gt;=$D30,CI$9&lt;=$E30),1,"")</f>
        <v/>
      </c>
      <c r="CJ30" s="29" t="str">
        <f t="shared" si="22"/>
        <v/>
      </c>
      <c r="CK30" s="29" t="str">
        <f t="shared" si="22"/>
        <v/>
      </c>
      <c r="CL30" s="29" t="str">
        <f t="shared" si="22"/>
        <v/>
      </c>
      <c r="CM30" s="29" t="str">
        <f t="shared" si="22"/>
        <v/>
      </c>
      <c r="CN30" s="29" t="str">
        <f t="shared" si="22"/>
        <v/>
      </c>
      <c r="CO30" s="29" t="str">
        <f t="shared" si="22"/>
        <v/>
      </c>
      <c r="CP30" s="29" t="str">
        <f t="shared" si="22"/>
        <v/>
      </c>
      <c r="CQ30" s="29" t="str">
        <f t="shared" si="22"/>
        <v/>
      </c>
      <c r="CR30" s="29" t="str">
        <f t="shared" si="22"/>
        <v/>
      </c>
      <c r="CS30" s="29" t="str">
        <f t="shared" si="22"/>
        <v/>
      </c>
      <c r="CT30" s="29" t="str">
        <f t="shared" si="22"/>
        <v/>
      </c>
      <c r="CU30" s="29" t="str">
        <f t="shared" si="22"/>
        <v/>
      </c>
      <c r="CV30" s="29" t="str">
        <f t="shared" si="22"/>
        <v/>
      </c>
      <c r="CW30" s="29" t="str">
        <f t="shared" si="22"/>
        <v/>
      </c>
      <c r="CX30" s="29" t="str">
        <f t="shared" ref="CX30:DV40" si="23">IF(AND(CX$9&gt;=$D30,CX$9&lt;=$E30),1,"")</f>
        <v/>
      </c>
      <c r="CY30" s="29" t="str">
        <f t="shared" si="23"/>
        <v/>
      </c>
      <c r="CZ30" s="29" t="str">
        <f t="shared" si="23"/>
        <v/>
      </c>
      <c r="DA30" s="29" t="str">
        <f t="shared" si="23"/>
        <v/>
      </c>
      <c r="DB30" s="29" t="str">
        <f t="shared" si="23"/>
        <v/>
      </c>
      <c r="DC30" s="29" t="str">
        <f t="shared" si="23"/>
        <v/>
      </c>
      <c r="DD30" s="29" t="str">
        <f t="shared" si="23"/>
        <v/>
      </c>
      <c r="DE30" s="29" t="str">
        <f t="shared" si="23"/>
        <v/>
      </c>
      <c r="DF30" s="29" t="str">
        <f t="shared" si="23"/>
        <v/>
      </c>
      <c r="DG30" s="29" t="str">
        <f>IF(AND(DG$9&gt;=$D30,DG$9&lt;=$E30),1,"")</f>
        <v/>
      </c>
      <c r="DH30" s="29" t="str">
        <f>IF(AND(DH$9&gt;=$D30,DH$9&lt;=$E30),1,"")</f>
        <v/>
      </c>
      <c r="DI30" s="29" t="str">
        <f>IF(AND(DI$9&gt;=$D30,DI$9&lt;=$E30),1,"")</f>
        <v/>
      </c>
      <c r="DJ30" s="29" t="str">
        <f>IF(AND(DJ$9&gt;=$D30,DJ$9&lt;=$E30),1,"")</f>
        <v/>
      </c>
      <c r="DK30" s="29" t="str">
        <f t="shared" si="23"/>
        <v/>
      </c>
      <c r="DL30" s="29" t="str">
        <f t="shared" si="23"/>
        <v/>
      </c>
      <c r="DM30" s="29" t="str">
        <f t="shared" si="23"/>
        <v/>
      </c>
      <c r="DN30" s="29" t="str">
        <f t="shared" si="23"/>
        <v/>
      </c>
      <c r="DO30" s="29" t="str">
        <f t="shared" si="23"/>
        <v/>
      </c>
      <c r="DP30" s="29" t="str">
        <f t="shared" si="23"/>
        <v/>
      </c>
      <c r="DQ30" s="29" t="str">
        <f t="shared" si="23"/>
        <v/>
      </c>
      <c r="DR30" s="29" t="str">
        <f t="shared" si="23"/>
        <v/>
      </c>
      <c r="DS30" s="29" t="str">
        <f t="shared" si="23"/>
        <v/>
      </c>
      <c r="DT30" s="29" t="str">
        <f t="shared" si="23"/>
        <v/>
      </c>
      <c r="DU30" s="29" t="str">
        <f t="shared" si="23"/>
        <v/>
      </c>
      <c r="DV30" s="29" t="str">
        <f t="shared" si="23"/>
        <v/>
      </c>
      <c r="DW30" s="29" t="str">
        <f t="shared" ref="DW30:ET43" si="24">IF(AND(DW$9&gt;=$D30,DW$9&lt;=$E30),1,"")</f>
        <v/>
      </c>
      <c r="DX30" s="29" t="str">
        <f t="shared" si="24"/>
        <v/>
      </c>
      <c r="DY30" s="29" t="str">
        <f t="shared" si="24"/>
        <v/>
      </c>
      <c r="DZ30" s="29" t="str">
        <f t="shared" si="24"/>
        <v/>
      </c>
      <c r="EA30" s="29" t="str">
        <f t="shared" si="24"/>
        <v/>
      </c>
      <c r="EB30" s="29" t="str">
        <f t="shared" si="24"/>
        <v/>
      </c>
      <c r="EC30" s="29" t="str">
        <f t="shared" si="24"/>
        <v/>
      </c>
      <c r="ED30" s="29" t="str">
        <f t="shared" si="24"/>
        <v/>
      </c>
      <c r="EE30" s="29" t="str">
        <f t="shared" si="24"/>
        <v/>
      </c>
      <c r="EF30" s="29" t="str">
        <f>IF(AND(EF$9&gt;=$D30,EF$9&lt;=$E30),1,"")</f>
        <v/>
      </c>
      <c r="EG30" s="29" t="str">
        <f>IF(AND(EG$9&gt;=$D30,EG$9&lt;=$E30),1,"")</f>
        <v/>
      </c>
      <c r="EH30" s="29" t="str">
        <f>IF(AND(EH$9&gt;=$D30,EH$9&lt;=$E30),1,"")</f>
        <v/>
      </c>
      <c r="EI30" s="29" t="str">
        <f>IF(AND(EI$9&gt;=$D30,EI$9&lt;=$E30),1,"")</f>
        <v/>
      </c>
      <c r="EJ30" s="29" t="str">
        <f t="shared" si="24"/>
        <v/>
      </c>
      <c r="EK30" s="29" t="str">
        <f t="shared" si="24"/>
        <v/>
      </c>
      <c r="EL30" s="29" t="str">
        <f t="shared" si="24"/>
        <v/>
      </c>
      <c r="EM30" s="29" t="str">
        <f t="shared" si="24"/>
        <v/>
      </c>
      <c r="EN30" s="29" t="str">
        <f t="shared" si="24"/>
        <v/>
      </c>
      <c r="EO30" s="29" t="str">
        <f t="shared" si="24"/>
        <v/>
      </c>
      <c r="EP30" s="29" t="str">
        <f t="shared" si="24"/>
        <v/>
      </c>
      <c r="EQ30" s="29" t="str">
        <f t="shared" si="24"/>
        <v/>
      </c>
      <c r="ER30" s="29" t="str">
        <f t="shared" si="24"/>
        <v/>
      </c>
      <c r="ES30" s="29" t="str">
        <f t="shared" si="24"/>
        <v/>
      </c>
      <c r="ET30" s="29" t="str">
        <f t="shared" si="24"/>
        <v/>
      </c>
    </row>
    <row r="31" spans="1:150" x14ac:dyDescent="0.2">
      <c r="A31" s="88" t="str">
        <f>TEXT('M&amp;V Tasks'!A32,"#")</f>
        <v/>
      </c>
      <c r="B31" s="91" t="str">
        <f>TEXT('M&amp;V Tasks'!B32,"#")</f>
        <v>Implement ECM(s)</v>
      </c>
      <c r="C31" s="88">
        <f>'M&amp;V Tasks'!I32</f>
        <v>0</v>
      </c>
      <c r="D31" s="27"/>
      <c r="E31" s="27"/>
      <c r="F31" s="29" t="str">
        <f t="shared" si="16"/>
        <v/>
      </c>
      <c r="G31" s="29" t="str">
        <f t="shared" si="16"/>
        <v/>
      </c>
      <c r="H31" s="29" t="str">
        <f t="shared" si="16"/>
        <v/>
      </c>
      <c r="I31" s="29" t="str">
        <f t="shared" si="16"/>
        <v/>
      </c>
      <c r="J31" s="29" t="str">
        <f t="shared" si="16"/>
        <v/>
      </c>
      <c r="K31" s="29" t="str">
        <f t="shared" si="16"/>
        <v/>
      </c>
      <c r="L31" s="29" t="str">
        <f t="shared" si="16"/>
        <v/>
      </c>
      <c r="M31" s="29" t="str">
        <f t="shared" si="16"/>
        <v/>
      </c>
      <c r="N31" s="29" t="str">
        <f t="shared" si="16"/>
        <v/>
      </c>
      <c r="O31" s="29" t="str">
        <f t="shared" si="16"/>
        <v/>
      </c>
      <c r="P31" s="29" t="str">
        <f t="shared" si="16"/>
        <v/>
      </c>
      <c r="Q31" s="29" t="str">
        <f t="shared" si="16"/>
        <v/>
      </c>
      <c r="R31" s="29" t="str">
        <f t="shared" si="16"/>
        <v/>
      </c>
      <c r="S31" s="29" t="str">
        <f t="shared" si="16"/>
        <v/>
      </c>
      <c r="T31" s="29" t="str">
        <f t="shared" si="16"/>
        <v/>
      </c>
      <c r="U31" s="29" t="str">
        <f t="shared" si="16"/>
        <v/>
      </c>
      <c r="V31" s="29" t="str">
        <f t="shared" si="17"/>
        <v/>
      </c>
      <c r="W31" s="29" t="str">
        <f t="shared" si="17"/>
        <v/>
      </c>
      <c r="X31" s="29" t="str">
        <f t="shared" si="17"/>
        <v/>
      </c>
      <c r="Y31" s="29" t="str">
        <f t="shared" si="17"/>
        <v/>
      </c>
      <c r="Z31" s="29" t="str">
        <f t="shared" si="17"/>
        <v/>
      </c>
      <c r="AA31" s="29" t="str">
        <f t="shared" si="17"/>
        <v/>
      </c>
      <c r="AB31" s="29" t="str">
        <f t="shared" si="17"/>
        <v/>
      </c>
      <c r="AC31" s="29" t="str">
        <f t="shared" si="17"/>
        <v/>
      </c>
      <c r="AD31" s="29" t="str">
        <f t="shared" si="17"/>
        <v/>
      </c>
      <c r="AE31" s="29" t="str">
        <f t="shared" si="17"/>
        <v/>
      </c>
      <c r="AF31" s="29" t="str">
        <f t="shared" si="17"/>
        <v/>
      </c>
      <c r="AG31" s="29" t="str">
        <f t="shared" si="17"/>
        <v/>
      </c>
      <c r="AH31" s="29" t="str">
        <f t="shared" si="17"/>
        <v/>
      </c>
      <c r="AI31" s="29" t="str">
        <f t="shared" si="17"/>
        <v/>
      </c>
      <c r="AJ31" s="29" t="str">
        <f t="shared" si="17"/>
        <v/>
      </c>
      <c r="AK31" s="29" t="str">
        <f t="shared" si="17"/>
        <v/>
      </c>
      <c r="AL31" s="29" t="str">
        <f t="shared" si="17"/>
        <v/>
      </c>
      <c r="AM31" s="29" t="str">
        <f t="shared" si="17"/>
        <v/>
      </c>
      <c r="AN31" s="29" t="str">
        <f t="shared" si="17"/>
        <v/>
      </c>
      <c r="AO31" s="29" t="str">
        <f t="shared" si="17"/>
        <v/>
      </c>
      <c r="AP31" s="29" t="str">
        <f t="shared" si="17"/>
        <v/>
      </c>
      <c r="AQ31" s="29" t="str">
        <f t="shared" si="17"/>
        <v/>
      </c>
      <c r="AR31" s="29" t="str">
        <f t="shared" si="17"/>
        <v/>
      </c>
      <c r="AS31" s="29" t="str">
        <f t="shared" si="17"/>
        <v/>
      </c>
      <c r="AT31" s="29" t="str">
        <f t="shared" si="17"/>
        <v/>
      </c>
      <c r="AU31" s="29" t="str">
        <f t="shared" si="17"/>
        <v/>
      </c>
      <c r="AV31" s="29" t="str">
        <f t="shared" si="17"/>
        <v/>
      </c>
      <c r="AW31" s="29" t="str">
        <f t="shared" si="17"/>
        <v/>
      </c>
      <c r="AX31" s="29" t="str">
        <f t="shared" si="17"/>
        <v/>
      </c>
      <c r="AY31" s="29" t="str">
        <f t="shared" si="17"/>
        <v/>
      </c>
      <c r="AZ31" s="29" t="str">
        <f t="shared" si="17"/>
        <v/>
      </c>
      <c r="BA31" s="29" t="str">
        <f t="shared" si="17"/>
        <v/>
      </c>
      <c r="BB31" s="29" t="str">
        <f t="shared" si="17"/>
        <v/>
      </c>
      <c r="BC31" s="29" t="str">
        <f t="shared" si="17"/>
        <v/>
      </c>
      <c r="BD31" s="29" t="str">
        <f t="shared" si="17"/>
        <v/>
      </c>
      <c r="BE31" s="29" t="str">
        <f t="shared" si="17"/>
        <v/>
      </c>
      <c r="BF31" s="29" t="str">
        <f t="shared" si="17"/>
        <v/>
      </c>
      <c r="BG31" s="29" t="str">
        <f t="shared" si="17"/>
        <v/>
      </c>
      <c r="BH31" s="29" t="str">
        <f t="shared" si="17"/>
        <v/>
      </c>
      <c r="BI31" s="29" t="str">
        <f t="shared" si="17"/>
        <v/>
      </c>
      <c r="BJ31" s="29" t="str">
        <f t="shared" si="17"/>
        <v/>
      </c>
      <c r="BK31" s="29" t="str">
        <f t="shared" si="17"/>
        <v/>
      </c>
      <c r="BL31" s="29" t="str">
        <f t="shared" si="17"/>
        <v/>
      </c>
      <c r="BM31" s="29" t="str">
        <f t="shared" si="17"/>
        <v/>
      </c>
      <c r="BN31" s="29" t="str">
        <f t="shared" si="17"/>
        <v/>
      </c>
      <c r="BO31" s="29" t="str">
        <f t="shared" si="17"/>
        <v/>
      </c>
      <c r="BP31" s="29" t="str">
        <f t="shared" si="17"/>
        <v/>
      </c>
      <c r="BQ31" s="29" t="str">
        <f t="shared" si="17"/>
        <v/>
      </c>
      <c r="BR31" s="29" t="str">
        <f t="shared" si="17"/>
        <v/>
      </c>
      <c r="BS31" s="29" t="str">
        <f t="shared" si="17"/>
        <v/>
      </c>
      <c r="BT31" s="29" t="str">
        <f t="shared" si="17"/>
        <v/>
      </c>
      <c r="BU31" s="29" t="str">
        <f t="shared" si="17"/>
        <v/>
      </c>
      <c r="BV31" s="29" t="str">
        <f t="shared" si="17"/>
        <v/>
      </c>
      <c r="BW31" s="29" t="str">
        <f t="shared" si="17"/>
        <v/>
      </c>
      <c r="BX31" s="29" t="str">
        <f t="shared" si="17"/>
        <v/>
      </c>
      <c r="BY31" s="29" t="str">
        <f t="shared" si="21"/>
        <v/>
      </c>
      <c r="BZ31" s="29" t="str">
        <f t="shared" si="21"/>
        <v/>
      </c>
      <c r="CA31" s="29" t="str">
        <f t="shared" si="21"/>
        <v/>
      </c>
      <c r="CB31" s="29" t="str">
        <f t="shared" si="21"/>
        <v/>
      </c>
      <c r="CC31" s="29" t="str">
        <f t="shared" si="21"/>
        <v/>
      </c>
      <c r="CD31" s="29" t="str">
        <f t="shared" si="21"/>
        <v/>
      </c>
      <c r="CE31" s="29" t="str">
        <f t="shared" si="21"/>
        <v/>
      </c>
      <c r="CF31" s="29" t="str">
        <f t="shared" si="21"/>
        <v/>
      </c>
      <c r="CG31" s="29" t="str">
        <f t="shared" si="21"/>
        <v/>
      </c>
      <c r="CH31" s="29" t="str">
        <f t="shared" si="21"/>
        <v/>
      </c>
      <c r="CI31" s="29" t="str">
        <f t="shared" si="22"/>
        <v/>
      </c>
      <c r="CJ31" s="29" t="str">
        <f t="shared" si="22"/>
        <v/>
      </c>
      <c r="CK31" s="29" t="str">
        <f t="shared" si="22"/>
        <v/>
      </c>
      <c r="CL31" s="29" t="str">
        <f t="shared" si="22"/>
        <v/>
      </c>
      <c r="CM31" s="29" t="str">
        <f t="shared" si="22"/>
        <v/>
      </c>
      <c r="CN31" s="29" t="str">
        <f t="shared" si="22"/>
        <v/>
      </c>
      <c r="CO31" s="29" t="str">
        <f t="shared" si="22"/>
        <v/>
      </c>
      <c r="CP31" s="29" t="str">
        <f t="shared" si="22"/>
        <v/>
      </c>
      <c r="CQ31" s="29" t="str">
        <f t="shared" si="22"/>
        <v/>
      </c>
      <c r="CR31" s="29" t="str">
        <f t="shared" si="22"/>
        <v/>
      </c>
      <c r="CS31" s="29" t="str">
        <f t="shared" si="22"/>
        <v/>
      </c>
      <c r="CT31" s="29" t="str">
        <f t="shared" si="22"/>
        <v/>
      </c>
      <c r="CU31" s="29" t="str">
        <f t="shared" si="22"/>
        <v/>
      </c>
      <c r="CV31" s="29" t="str">
        <f t="shared" si="22"/>
        <v/>
      </c>
      <c r="CW31" s="29" t="str">
        <f t="shared" si="22"/>
        <v/>
      </c>
      <c r="CX31" s="29" t="str">
        <f t="shared" si="23"/>
        <v/>
      </c>
      <c r="CY31" s="29" t="str">
        <f t="shared" si="23"/>
        <v/>
      </c>
      <c r="CZ31" s="29" t="str">
        <f t="shared" si="23"/>
        <v/>
      </c>
      <c r="DA31" s="29" t="str">
        <f t="shared" si="23"/>
        <v/>
      </c>
      <c r="DB31" s="29" t="str">
        <f t="shared" si="23"/>
        <v/>
      </c>
      <c r="DC31" s="29" t="str">
        <f t="shared" si="23"/>
        <v/>
      </c>
      <c r="DD31" s="29" t="str">
        <f t="shared" si="23"/>
        <v/>
      </c>
      <c r="DE31" s="29" t="str">
        <f t="shared" si="23"/>
        <v/>
      </c>
      <c r="DF31" s="29" t="str">
        <f t="shared" si="23"/>
        <v/>
      </c>
      <c r="DG31" s="29" t="str">
        <f t="shared" si="23"/>
        <v/>
      </c>
      <c r="DH31" s="29" t="str">
        <f t="shared" si="23"/>
        <v/>
      </c>
      <c r="DI31" s="29" t="str">
        <f t="shared" si="23"/>
        <v/>
      </c>
      <c r="DJ31" s="29" t="str">
        <f t="shared" si="23"/>
        <v/>
      </c>
      <c r="DK31" s="29" t="str">
        <f t="shared" si="23"/>
        <v/>
      </c>
      <c r="DL31" s="29" t="str">
        <f t="shared" si="23"/>
        <v/>
      </c>
      <c r="DM31" s="29" t="str">
        <f t="shared" si="23"/>
        <v/>
      </c>
      <c r="DN31" s="29" t="str">
        <f t="shared" si="23"/>
        <v/>
      </c>
      <c r="DO31" s="29" t="str">
        <f t="shared" si="23"/>
        <v/>
      </c>
      <c r="DP31" s="29" t="str">
        <f t="shared" si="23"/>
        <v/>
      </c>
      <c r="DQ31" s="29" t="str">
        <f t="shared" si="23"/>
        <v/>
      </c>
      <c r="DR31" s="29" t="str">
        <f t="shared" si="23"/>
        <v/>
      </c>
      <c r="DS31" s="29" t="str">
        <f t="shared" si="23"/>
        <v/>
      </c>
      <c r="DT31" s="29" t="str">
        <f t="shared" si="23"/>
        <v/>
      </c>
      <c r="DU31" s="29" t="str">
        <f t="shared" si="23"/>
        <v/>
      </c>
      <c r="DV31" s="29" t="str">
        <f t="shared" si="23"/>
        <v/>
      </c>
      <c r="DW31" s="29" t="str">
        <f t="shared" si="24"/>
        <v/>
      </c>
      <c r="DX31" s="29" t="str">
        <f t="shared" si="24"/>
        <v/>
      </c>
      <c r="DY31" s="29" t="str">
        <f t="shared" si="24"/>
        <v/>
      </c>
      <c r="DZ31" s="29" t="str">
        <f t="shared" si="24"/>
        <v/>
      </c>
      <c r="EA31" s="29" t="str">
        <f t="shared" si="24"/>
        <v/>
      </c>
      <c r="EB31" s="29" t="str">
        <f t="shared" si="24"/>
        <v/>
      </c>
      <c r="EC31" s="29" t="str">
        <f t="shared" si="24"/>
        <v/>
      </c>
      <c r="ED31" s="29" t="str">
        <f t="shared" si="24"/>
        <v/>
      </c>
      <c r="EE31" s="29" t="str">
        <f t="shared" si="24"/>
        <v/>
      </c>
      <c r="EF31" s="29" t="str">
        <f t="shared" si="24"/>
        <v/>
      </c>
      <c r="EG31" s="29" t="str">
        <f t="shared" si="24"/>
        <v/>
      </c>
      <c r="EH31" s="29" t="str">
        <f t="shared" si="24"/>
        <v/>
      </c>
      <c r="EI31" s="29" t="str">
        <f t="shared" si="24"/>
        <v/>
      </c>
      <c r="EJ31" s="29" t="str">
        <f t="shared" si="24"/>
        <v/>
      </c>
      <c r="EK31" s="29" t="str">
        <f t="shared" si="24"/>
        <v/>
      </c>
      <c r="EL31" s="29" t="str">
        <f t="shared" si="24"/>
        <v/>
      </c>
      <c r="EM31" s="29" t="str">
        <f t="shared" si="24"/>
        <v/>
      </c>
      <c r="EN31" s="29" t="str">
        <f t="shared" si="24"/>
        <v/>
      </c>
      <c r="EO31" s="29" t="str">
        <f t="shared" si="24"/>
        <v/>
      </c>
      <c r="EP31" s="29" t="str">
        <f t="shared" si="24"/>
        <v/>
      </c>
      <c r="EQ31" s="29" t="str">
        <f t="shared" si="24"/>
        <v/>
      </c>
      <c r="ER31" s="29" t="str">
        <f t="shared" si="24"/>
        <v/>
      </c>
      <c r="ES31" s="29" t="str">
        <f t="shared" si="24"/>
        <v/>
      </c>
      <c r="ET31" s="29" t="str">
        <f t="shared" si="24"/>
        <v/>
      </c>
    </row>
    <row r="32" spans="1:150" x14ac:dyDescent="0.2">
      <c r="A32" s="103" t="str">
        <f>TEXT('M&amp;V Tasks'!A33,"#")</f>
        <v>1</v>
      </c>
      <c r="B32" s="104" t="str">
        <f>TEXT('M&amp;V Tasks'!B33,"#")</f>
        <v>Implement ECM, and establish steady-state operation</v>
      </c>
      <c r="C32" s="103">
        <f>'M&amp;V Tasks'!I33</f>
        <v>0</v>
      </c>
      <c r="D32" s="27"/>
      <c r="E32" s="27"/>
      <c r="F32" s="29" t="str">
        <f t="shared" si="16"/>
        <v/>
      </c>
      <c r="G32" s="29" t="str">
        <f t="shared" si="16"/>
        <v/>
      </c>
      <c r="H32" s="29" t="str">
        <f t="shared" si="16"/>
        <v/>
      </c>
      <c r="I32" s="29" t="str">
        <f t="shared" si="16"/>
        <v/>
      </c>
      <c r="J32" s="29" t="str">
        <f t="shared" si="16"/>
        <v/>
      </c>
      <c r="K32" s="29" t="str">
        <f t="shared" si="16"/>
        <v/>
      </c>
      <c r="L32" s="29" t="str">
        <f t="shared" si="16"/>
        <v/>
      </c>
      <c r="M32" s="29" t="str">
        <f t="shared" si="16"/>
        <v/>
      </c>
      <c r="N32" s="29" t="str">
        <f t="shared" si="16"/>
        <v/>
      </c>
      <c r="O32" s="29" t="str">
        <f t="shared" si="16"/>
        <v/>
      </c>
      <c r="P32" s="29" t="str">
        <f t="shared" si="16"/>
        <v/>
      </c>
      <c r="Q32" s="29" t="str">
        <f t="shared" si="16"/>
        <v/>
      </c>
      <c r="R32" s="29" t="str">
        <f t="shared" si="16"/>
        <v/>
      </c>
      <c r="S32" s="29" t="str">
        <f t="shared" si="16"/>
        <v/>
      </c>
      <c r="T32" s="29" t="str">
        <f t="shared" si="16"/>
        <v/>
      </c>
      <c r="U32" s="29" t="str">
        <f t="shared" si="16"/>
        <v/>
      </c>
      <c r="V32" s="29" t="str">
        <f t="shared" si="17"/>
        <v/>
      </c>
      <c r="W32" s="29" t="str">
        <f t="shared" si="17"/>
        <v/>
      </c>
      <c r="X32" s="29" t="str">
        <f t="shared" si="17"/>
        <v/>
      </c>
      <c r="Y32" s="29" t="str">
        <f t="shared" si="17"/>
        <v/>
      </c>
      <c r="Z32" s="29" t="str">
        <f t="shared" si="17"/>
        <v/>
      </c>
      <c r="AA32" s="29" t="str">
        <f t="shared" si="17"/>
        <v/>
      </c>
      <c r="AB32" s="29" t="str">
        <f t="shared" si="17"/>
        <v/>
      </c>
      <c r="AC32" s="29" t="str">
        <f t="shared" si="17"/>
        <v/>
      </c>
      <c r="AD32" s="29" t="str">
        <f t="shared" si="17"/>
        <v/>
      </c>
      <c r="AE32" s="29" t="str">
        <f t="shared" si="17"/>
        <v/>
      </c>
      <c r="AF32" s="29" t="str">
        <f t="shared" si="17"/>
        <v/>
      </c>
      <c r="AG32" s="29" t="str">
        <f t="shared" si="17"/>
        <v/>
      </c>
      <c r="AH32" s="29" t="str">
        <f t="shared" si="17"/>
        <v/>
      </c>
      <c r="AI32" s="29" t="str">
        <f t="shared" si="17"/>
        <v/>
      </c>
      <c r="AJ32" s="29" t="str">
        <f t="shared" si="17"/>
        <v/>
      </c>
      <c r="AK32" s="29" t="str">
        <f t="shared" si="17"/>
        <v/>
      </c>
      <c r="AL32" s="29" t="str">
        <f t="shared" si="17"/>
        <v/>
      </c>
      <c r="AM32" s="29" t="str">
        <f t="shared" si="17"/>
        <v/>
      </c>
      <c r="AN32" s="29" t="str">
        <f t="shared" si="17"/>
        <v/>
      </c>
      <c r="AO32" s="29" t="str">
        <f t="shared" si="17"/>
        <v/>
      </c>
      <c r="AP32" s="29" t="str">
        <f t="shared" si="17"/>
        <v/>
      </c>
      <c r="AQ32" s="29" t="str">
        <f t="shared" si="17"/>
        <v/>
      </c>
      <c r="AR32" s="29" t="str">
        <f t="shared" si="17"/>
        <v/>
      </c>
      <c r="AS32" s="29" t="str">
        <f t="shared" si="17"/>
        <v/>
      </c>
      <c r="AT32" s="29" t="str">
        <f t="shared" si="17"/>
        <v/>
      </c>
      <c r="AU32" s="29" t="str">
        <f t="shared" si="17"/>
        <v/>
      </c>
      <c r="AV32" s="29" t="str">
        <f t="shared" si="17"/>
        <v/>
      </c>
      <c r="AW32" s="29" t="str">
        <f t="shared" si="17"/>
        <v/>
      </c>
      <c r="AX32" s="29" t="str">
        <f t="shared" si="17"/>
        <v/>
      </c>
      <c r="AY32" s="29" t="str">
        <f t="shared" si="17"/>
        <v/>
      </c>
      <c r="AZ32" s="29" t="str">
        <f t="shared" si="17"/>
        <v/>
      </c>
      <c r="BA32" s="29" t="str">
        <f t="shared" si="17"/>
        <v/>
      </c>
      <c r="BB32" s="29" t="str">
        <f t="shared" si="17"/>
        <v/>
      </c>
      <c r="BC32" s="29" t="str">
        <f t="shared" si="17"/>
        <v/>
      </c>
      <c r="BD32" s="29" t="str">
        <f t="shared" si="17"/>
        <v/>
      </c>
      <c r="BE32" s="29" t="str">
        <f t="shared" si="17"/>
        <v/>
      </c>
      <c r="BF32" s="29" t="str">
        <f t="shared" si="17"/>
        <v/>
      </c>
      <c r="BG32" s="29" t="str">
        <f t="shared" si="17"/>
        <v/>
      </c>
      <c r="BH32" s="29" t="str">
        <f t="shared" si="17"/>
        <v/>
      </c>
      <c r="BI32" s="29" t="str">
        <f t="shared" si="17"/>
        <v/>
      </c>
      <c r="BJ32" s="29" t="str">
        <f t="shared" si="17"/>
        <v/>
      </c>
      <c r="BK32" s="29" t="str">
        <f t="shared" ref="BK32:CV41" si="25">IF(AND(BK$9&gt;=$D32,BK$9&lt;=$E32),1,"")</f>
        <v/>
      </c>
      <c r="BL32" s="29" t="str">
        <f t="shared" si="25"/>
        <v/>
      </c>
      <c r="BM32" s="29" t="str">
        <f t="shared" si="25"/>
        <v/>
      </c>
      <c r="BN32" s="29" t="str">
        <f t="shared" si="25"/>
        <v/>
      </c>
      <c r="BO32" s="29" t="str">
        <f t="shared" si="25"/>
        <v/>
      </c>
      <c r="BP32" s="29" t="str">
        <f t="shared" si="25"/>
        <v/>
      </c>
      <c r="BQ32" s="29" t="str">
        <f t="shared" si="25"/>
        <v/>
      </c>
      <c r="BR32" s="29" t="str">
        <f t="shared" si="25"/>
        <v/>
      </c>
      <c r="BS32" s="29" t="str">
        <f t="shared" si="25"/>
        <v/>
      </c>
      <c r="BT32" s="29" t="str">
        <f t="shared" si="25"/>
        <v/>
      </c>
      <c r="BU32" s="29" t="str">
        <f t="shared" si="25"/>
        <v/>
      </c>
      <c r="BV32" s="29" t="str">
        <f t="shared" si="25"/>
        <v/>
      </c>
      <c r="BW32" s="29" t="str">
        <f t="shared" si="25"/>
        <v/>
      </c>
      <c r="BX32" s="29" t="str">
        <f t="shared" si="25"/>
        <v/>
      </c>
      <c r="BY32" s="29" t="str">
        <f t="shared" si="25"/>
        <v/>
      </c>
      <c r="BZ32" s="29" t="str">
        <f t="shared" si="25"/>
        <v/>
      </c>
      <c r="CA32" s="29" t="str">
        <f t="shared" si="25"/>
        <v/>
      </c>
      <c r="CB32" s="29" t="str">
        <f t="shared" si="25"/>
        <v/>
      </c>
      <c r="CC32" s="29" t="str">
        <f t="shared" si="25"/>
        <v/>
      </c>
      <c r="CD32" s="29" t="str">
        <f t="shared" si="25"/>
        <v/>
      </c>
      <c r="CE32" s="29" t="str">
        <f t="shared" si="25"/>
        <v/>
      </c>
      <c r="CF32" s="29" t="str">
        <f t="shared" si="25"/>
        <v/>
      </c>
      <c r="CG32" s="29" t="str">
        <f t="shared" si="25"/>
        <v/>
      </c>
      <c r="CH32" s="29" t="str">
        <f t="shared" si="25"/>
        <v/>
      </c>
      <c r="CI32" s="29" t="str">
        <f t="shared" si="25"/>
        <v/>
      </c>
      <c r="CJ32" s="29" t="str">
        <f t="shared" si="25"/>
        <v/>
      </c>
      <c r="CK32" s="29" t="str">
        <f t="shared" si="25"/>
        <v/>
      </c>
      <c r="CL32" s="29" t="str">
        <f t="shared" si="25"/>
        <v/>
      </c>
      <c r="CM32" s="29" t="str">
        <f t="shared" si="25"/>
        <v/>
      </c>
      <c r="CN32" s="29" t="str">
        <f t="shared" si="25"/>
        <v/>
      </c>
      <c r="CO32" s="29" t="str">
        <f t="shared" si="25"/>
        <v/>
      </c>
      <c r="CP32" s="29" t="str">
        <f t="shared" si="25"/>
        <v/>
      </c>
      <c r="CQ32" s="29" t="str">
        <f t="shared" si="25"/>
        <v/>
      </c>
      <c r="CR32" s="29" t="str">
        <f t="shared" si="25"/>
        <v/>
      </c>
      <c r="CS32" s="29" t="str">
        <f t="shared" si="25"/>
        <v/>
      </c>
      <c r="CT32" s="29" t="str">
        <f t="shared" si="25"/>
        <v/>
      </c>
      <c r="CU32" s="29" t="str">
        <f t="shared" si="25"/>
        <v/>
      </c>
      <c r="CV32" s="29" t="str">
        <f t="shared" si="25"/>
        <v/>
      </c>
      <c r="CW32" s="29" t="str">
        <f t="shared" ref="CW32:CW45" si="26">IF(AND(CW$9&gt;=$D32,CW$9&lt;=$E32),1,"")</f>
        <v/>
      </c>
      <c r="CX32" s="29" t="str">
        <f t="shared" si="23"/>
        <v/>
      </c>
      <c r="CY32" s="29" t="str">
        <f t="shared" si="23"/>
        <v/>
      </c>
      <c r="CZ32" s="29" t="str">
        <f t="shared" si="23"/>
        <v/>
      </c>
      <c r="DA32" s="29" t="str">
        <f t="shared" si="23"/>
        <v/>
      </c>
      <c r="DB32" s="29" t="str">
        <f t="shared" si="23"/>
        <v/>
      </c>
      <c r="DC32" s="29" t="str">
        <f t="shared" si="23"/>
        <v/>
      </c>
      <c r="DD32" s="29" t="str">
        <f t="shared" si="23"/>
        <v/>
      </c>
      <c r="DE32" s="29" t="str">
        <f t="shared" si="23"/>
        <v/>
      </c>
      <c r="DF32" s="29" t="str">
        <f t="shared" si="23"/>
        <v/>
      </c>
      <c r="DG32" s="29" t="str">
        <f t="shared" si="23"/>
        <v/>
      </c>
      <c r="DH32" s="29" t="str">
        <f t="shared" si="23"/>
        <v/>
      </c>
      <c r="DI32" s="29" t="str">
        <f t="shared" si="23"/>
        <v/>
      </c>
      <c r="DJ32" s="29" t="str">
        <f t="shared" si="23"/>
        <v/>
      </c>
      <c r="DK32" s="29" t="str">
        <f t="shared" si="23"/>
        <v/>
      </c>
      <c r="DL32" s="29" t="str">
        <f t="shared" si="23"/>
        <v/>
      </c>
      <c r="DM32" s="29" t="str">
        <f t="shared" si="23"/>
        <v/>
      </c>
      <c r="DN32" s="29" t="str">
        <f t="shared" si="23"/>
        <v/>
      </c>
      <c r="DO32" s="29" t="str">
        <f t="shared" si="23"/>
        <v/>
      </c>
      <c r="DP32" s="29" t="str">
        <f t="shared" si="23"/>
        <v/>
      </c>
      <c r="DQ32" s="29" t="str">
        <f t="shared" si="23"/>
        <v/>
      </c>
      <c r="DR32" s="29" t="str">
        <f t="shared" si="23"/>
        <v/>
      </c>
      <c r="DS32" s="29" t="str">
        <f t="shared" si="23"/>
        <v/>
      </c>
      <c r="DT32" s="29" t="str">
        <f t="shared" si="23"/>
        <v/>
      </c>
      <c r="DU32" s="29" t="str">
        <f t="shared" si="23"/>
        <v/>
      </c>
      <c r="DV32" s="29" t="str">
        <f t="shared" si="23"/>
        <v/>
      </c>
      <c r="DW32" s="29" t="str">
        <f t="shared" si="24"/>
        <v/>
      </c>
      <c r="DX32" s="29" t="str">
        <f t="shared" si="24"/>
        <v/>
      </c>
      <c r="DY32" s="29" t="str">
        <f t="shared" si="24"/>
        <v/>
      </c>
      <c r="DZ32" s="29" t="str">
        <f t="shared" si="24"/>
        <v/>
      </c>
      <c r="EA32" s="29" t="str">
        <f t="shared" si="24"/>
        <v/>
      </c>
      <c r="EB32" s="29" t="str">
        <f t="shared" si="24"/>
        <v/>
      </c>
      <c r="EC32" s="29" t="str">
        <f t="shared" si="24"/>
        <v/>
      </c>
      <c r="ED32" s="29" t="str">
        <f t="shared" si="24"/>
        <v/>
      </c>
      <c r="EE32" s="29" t="str">
        <f t="shared" si="24"/>
        <v/>
      </c>
      <c r="EF32" s="29" t="str">
        <f t="shared" si="24"/>
        <v/>
      </c>
      <c r="EG32" s="29" t="str">
        <f t="shared" si="24"/>
        <v/>
      </c>
      <c r="EH32" s="29" t="str">
        <f t="shared" si="24"/>
        <v/>
      </c>
      <c r="EI32" s="29" t="str">
        <f t="shared" si="24"/>
        <v/>
      </c>
      <c r="EJ32" s="29" t="str">
        <f t="shared" si="24"/>
        <v/>
      </c>
      <c r="EK32" s="29" t="str">
        <f t="shared" si="24"/>
        <v/>
      </c>
      <c r="EL32" s="29" t="str">
        <f t="shared" si="24"/>
        <v/>
      </c>
      <c r="EM32" s="29" t="str">
        <f t="shared" si="24"/>
        <v/>
      </c>
      <c r="EN32" s="29" t="str">
        <f t="shared" si="24"/>
        <v/>
      </c>
      <c r="EO32" s="29" t="str">
        <f t="shared" si="24"/>
        <v/>
      </c>
      <c r="EP32" s="29" t="str">
        <f t="shared" si="24"/>
        <v/>
      </c>
      <c r="EQ32" s="29" t="str">
        <f t="shared" si="24"/>
        <v/>
      </c>
      <c r="ER32" s="29" t="str">
        <f t="shared" si="24"/>
        <v/>
      </c>
      <c r="ES32" s="29" t="str">
        <f t="shared" si="24"/>
        <v/>
      </c>
      <c r="ET32" s="29" t="str">
        <f t="shared" si="24"/>
        <v/>
      </c>
    </row>
    <row r="33" spans="1:150" x14ac:dyDescent="0.2">
      <c r="A33" s="103" t="str">
        <f>TEXT('M&amp;V Tasks'!A34,"#")</f>
        <v>2</v>
      </c>
      <c r="B33" s="104" t="str">
        <f>TEXT('M&amp;V Tasks'!B34,"#")</f>
        <v/>
      </c>
      <c r="C33" s="103">
        <f>'M&amp;V Tasks'!I34</f>
        <v>0</v>
      </c>
      <c r="D33" s="26"/>
      <c r="E33" s="26"/>
      <c r="F33" s="29" t="str">
        <f t="shared" si="16"/>
        <v/>
      </c>
      <c r="G33" s="29" t="str">
        <f t="shared" si="16"/>
        <v/>
      </c>
      <c r="H33" s="29" t="str">
        <f t="shared" si="16"/>
        <v/>
      </c>
      <c r="I33" s="29" t="str">
        <f t="shared" si="16"/>
        <v/>
      </c>
      <c r="J33" s="29" t="str">
        <f t="shared" si="16"/>
        <v/>
      </c>
      <c r="K33" s="29" t="str">
        <f t="shared" si="16"/>
        <v/>
      </c>
      <c r="L33" s="29" t="str">
        <f t="shared" si="16"/>
        <v/>
      </c>
      <c r="M33" s="29" t="str">
        <f t="shared" si="16"/>
        <v/>
      </c>
      <c r="N33" s="29" t="str">
        <f t="shared" si="16"/>
        <v/>
      </c>
      <c r="O33" s="29" t="str">
        <f t="shared" si="16"/>
        <v/>
      </c>
      <c r="P33" s="29" t="str">
        <f t="shared" si="16"/>
        <v/>
      </c>
      <c r="Q33" s="29" t="str">
        <f t="shared" si="16"/>
        <v/>
      </c>
      <c r="R33" s="29" t="str">
        <f t="shared" si="16"/>
        <v/>
      </c>
      <c r="S33" s="29" t="str">
        <f t="shared" si="16"/>
        <v/>
      </c>
      <c r="T33" s="29" t="str">
        <f t="shared" si="16"/>
        <v/>
      </c>
      <c r="U33" s="29" t="str">
        <f t="shared" si="16"/>
        <v/>
      </c>
      <c r="V33" s="29" t="str">
        <f t="shared" ref="V33:BW37" si="27">IF(AND(V$9&gt;=$D33,V$9&lt;=$E33),1,"")</f>
        <v/>
      </c>
      <c r="W33" s="29" t="str">
        <f t="shared" si="27"/>
        <v/>
      </c>
      <c r="X33" s="29" t="str">
        <f t="shared" si="27"/>
        <v/>
      </c>
      <c r="Y33" s="29" t="str">
        <f t="shared" si="27"/>
        <v/>
      </c>
      <c r="Z33" s="29" t="str">
        <f t="shared" si="27"/>
        <v/>
      </c>
      <c r="AA33" s="29" t="str">
        <f t="shared" si="27"/>
        <v/>
      </c>
      <c r="AB33" s="29" t="str">
        <f t="shared" si="27"/>
        <v/>
      </c>
      <c r="AC33" s="29" t="str">
        <f t="shared" si="27"/>
        <v/>
      </c>
      <c r="AD33" s="29" t="str">
        <f t="shared" si="27"/>
        <v/>
      </c>
      <c r="AE33" s="29" t="str">
        <f t="shared" si="27"/>
        <v/>
      </c>
      <c r="AF33" s="29" t="str">
        <f t="shared" si="27"/>
        <v/>
      </c>
      <c r="AG33" s="29" t="str">
        <f t="shared" si="27"/>
        <v/>
      </c>
      <c r="AH33" s="29" t="str">
        <f t="shared" si="27"/>
        <v/>
      </c>
      <c r="AI33" s="29" t="str">
        <f t="shared" si="27"/>
        <v/>
      </c>
      <c r="AJ33" s="29" t="str">
        <f t="shared" si="27"/>
        <v/>
      </c>
      <c r="AK33" s="29" t="str">
        <f t="shared" si="27"/>
        <v/>
      </c>
      <c r="AL33" s="29" t="str">
        <f t="shared" si="27"/>
        <v/>
      </c>
      <c r="AM33" s="29" t="str">
        <f t="shared" si="27"/>
        <v/>
      </c>
      <c r="AN33" s="29" t="str">
        <f t="shared" si="27"/>
        <v/>
      </c>
      <c r="AO33" s="29" t="str">
        <f t="shared" si="27"/>
        <v/>
      </c>
      <c r="AP33" s="29" t="str">
        <f t="shared" si="27"/>
        <v/>
      </c>
      <c r="AQ33" s="29" t="str">
        <f t="shared" si="27"/>
        <v/>
      </c>
      <c r="AR33" s="29" t="str">
        <f t="shared" si="27"/>
        <v/>
      </c>
      <c r="AS33" s="29" t="str">
        <f t="shared" si="27"/>
        <v/>
      </c>
      <c r="AT33" s="29" t="str">
        <f t="shared" si="27"/>
        <v/>
      </c>
      <c r="AU33" s="29" t="str">
        <f t="shared" si="27"/>
        <v/>
      </c>
      <c r="AV33" s="29" t="str">
        <f t="shared" si="27"/>
        <v/>
      </c>
      <c r="AW33" s="29" t="str">
        <f t="shared" si="27"/>
        <v/>
      </c>
      <c r="AX33" s="29" t="str">
        <f t="shared" si="27"/>
        <v/>
      </c>
      <c r="AY33" s="29" t="str">
        <f t="shared" si="27"/>
        <v/>
      </c>
      <c r="AZ33" s="29" t="str">
        <f t="shared" si="27"/>
        <v/>
      </c>
      <c r="BA33" s="29" t="str">
        <f t="shared" si="27"/>
        <v/>
      </c>
      <c r="BB33" s="29" t="str">
        <f t="shared" si="27"/>
        <v/>
      </c>
      <c r="BC33" s="29" t="str">
        <f t="shared" si="27"/>
        <v/>
      </c>
      <c r="BD33" s="29" t="str">
        <f t="shared" si="27"/>
        <v/>
      </c>
      <c r="BE33" s="29" t="str">
        <f t="shared" si="27"/>
        <v/>
      </c>
      <c r="BF33" s="29" t="str">
        <f t="shared" si="27"/>
        <v/>
      </c>
      <c r="BG33" s="29" t="str">
        <f t="shared" si="27"/>
        <v/>
      </c>
      <c r="BH33" s="29" t="str">
        <f t="shared" si="27"/>
        <v/>
      </c>
      <c r="BI33" s="29" t="str">
        <f t="shared" si="27"/>
        <v/>
      </c>
      <c r="BJ33" s="29" t="str">
        <f t="shared" si="27"/>
        <v/>
      </c>
      <c r="BK33" s="29" t="str">
        <f t="shared" si="27"/>
        <v/>
      </c>
      <c r="BL33" s="29" t="str">
        <f t="shared" si="27"/>
        <v/>
      </c>
      <c r="BM33" s="29" t="str">
        <f t="shared" si="27"/>
        <v/>
      </c>
      <c r="BN33" s="29" t="str">
        <f t="shared" si="27"/>
        <v/>
      </c>
      <c r="BO33" s="29" t="str">
        <f t="shared" si="27"/>
        <v/>
      </c>
      <c r="BP33" s="29" t="str">
        <f t="shared" si="27"/>
        <v/>
      </c>
      <c r="BQ33" s="29" t="str">
        <f t="shared" si="27"/>
        <v/>
      </c>
      <c r="BR33" s="29" t="str">
        <f t="shared" si="27"/>
        <v/>
      </c>
      <c r="BS33" s="29" t="str">
        <f t="shared" si="25"/>
        <v/>
      </c>
      <c r="BT33" s="29" t="str">
        <f t="shared" si="25"/>
        <v/>
      </c>
      <c r="BU33" s="29" t="str">
        <f t="shared" si="25"/>
        <v/>
      </c>
      <c r="BV33" s="29" t="str">
        <f t="shared" si="25"/>
        <v/>
      </c>
      <c r="BW33" s="29" t="str">
        <f t="shared" si="25"/>
        <v/>
      </c>
      <c r="BX33" s="29" t="str">
        <f t="shared" si="25"/>
        <v/>
      </c>
      <c r="BY33" s="29" t="str">
        <f t="shared" si="25"/>
        <v/>
      </c>
      <c r="BZ33" s="29" t="str">
        <f t="shared" si="25"/>
        <v/>
      </c>
      <c r="CA33" s="29" t="str">
        <f t="shared" si="25"/>
        <v/>
      </c>
      <c r="CB33" s="29" t="str">
        <f t="shared" si="25"/>
        <v/>
      </c>
      <c r="CC33" s="29" t="str">
        <f t="shared" si="25"/>
        <v/>
      </c>
      <c r="CD33" s="29" t="str">
        <f t="shared" si="25"/>
        <v/>
      </c>
      <c r="CE33" s="29" t="str">
        <f t="shared" si="25"/>
        <v/>
      </c>
      <c r="CF33" s="29" t="str">
        <f t="shared" si="25"/>
        <v/>
      </c>
      <c r="CG33" s="29" t="str">
        <f t="shared" si="25"/>
        <v/>
      </c>
      <c r="CH33" s="29" t="str">
        <f t="shared" si="25"/>
        <v/>
      </c>
      <c r="CI33" s="29" t="str">
        <f t="shared" si="25"/>
        <v/>
      </c>
      <c r="CJ33" s="29" t="str">
        <f t="shared" si="25"/>
        <v/>
      </c>
      <c r="CK33" s="29" t="str">
        <f t="shared" si="25"/>
        <v/>
      </c>
      <c r="CL33" s="29" t="str">
        <f t="shared" si="25"/>
        <v/>
      </c>
      <c r="CM33" s="29" t="str">
        <f t="shared" si="25"/>
        <v/>
      </c>
      <c r="CN33" s="29" t="str">
        <f t="shared" si="25"/>
        <v/>
      </c>
      <c r="CO33" s="29" t="str">
        <f t="shared" si="25"/>
        <v/>
      </c>
      <c r="CP33" s="29" t="str">
        <f t="shared" si="25"/>
        <v/>
      </c>
      <c r="CQ33" s="29" t="str">
        <f t="shared" si="25"/>
        <v/>
      </c>
      <c r="CR33" s="29" t="str">
        <f t="shared" si="25"/>
        <v/>
      </c>
      <c r="CS33" s="29" t="str">
        <f t="shared" si="25"/>
        <v/>
      </c>
      <c r="CT33" s="29" t="str">
        <f t="shared" si="25"/>
        <v/>
      </c>
      <c r="CU33" s="29" t="str">
        <f t="shared" si="25"/>
        <v/>
      </c>
      <c r="CV33" s="29" t="str">
        <f t="shared" si="25"/>
        <v/>
      </c>
      <c r="CW33" s="29" t="str">
        <f t="shared" si="26"/>
        <v/>
      </c>
      <c r="CX33" s="29" t="str">
        <f t="shared" si="23"/>
        <v/>
      </c>
      <c r="CY33" s="29" t="str">
        <f t="shared" si="23"/>
        <v/>
      </c>
      <c r="CZ33" s="29" t="str">
        <f t="shared" si="23"/>
        <v/>
      </c>
      <c r="DA33" s="29" t="str">
        <f t="shared" si="23"/>
        <v/>
      </c>
      <c r="DB33" s="29" t="str">
        <f t="shared" si="23"/>
        <v/>
      </c>
      <c r="DC33" s="29" t="str">
        <f t="shared" si="23"/>
        <v/>
      </c>
      <c r="DD33" s="29" t="str">
        <f t="shared" si="23"/>
        <v/>
      </c>
      <c r="DE33" s="29" t="str">
        <f t="shared" si="23"/>
        <v/>
      </c>
      <c r="DF33" s="29" t="str">
        <f t="shared" si="23"/>
        <v/>
      </c>
      <c r="DG33" s="29" t="str">
        <f t="shared" si="23"/>
        <v/>
      </c>
      <c r="DH33" s="29" t="str">
        <f t="shared" si="23"/>
        <v/>
      </c>
      <c r="DI33" s="29" t="str">
        <f t="shared" si="23"/>
        <v/>
      </c>
      <c r="DJ33" s="29" t="str">
        <f t="shared" si="23"/>
        <v/>
      </c>
      <c r="DK33" s="29" t="str">
        <f t="shared" si="23"/>
        <v/>
      </c>
      <c r="DL33" s="29" t="str">
        <f t="shared" si="23"/>
        <v/>
      </c>
      <c r="DM33" s="29" t="str">
        <f t="shared" si="23"/>
        <v/>
      </c>
      <c r="DN33" s="29" t="str">
        <f t="shared" si="23"/>
        <v/>
      </c>
      <c r="DO33" s="29" t="str">
        <f t="shared" si="23"/>
        <v/>
      </c>
      <c r="DP33" s="29" t="str">
        <f t="shared" si="23"/>
        <v/>
      </c>
      <c r="DQ33" s="29" t="str">
        <f t="shared" si="23"/>
        <v/>
      </c>
      <c r="DR33" s="29" t="str">
        <f t="shared" si="23"/>
        <v/>
      </c>
      <c r="DS33" s="29" t="str">
        <f t="shared" si="23"/>
        <v/>
      </c>
      <c r="DT33" s="29" t="str">
        <f t="shared" si="23"/>
        <v/>
      </c>
      <c r="DU33" s="29" t="str">
        <f t="shared" si="23"/>
        <v/>
      </c>
      <c r="DV33" s="29" t="str">
        <f t="shared" si="23"/>
        <v/>
      </c>
      <c r="DW33" s="29" t="str">
        <f t="shared" si="24"/>
        <v/>
      </c>
      <c r="DX33" s="29" t="str">
        <f t="shared" si="24"/>
        <v/>
      </c>
      <c r="DY33" s="29" t="str">
        <f t="shared" si="24"/>
        <v/>
      </c>
      <c r="DZ33" s="29" t="str">
        <f t="shared" si="24"/>
        <v/>
      </c>
      <c r="EA33" s="29" t="str">
        <f t="shared" si="24"/>
        <v/>
      </c>
      <c r="EB33" s="29" t="str">
        <f t="shared" si="24"/>
        <v/>
      </c>
      <c r="EC33" s="29" t="str">
        <f t="shared" si="24"/>
        <v/>
      </c>
      <c r="ED33" s="29" t="str">
        <f t="shared" si="24"/>
        <v/>
      </c>
      <c r="EE33" s="29" t="str">
        <f t="shared" si="24"/>
        <v/>
      </c>
      <c r="EF33" s="29" t="str">
        <f t="shared" si="24"/>
        <v/>
      </c>
      <c r="EG33" s="29" t="str">
        <f t="shared" si="24"/>
        <v/>
      </c>
      <c r="EH33" s="29" t="str">
        <f t="shared" si="24"/>
        <v/>
      </c>
      <c r="EI33" s="29" t="str">
        <f t="shared" si="24"/>
        <v/>
      </c>
      <c r="EJ33" s="29" t="str">
        <f t="shared" si="24"/>
        <v/>
      </c>
      <c r="EK33" s="29" t="str">
        <f t="shared" si="24"/>
        <v/>
      </c>
      <c r="EL33" s="29" t="str">
        <f t="shared" si="24"/>
        <v/>
      </c>
      <c r="EM33" s="29" t="str">
        <f t="shared" si="24"/>
        <v/>
      </c>
      <c r="EN33" s="29" t="str">
        <f t="shared" si="24"/>
        <v/>
      </c>
      <c r="EO33" s="29" t="str">
        <f t="shared" si="24"/>
        <v/>
      </c>
      <c r="EP33" s="29" t="str">
        <f t="shared" si="24"/>
        <v/>
      </c>
      <c r="EQ33" s="29" t="str">
        <f t="shared" si="24"/>
        <v/>
      </c>
      <c r="ER33" s="29" t="str">
        <f t="shared" si="24"/>
        <v/>
      </c>
      <c r="ES33" s="29" t="str">
        <f t="shared" si="24"/>
        <v/>
      </c>
      <c r="ET33" s="29" t="str">
        <f t="shared" si="24"/>
        <v/>
      </c>
    </row>
    <row r="34" spans="1:150" x14ac:dyDescent="0.2">
      <c r="A34" s="88" t="str">
        <f>TEXT('M&amp;V Tasks'!A35,"#")</f>
        <v/>
      </c>
      <c r="B34" s="91" t="str">
        <f>TEXT('M&amp;V Tasks'!B35,"#")</f>
        <v>Collect Post-Retrofit Data</v>
      </c>
      <c r="C34" s="88">
        <f>'M&amp;V Tasks'!I35</f>
        <v>0</v>
      </c>
      <c r="D34" s="27"/>
      <c r="E34" s="27"/>
      <c r="F34" s="29" t="str">
        <f t="shared" si="16"/>
        <v/>
      </c>
      <c r="G34" s="29" t="str">
        <f t="shared" si="16"/>
        <v/>
      </c>
      <c r="H34" s="29" t="str">
        <f t="shared" si="16"/>
        <v/>
      </c>
      <c r="I34" s="29" t="str">
        <f t="shared" si="16"/>
        <v/>
      </c>
      <c r="J34" s="29" t="str">
        <f t="shared" si="16"/>
        <v/>
      </c>
      <c r="K34" s="29" t="str">
        <f t="shared" si="16"/>
        <v/>
      </c>
      <c r="L34" s="29" t="str">
        <f t="shared" si="16"/>
        <v/>
      </c>
      <c r="M34" s="29" t="str">
        <f t="shared" si="16"/>
        <v/>
      </c>
      <c r="N34" s="29" t="str">
        <f t="shared" si="16"/>
        <v/>
      </c>
      <c r="O34" s="29" t="str">
        <f t="shared" si="16"/>
        <v/>
      </c>
      <c r="P34" s="29" t="str">
        <f t="shared" si="16"/>
        <v/>
      </c>
      <c r="Q34" s="29" t="str">
        <f t="shared" si="16"/>
        <v/>
      </c>
      <c r="R34" s="29" t="str">
        <f t="shared" si="16"/>
        <v/>
      </c>
      <c r="S34" s="29" t="str">
        <f t="shared" si="16"/>
        <v/>
      </c>
      <c r="T34" s="29" t="str">
        <f t="shared" si="16"/>
        <v/>
      </c>
      <c r="U34" s="29" t="str">
        <f t="shared" si="16"/>
        <v/>
      </c>
      <c r="V34" s="29" t="str">
        <f t="shared" si="27"/>
        <v/>
      </c>
      <c r="W34" s="29" t="str">
        <f t="shared" si="27"/>
        <v/>
      </c>
      <c r="X34" s="29" t="str">
        <f t="shared" si="27"/>
        <v/>
      </c>
      <c r="Y34" s="29" t="str">
        <f t="shared" si="27"/>
        <v/>
      </c>
      <c r="Z34" s="29" t="str">
        <f t="shared" si="27"/>
        <v/>
      </c>
      <c r="AA34" s="29" t="str">
        <f t="shared" si="27"/>
        <v/>
      </c>
      <c r="AB34" s="29" t="str">
        <f t="shared" si="27"/>
        <v/>
      </c>
      <c r="AC34" s="29" t="str">
        <f t="shared" si="27"/>
        <v/>
      </c>
      <c r="AD34" s="29" t="str">
        <f t="shared" si="27"/>
        <v/>
      </c>
      <c r="AE34" s="29" t="str">
        <f t="shared" si="27"/>
        <v/>
      </c>
      <c r="AF34" s="29" t="str">
        <f t="shared" si="27"/>
        <v/>
      </c>
      <c r="AG34" s="29" t="str">
        <f t="shared" si="27"/>
        <v/>
      </c>
      <c r="AH34" s="29" t="str">
        <f t="shared" si="27"/>
        <v/>
      </c>
      <c r="AI34" s="29" t="str">
        <f t="shared" si="27"/>
        <v/>
      </c>
      <c r="AJ34" s="29" t="str">
        <f t="shared" si="27"/>
        <v/>
      </c>
      <c r="AK34" s="29" t="str">
        <f t="shared" si="27"/>
        <v/>
      </c>
      <c r="AL34" s="29" t="str">
        <f t="shared" si="27"/>
        <v/>
      </c>
      <c r="AM34" s="29" t="str">
        <f t="shared" si="27"/>
        <v/>
      </c>
      <c r="AN34" s="29" t="str">
        <f t="shared" si="27"/>
        <v/>
      </c>
      <c r="AO34" s="29" t="str">
        <f t="shared" si="27"/>
        <v/>
      </c>
      <c r="AP34" s="29" t="str">
        <f t="shared" si="27"/>
        <v/>
      </c>
      <c r="AQ34" s="29" t="str">
        <f t="shared" si="27"/>
        <v/>
      </c>
      <c r="AR34" s="29" t="str">
        <f t="shared" si="27"/>
        <v/>
      </c>
      <c r="AS34" s="29" t="str">
        <f t="shared" si="27"/>
        <v/>
      </c>
      <c r="AT34" s="29" t="str">
        <f t="shared" si="27"/>
        <v/>
      </c>
      <c r="AU34" s="29" t="str">
        <f t="shared" si="27"/>
        <v/>
      </c>
      <c r="AV34" s="29" t="str">
        <f t="shared" si="27"/>
        <v/>
      </c>
      <c r="AW34" s="29" t="str">
        <f t="shared" si="27"/>
        <v/>
      </c>
      <c r="AX34" s="29" t="str">
        <f t="shared" si="27"/>
        <v/>
      </c>
      <c r="AY34" s="29" t="str">
        <f t="shared" si="27"/>
        <v/>
      </c>
      <c r="AZ34" s="29" t="str">
        <f t="shared" si="27"/>
        <v/>
      </c>
      <c r="BA34" s="29" t="str">
        <f t="shared" si="27"/>
        <v/>
      </c>
      <c r="BB34" s="29" t="str">
        <f t="shared" si="27"/>
        <v/>
      </c>
      <c r="BC34" s="29" t="str">
        <f t="shared" si="27"/>
        <v/>
      </c>
      <c r="BD34" s="29" t="str">
        <f t="shared" si="27"/>
        <v/>
      </c>
      <c r="BE34" s="29" t="str">
        <f t="shared" si="27"/>
        <v/>
      </c>
      <c r="BF34" s="29" t="str">
        <f t="shared" si="27"/>
        <v/>
      </c>
      <c r="BG34" s="29" t="str">
        <f t="shared" si="27"/>
        <v/>
      </c>
      <c r="BH34" s="29" t="str">
        <f t="shared" si="27"/>
        <v/>
      </c>
      <c r="BI34" s="29" t="str">
        <f t="shared" si="27"/>
        <v/>
      </c>
      <c r="BJ34" s="29" t="str">
        <f t="shared" si="27"/>
        <v/>
      </c>
      <c r="BK34" s="29" t="str">
        <f t="shared" si="27"/>
        <v/>
      </c>
      <c r="BL34" s="29" t="str">
        <f t="shared" si="27"/>
        <v/>
      </c>
      <c r="BM34" s="29" t="str">
        <f t="shared" si="27"/>
        <v/>
      </c>
      <c r="BN34" s="29" t="str">
        <f t="shared" si="27"/>
        <v/>
      </c>
      <c r="BO34" s="29" t="str">
        <f t="shared" si="27"/>
        <v/>
      </c>
      <c r="BP34" s="29" t="str">
        <f t="shared" si="27"/>
        <v/>
      </c>
      <c r="BQ34" s="29" t="str">
        <f t="shared" si="27"/>
        <v/>
      </c>
      <c r="BR34" s="29" t="str">
        <f t="shared" si="27"/>
        <v/>
      </c>
      <c r="BS34" s="29" t="str">
        <f t="shared" si="25"/>
        <v/>
      </c>
      <c r="BT34" s="29" t="str">
        <f t="shared" si="25"/>
        <v/>
      </c>
      <c r="BU34" s="29" t="str">
        <f t="shared" si="25"/>
        <v/>
      </c>
      <c r="BV34" s="29" t="str">
        <f t="shared" si="25"/>
        <v/>
      </c>
      <c r="BW34" s="29" t="str">
        <f t="shared" si="25"/>
        <v/>
      </c>
      <c r="BX34" s="29" t="str">
        <f t="shared" si="25"/>
        <v/>
      </c>
      <c r="BY34" s="29" t="str">
        <f t="shared" si="25"/>
        <v/>
      </c>
      <c r="BZ34" s="29" t="str">
        <f t="shared" si="25"/>
        <v/>
      </c>
      <c r="CA34" s="29" t="str">
        <f t="shared" si="25"/>
        <v/>
      </c>
      <c r="CB34" s="29" t="str">
        <f t="shared" si="25"/>
        <v/>
      </c>
      <c r="CC34" s="29" t="str">
        <f t="shared" si="25"/>
        <v/>
      </c>
      <c r="CD34" s="29" t="str">
        <f t="shared" si="25"/>
        <v/>
      </c>
      <c r="CE34" s="29" t="str">
        <f t="shared" si="25"/>
        <v/>
      </c>
      <c r="CF34" s="29" t="str">
        <f t="shared" si="25"/>
        <v/>
      </c>
      <c r="CG34" s="29" t="str">
        <f t="shared" si="25"/>
        <v/>
      </c>
      <c r="CH34" s="29" t="str">
        <f t="shared" si="25"/>
        <v/>
      </c>
      <c r="CI34" s="29" t="str">
        <f t="shared" si="25"/>
        <v/>
      </c>
      <c r="CJ34" s="29" t="str">
        <f t="shared" si="25"/>
        <v/>
      </c>
      <c r="CK34" s="29" t="str">
        <f t="shared" si="25"/>
        <v/>
      </c>
      <c r="CL34" s="29" t="str">
        <f t="shared" si="25"/>
        <v/>
      </c>
      <c r="CM34" s="29" t="str">
        <f t="shared" si="25"/>
        <v/>
      </c>
      <c r="CN34" s="29" t="str">
        <f t="shared" si="25"/>
        <v/>
      </c>
      <c r="CO34" s="29" t="str">
        <f t="shared" si="25"/>
        <v/>
      </c>
      <c r="CP34" s="29" t="str">
        <f t="shared" si="25"/>
        <v/>
      </c>
      <c r="CQ34" s="29" t="str">
        <f t="shared" si="25"/>
        <v/>
      </c>
      <c r="CR34" s="29" t="str">
        <f t="shared" si="25"/>
        <v/>
      </c>
      <c r="CS34" s="29" t="str">
        <f t="shared" si="25"/>
        <v/>
      </c>
      <c r="CT34" s="29" t="str">
        <f t="shared" si="25"/>
        <v/>
      </c>
      <c r="CU34" s="29" t="str">
        <f t="shared" si="25"/>
        <v/>
      </c>
      <c r="CV34" s="29" t="str">
        <f t="shared" si="25"/>
        <v/>
      </c>
      <c r="CW34" s="29" t="str">
        <f t="shared" si="26"/>
        <v/>
      </c>
      <c r="CX34" s="29" t="str">
        <f t="shared" si="23"/>
        <v/>
      </c>
      <c r="CY34" s="29" t="str">
        <f t="shared" si="23"/>
        <v/>
      </c>
      <c r="CZ34" s="29" t="str">
        <f t="shared" si="23"/>
        <v/>
      </c>
      <c r="DA34" s="29" t="str">
        <f t="shared" si="23"/>
        <v/>
      </c>
      <c r="DB34" s="29" t="str">
        <f t="shared" si="23"/>
        <v/>
      </c>
      <c r="DC34" s="29" t="str">
        <f t="shared" si="23"/>
        <v/>
      </c>
      <c r="DD34" s="29" t="str">
        <f t="shared" si="23"/>
        <v/>
      </c>
      <c r="DE34" s="29" t="str">
        <f t="shared" si="23"/>
        <v/>
      </c>
      <c r="DF34" s="29" t="str">
        <f t="shared" si="23"/>
        <v/>
      </c>
      <c r="DG34" s="29" t="str">
        <f t="shared" si="23"/>
        <v/>
      </c>
      <c r="DH34" s="29" t="str">
        <f t="shared" si="23"/>
        <v/>
      </c>
      <c r="DI34" s="29" t="str">
        <f t="shared" si="23"/>
        <v/>
      </c>
      <c r="DJ34" s="29" t="str">
        <f t="shared" si="23"/>
        <v/>
      </c>
      <c r="DK34" s="29" t="str">
        <f t="shared" si="23"/>
        <v/>
      </c>
      <c r="DL34" s="29" t="str">
        <f t="shared" si="23"/>
        <v/>
      </c>
      <c r="DM34" s="29" t="str">
        <f t="shared" si="23"/>
        <v/>
      </c>
      <c r="DN34" s="29" t="str">
        <f t="shared" si="23"/>
        <v/>
      </c>
      <c r="DO34" s="29" t="str">
        <f t="shared" si="23"/>
        <v/>
      </c>
      <c r="DP34" s="29" t="str">
        <f t="shared" si="23"/>
        <v/>
      </c>
      <c r="DQ34" s="29" t="str">
        <f t="shared" si="23"/>
        <v/>
      </c>
      <c r="DR34" s="29" t="str">
        <f t="shared" si="23"/>
        <v/>
      </c>
      <c r="DS34" s="29" t="str">
        <f t="shared" si="23"/>
        <v/>
      </c>
      <c r="DT34" s="29" t="str">
        <f t="shared" si="23"/>
        <v/>
      </c>
      <c r="DU34" s="29" t="str">
        <f t="shared" si="23"/>
        <v/>
      </c>
      <c r="DV34" s="29" t="str">
        <f t="shared" si="23"/>
        <v/>
      </c>
      <c r="DW34" s="29" t="str">
        <f t="shared" si="24"/>
        <v/>
      </c>
      <c r="DX34" s="29" t="str">
        <f t="shared" si="24"/>
        <v/>
      </c>
      <c r="DY34" s="29" t="str">
        <f t="shared" si="24"/>
        <v/>
      </c>
      <c r="DZ34" s="29" t="str">
        <f t="shared" si="24"/>
        <v/>
      </c>
      <c r="EA34" s="29" t="str">
        <f t="shared" si="24"/>
        <v/>
      </c>
      <c r="EB34" s="29" t="str">
        <f t="shared" si="24"/>
        <v/>
      </c>
      <c r="EC34" s="29" t="str">
        <f t="shared" si="24"/>
        <v/>
      </c>
      <c r="ED34" s="29" t="str">
        <f t="shared" si="24"/>
        <v/>
      </c>
      <c r="EE34" s="29" t="str">
        <f t="shared" si="24"/>
        <v/>
      </c>
      <c r="EF34" s="29" t="str">
        <f t="shared" si="24"/>
        <v/>
      </c>
      <c r="EG34" s="29" t="str">
        <f t="shared" si="24"/>
        <v/>
      </c>
      <c r="EH34" s="29" t="str">
        <f t="shared" si="24"/>
        <v/>
      </c>
      <c r="EI34" s="29" t="str">
        <f t="shared" si="24"/>
        <v/>
      </c>
      <c r="EJ34" s="29" t="str">
        <f t="shared" si="24"/>
        <v/>
      </c>
      <c r="EK34" s="29" t="str">
        <f t="shared" si="24"/>
        <v/>
      </c>
      <c r="EL34" s="29" t="str">
        <f t="shared" si="24"/>
        <v/>
      </c>
      <c r="EM34" s="29" t="str">
        <f t="shared" si="24"/>
        <v/>
      </c>
      <c r="EN34" s="29" t="str">
        <f t="shared" si="24"/>
        <v/>
      </c>
      <c r="EO34" s="29" t="str">
        <f t="shared" si="24"/>
        <v/>
      </c>
      <c r="EP34" s="29" t="str">
        <f t="shared" si="24"/>
        <v/>
      </c>
      <c r="EQ34" s="29" t="str">
        <f t="shared" si="24"/>
        <v/>
      </c>
      <c r="ER34" s="29" t="str">
        <f t="shared" si="24"/>
        <v/>
      </c>
      <c r="ES34" s="29" t="str">
        <f t="shared" si="24"/>
        <v/>
      </c>
      <c r="ET34" s="29" t="str">
        <f t="shared" si="24"/>
        <v/>
      </c>
    </row>
    <row r="35" spans="1:150" x14ac:dyDescent="0.2">
      <c r="A35" s="103" t="str">
        <f>TEXT('M&amp;V Tasks'!A36,"#")</f>
        <v>1</v>
      </c>
      <c r="B35" s="104" t="str">
        <f>TEXT('M&amp;V Tasks'!B36,"#")</f>
        <v>Hire electricity data logger</v>
      </c>
      <c r="C35" s="103">
        <f>'M&amp;V Tasks'!I36</f>
        <v>0</v>
      </c>
      <c r="D35" s="27"/>
      <c r="E35" s="27"/>
      <c r="F35" s="29" t="str">
        <f t="shared" si="16"/>
        <v/>
      </c>
      <c r="G35" s="29" t="str">
        <f t="shared" si="16"/>
        <v/>
      </c>
      <c r="H35" s="29" t="str">
        <f t="shared" si="16"/>
        <v/>
      </c>
      <c r="I35" s="29" t="str">
        <f t="shared" si="16"/>
        <v/>
      </c>
      <c r="J35" s="29" t="str">
        <f t="shared" si="16"/>
        <v/>
      </c>
      <c r="K35" s="29" t="str">
        <f t="shared" si="16"/>
        <v/>
      </c>
      <c r="L35" s="29" t="str">
        <f t="shared" si="16"/>
        <v/>
      </c>
      <c r="M35" s="29" t="str">
        <f t="shared" si="16"/>
        <v/>
      </c>
      <c r="N35" s="29" t="str">
        <f t="shared" si="16"/>
        <v/>
      </c>
      <c r="O35" s="29" t="str">
        <f t="shared" si="16"/>
        <v/>
      </c>
      <c r="P35" s="29" t="str">
        <f t="shared" si="16"/>
        <v/>
      </c>
      <c r="Q35" s="29" t="str">
        <f t="shared" si="16"/>
        <v/>
      </c>
      <c r="R35" s="29" t="str">
        <f t="shared" si="16"/>
        <v/>
      </c>
      <c r="S35" s="29" t="str">
        <f t="shared" si="16"/>
        <v/>
      </c>
      <c r="T35" s="29" t="str">
        <f t="shared" si="16"/>
        <v/>
      </c>
      <c r="U35" s="29" t="str">
        <f t="shared" si="16"/>
        <v/>
      </c>
      <c r="V35" s="29" t="str">
        <f t="shared" si="27"/>
        <v/>
      </c>
      <c r="W35" s="29" t="str">
        <f t="shared" si="27"/>
        <v/>
      </c>
      <c r="X35" s="29" t="str">
        <f t="shared" si="27"/>
        <v/>
      </c>
      <c r="Y35" s="29" t="str">
        <f t="shared" si="27"/>
        <v/>
      </c>
      <c r="Z35" s="29" t="str">
        <f t="shared" si="27"/>
        <v/>
      </c>
      <c r="AA35" s="29" t="str">
        <f t="shared" si="27"/>
        <v/>
      </c>
      <c r="AB35" s="29" t="str">
        <f t="shared" si="27"/>
        <v/>
      </c>
      <c r="AC35" s="29" t="str">
        <f t="shared" si="27"/>
        <v/>
      </c>
      <c r="AD35" s="29" t="str">
        <f t="shared" si="27"/>
        <v/>
      </c>
      <c r="AE35" s="29" t="str">
        <f t="shared" si="27"/>
        <v/>
      </c>
      <c r="AF35" s="29" t="str">
        <f t="shared" si="27"/>
        <v/>
      </c>
      <c r="AG35" s="29" t="str">
        <f t="shared" si="27"/>
        <v/>
      </c>
      <c r="AH35" s="29" t="str">
        <f t="shared" si="27"/>
        <v/>
      </c>
      <c r="AI35" s="29" t="str">
        <f t="shared" si="27"/>
        <v/>
      </c>
      <c r="AJ35" s="29" t="str">
        <f t="shared" si="27"/>
        <v/>
      </c>
      <c r="AK35" s="29" t="str">
        <f t="shared" si="27"/>
        <v/>
      </c>
      <c r="AL35" s="29" t="str">
        <f t="shared" si="27"/>
        <v/>
      </c>
      <c r="AM35" s="29" t="str">
        <f t="shared" si="27"/>
        <v/>
      </c>
      <c r="AN35" s="29" t="str">
        <f t="shared" si="27"/>
        <v/>
      </c>
      <c r="AO35" s="29" t="str">
        <f t="shared" si="27"/>
        <v/>
      </c>
      <c r="AP35" s="29" t="str">
        <f t="shared" si="27"/>
        <v/>
      </c>
      <c r="AQ35" s="29" t="str">
        <f t="shared" si="27"/>
        <v/>
      </c>
      <c r="AR35" s="29" t="str">
        <f t="shared" si="27"/>
        <v/>
      </c>
      <c r="AS35" s="29" t="str">
        <f t="shared" si="27"/>
        <v/>
      </c>
      <c r="AT35" s="29" t="str">
        <f t="shared" si="27"/>
        <v/>
      </c>
      <c r="AU35" s="29" t="str">
        <f t="shared" si="27"/>
        <v/>
      </c>
      <c r="AV35" s="29" t="str">
        <f t="shared" si="27"/>
        <v/>
      </c>
      <c r="AW35" s="29" t="str">
        <f t="shared" si="27"/>
        <v/>
      </c>
      <c r="AX35" s="29" t="str">
        <f t="shared" si="27"/>
        <v/>
      </c>
      <c r="AY35" s="29" t="str">
        <f t="shared" si="27"/>
        <v/>
      </c>
      <c r="AZ35" s="29" t="str">
        <f t="shared" si="27"/>
        <v/>
      </c>
      <c r="BA35" s="29" t="str">
        <f t="shared" si="27"/>
        <v/>
      </c>
      <c r="BB35" s="29" t="str">
        <f t="shared" si="27"/>
        <v/>
      </c>
      <c r="BC35" s="29" t="str">
        <f t="shared" si="27"/>
        <v/>
      </c>
      <c r="BD35" s="29" t="str">
        <f t="shared" si="27"/>
        <v/>
      </c>
      <c r="BE35" s="29" t="str">
        <f t="shared" si="27"/>
        <v/>
      </c>
      <c r="BF35" s="29" t="str">
        <f t="shared" si="27"/>
        <v/>
      </c>
      <c r="BG35" s="29" t="str">
        <f t="shared" si="27"/>
        <v/>
      </c>
      <c r="BH35" s="29" t="str">
        <f t="shared" si="27"/>
        <v/>
      </c>
      <c r="BI35" s="29" t="str">
        <f>IF(AND(BI$9&gt;=$D35,BI$9&lt;=$E35),1,"")</f>
        <v/>
      </c>
      <c r="BJ35" s="29" t="str">
        <f>IF(AND(BJ$9&gt;=$D35,BJ$9&lt;=$E35),1,"")</f>
        <v/>
      </c>
      <c r="BK35" s="29" t="str">
        <f>IF(AND(BK$9&gt;=$D35,BK$9&lt;=$E35),1,"")</f>
        <v/>
      </c>
      <c r="BL35" s="29" t="str">
        <f>IF(AND(BL$9&gt;=$D35,BL$9&lt;=$E35),1,"")</f>
        <v/>
      </c>
      <c r="BM35" s="29" t="str">
        <f t="shared" si="27"/>
        <v/>
      </c>
      <c r="BN35" s="29" t="str">
        <f t="shared" si="27"/>
        <v/>
      </c>
      <c r="BO35" s="29" t="str">
        <f t="shared" si="27"/>
        <v/>
      </c>
      <c r="BP35" s="29" t="str">
        <f t="shared" si="27"/>
        <v/>
      </c>
      <c r="BQ35" s="29" t="str">
        <f t="shared" si="27"/>
        <v/>
      </c>
      <c r="BR35" s="29" t="str">
        <f t="shared" si="27"/>
        <v/>
      </c>
      <c r="BS35" s="29" t="str">
        <f t="shared" si="27"/>
        <v/>
      </c>
      <c r="BT35" s="29" t="str">
        <f t="shared" si="27"/>
        <v/>
      </c>
      <c r="BU35" s="29" t="str">
        <f t="shared" si="27"/>
        <v/>
      </c>
      <c r="BV35" s="29" t="str">
        <f t="shared" si="27"/>
        <v/>
      </c>
      <c r="BW35" s="29" t="str">
        <f t="shared" si="27"/>
        <v/>
      </c>
      <c r="BX35" s="29" t="str">
        <f t="shared" si="25"/>
        <v/>
      </c>
      <c r="BY35" s="29" t="str">
        <f t="shared" si="25"/>
        <v/>
      </c>
      <c r="BZ35" s="29" t="str">
        <f t="shared" si="25"/>
        <v/>
      </c>
      <c r="CA35" s="29" t="str">
        <f t="shared" si="25"/>
        <v/>
      </c>
      <c r="CB35" s="29" t="str">
        <f t="shared" si="25"/>
        <v/>
      </c>
      <c r="CC35" s="29" t="str">
        <f t="shared" si="25"/>
        <v/>
      </c>
      <c r="CD35" s="29" t="str">
        <f t="shared" si="25"/>
        <v/>
      </c>
      <c r="CE35" s="29" t="str">
        <f t="shared" si="25"/>
        <v/>
      </c>
      <c r="CF35" s="29" t="str">
        <f t="shared" si="25"/>
        <v/>
      </c>
      <c r="CG35" s="29" t="str">
        <f t="shared" si="25"/>
        <v/>
      </c>
      <c r="CH35" s="29" t="str">
        <f>IF(AND(CH$9&gt;=$D35,CH$9&lt;=$E35),1,"")</f>
        <v/>
      </c>
      <c r="CI35" s="29" t="str">
        <f>IF(AND(CI$9&gt;=$D35,CI$9&lt;=$E35),1,"")</f>
        <v/>
      </c>
      <c r="CJ35" s="29" t="str">
        <f>IF(AND(CJ$9&gt;=$D35,CJ$9&lt;=$E35),1,"")</f>
        <v/>
      </c>
      <c r="CK35" s="29" t="str">
        <f>IF(AND(CK$9&gt;=$D35,CK$9&lt;=$E35),1,"")</f>
        <v/>
      </c>
      <c r="CL35" s="29" t="str">
        <f t="shared" si="25"/>
        <v/>
      </c>
      <c r="CM35" s="29" t="str">
        <f t="shared" si="25"/>
        <v/>
      </c>
      <c r="CN35" s="29" t="str">
        <f t="shared" si="25"/>
        <v/>
      </c>
      <c r="CO35" s="29" t="str">
        <f t="shared" si="25"/>
        <v/>
      </c>
      <c r="CP35" s="29" t="str">
        <f t="shared" si="25"/>
        <v/>
      </c>
      <c r="CQ35" s="29" t="str">
        <f t="shared" si="25"/>
        <v/>
      </c>
      <c r="CR35" s="29" t="str">
        <f t="shared" si="25"/>
        <v/>
      </c>
      <c r="CS35" s="29" t="str">
        <f t="shared" si="25"/>
        <v/>
      </c>
      <c r="CT35" s="29" t="str">
        <f t="shared" si="25"/>
        <v/>
      </c>
      <c r="CU35" s="29" t="str">
        <f t="shared" si="25"/>
        <v/>
      </c>
      <c r="CV35" s="29" t="str">
        <f t="shared" si="25"/>
        <v/>
      </c>
      <c r="CW35" s="29" t="str">
        <f t="shared" si="26"/>
        <v/>
      </c>
      <c r="CX35" s="29" t="str">
        <f t="shared" si="23"/>
        <v/>
      </c>
      <c r="CY35" s="29" t="str">
        <f t="shared" si="23"/>
        <v/>
      </c>
      <c r="CZ35" s="29" t="str">
        <f t="shared" si="23"/>
        <v/>
      </c>
      <c r="DA35" s="29" t="str">
        <f t="shared" si="23"/>
        <v/>
      </c>
      <c r="DB35" s="29" t="str">
        <f t="shared" si="23"/>
        <v/>
      </c>
      <c r="DC35" s="29" t="str">
        <f t="shared" si="23"/>
        <v/>
      </c>
      <c r="DD35" s="29" t="str">
        <f t="shared" si="23"/>
        <v/>
      </c>
      <c r="DE35" s="29" t="str">
        <f t="shared" si="23"/>
        <v/>
      </c>
      <c r="DF35" s="29" t="str">
        <f t="shared" si="23"/>
        <v/>
      </c>
      <c r="DG35" s="29" t="str">
        <f>IF(AND(DG$9&gt;=$D35,DG$9&lt;=$E35),1,"")</f>
        <v/>
      </c>
      <c r="DH35" s="29" t="str">
        <f>IF(AND(DH$9&gt;=$D35,DH$9&lt;=$E35),1,"")</f>
        <v/>
      </c>
      <c r="DI35" s="29" t="str">
        <f>IF(AND(DI$9&gt;=$D35,DI$9&lt;=$E35),1,"")</f>
        <v/>
      </c>
      <c r="DJ35" s="29" t="str">
        <f>IF(AND(DJ$9&gt;=$D35,DJ$9&lt;=$E35),1,"")</f>
        <v/>
      </c>
      <c r="DK35" s="29" t="str">
        <f t="shared" si="23"/>
        <v/>
      </c>
      <c r="DL35" s="29" t="str">
        <f t="shared" si="23"/>
        <v/>
      </c>
      <c r="DM35" s="29" t="str">
        <f t="shared" si="23"/>
        <v/>
      </c>
      <c r="DN35" s="29" t="str">
        <f t="shared" si="23"/>
        <v/>
      </c>
      <c r="DO35" s="29" t="str">
        <f t="shared" si="23"/>
        <v/>
      </c>
      <c r="DP35" s="29" t="str">
        <f t="shared" si="23"/>
        <v/>
      </c>
      <c r="DQ35" s="29" t="str">
        <f t="shared" si="23"/>
        <v/>
      </c>
      <c r="DR35" s="29" t="str">
        <f t="shared" si="23"/>
        <v/>
      </c>
      <c r="DS35" s="29" t="str">
        <f t="shared" si="23"/>
        <v/>
      </c>
      <c r="DT35" s="29" t="str">
        <f t="shared" si="23"/>
        <v/>
      </c>
      <c r="DU35" s="29" t="str">
        <f t="shared" si="23"/>
        <v/>
      </c>
      <c r="DV35" s="29" t="str">
        <f t="shared" si="23"/>
        <v/>
      </c>
      <c r="DW35" s="29" t="str">
        <f t="shared" si="24"/>
        <v/>
      </c>
      <c r="DX35" s="29" t="str">
        <f t="shared" si="24"/>
        <v/>
      </c>
      <c r="DY35" s="29" t="str">
        <f t="shared" si="24"/>
        <v/>
      </c>
      <c r="DZ35" s="29" t="str">
        <f t="shared" si="24"/>
        <v/>
      </c>
      <c r="EA35" s="29" t="str">
        <f t="shared" si="24"/>
        <v/>
      </c>
      <c r="EB35" s="29" t="str">
        <f t="shared" si="24"/>
        <v/>
      </c>
      <c r="EC35" s="29" t="str">
        <f t="shared" si="24"/>
        <v/>
      </c>
      <c r="ED35" s="29" t="str">
        <f t="shared" si="24"/>
        <v/>
      </c>
      <c r="EE35" s="29" t="str">
        <f t="shared" si="24"/>
        <v/>
      </c>
      <c r="EF35" s="29" t="str">
        <f>IF(AND(EF$9&gt;=$D35,EF$9&lt;=$E35),1,"")</f>
        <v/>
      </c>
      <c r="EG35" s="29" t="str">
        <f>IF(AND(EG$9&gt;=$D35,EG$9&lt;=$E35),1,"")</f>
        <v/>
      </c>
      <c r="EH35" s="29" t="str">
        <f>IF(AND(EH$9&gt;=$D35,EH$9&lt;=$E35),1,"")</f>
        <v/>
      </c>
      <c r="EI35" s="29" t="str">
        <f>IF(AND(EI$9&gt;=$D35,EI$9&lt;=$E35),1,"")</f>
        <v/>
      </c>
      <c r="EJ35" s="29" t="str">
        <f t="shared" si="24"/>
        <v/>
      </c>
      <c r="EK35" s="29" t="str">
        <f t="shared" si="24"/>
        <v/>
      </c>
      <c r="EL35" s="29" t="str">
        <f t="shared" si="24"/>
        <v/>
      </c>
      <c r="EM35" s="29" t="str">
        <f t="shared" si="24"/>
        <v/>
      </c>
      <c r="EN35" s="29" t="str">
        <f t="shared" si="24"/>
        <v/>
      </c>
      <c r="EO35" s="29" t="str">
        <f t="shared" si="24"/>
        <v/>
      </c>
      <c r="EP35" s="29" t="str">
        <f t="shared" si="24"/>
        <v/>
      </c>
      <c r="EQ35" s="29" t="str">
        <f t="shared" si="24"/>
        <v/>
      </c>
      <c r="ER35" s="29" t="str">
        <f t="shared" si="24"/>
        <v/>
      </c>
      <c r="ES35" s="29" t="str">
        <f t="shared" si="24"/>
        <v/>
      </c>
      <c r="ET35" s="29" t="str">
        <f t="shared" si="24"/>
        <v/>
      </c>
    </row>
    <row r="36" spans="1:150" x14ac:dyDescent="0.2">
      <c r="A36" s="103" t="str">
        <f>TEXT('M&amp;V Tasks'!A37,"#")</f>
        <v>2</v>
      </c>
      <c r="B36" s="104" t="str">
        <f>TEXT('M&amp;V Tasks'!B37,"#")</f>
        <v>Install data logger on equipment and log for 1 week</v>
      </c>
      <c r="C36" s="103">
        <f>'M&amp;V Tasks'!I37</f>
        <v>0</v>
      </c>
      <c r="D36" s="27"/>
      <c r="E36" s="27"/>
      <c r="F36" s="29" t="str">
        <f t="shared" si="16"/>
        <v/>
      </c>
      <c r="G36" s="29" t="str">
        <f t="shared" si="16"/>
        <v/>
      </c>
      <c r="H36" s="29" t="str">
        <f t="shared" si="16"/>
        <v/>
      </c>
      <c r="I36" s="29" t="str">
        <f t="shared" si="16"/>
        <v/>
      </c>
      <c r="J36" s="29" t="str">
        <f t="shared" si="16"/>
        <v/>
      </c>
      <c r="K36" s="29" t="str">
        <f t="shared" si="16"/>
        <v/>
      </c>
      <c r="L36" s="29" t="str">
        <f t="shared" si="16"/>
        <v/>
      </c>
      <c r="M36" s="29" t="str">
        <f t="shared" si="16"/>
        <v/>
      </c>
      <c r="N36" s="29" t="str">
        <f t="shared" si="16"/>
        <v/>
      </c>
      <c r="O36" s="29" t="str">
        <f t="shared" si="16"/>
        <v/>
      </c>
      <c r="P36" s="29" t="str">
        <f t="shared" si="16"/>
        <v/>
      </c>
      <c r="Q36" s="29" t="str">
        <f t="shared" si="16"/>
        <v/>
      </c>
      <c r="R36" s="29" t="str">
        <f t="shared" si="16"/>
        <v/>
      </c>
      <c r="S36" s="29" t="str">
        <f t="shared" si="16"/>
        <v/>
      </c>
      <c r="T36" s="29" t="str">
        <f t="shared" si="16"/>
        <v/>
      </c>
      <c r="U36" s="29" t="str">
        <f t="shared" si="16"/>
        <v/>
      </c>
      <c r="V36" s="29" t="str">
        <f t="shared" si="27"/>
        <v/>
      </c>
      <c r="W36" s="29" t="str">
        <f t="shared" si="27"/>
        <v/>
      </c>
      <c r="X36" s="29" t="str">
        <f t="shared" si="27"/>
        <v/>
      </c>
      <c r="Y36" s="29" t="str">
        <f t="shared" si="27"/>
        <v/>
      </c>
      <c r="Z36" s="29" t="str">
        <f t="shared" si="27"/>
        <v/>
      </c>
      <c r="AA36" s="29" t="str">
        <f t="shared" si="27"/>
        <v/>
      </c>
      <c r="AB36" s="29" t="str">
        <f t="shared" si="27"/>
        <v/>
      </c>
      <c r="AC36" s="29" t="str">
        <f t="shared" si="27"/>
        <v/>
      </c>
      <c r="AD36" s="29" t="str">
        <f t="shared" si="27"/>
        <v/>
      </c>
      <c r="AE36" s="29" t="str">
        <f t="shared" si="27"/>
        <v/>
      </c>
      <c r="AF36" s="29" t="str">
        <f t="shared" si="27"/>
        <v/>
      </c>
      <c r="AG36" s="29" t="str">
        <f t="shared" si="27"/>
        <v/>
      </c>
      <c r="AH36" s="29" t="str">
        <f t="shared" si="27"/>
        <v/>
      </c>
      <c r="AI36" s="29" t="str">
        <f t="shared" si="27"/>
        <v/>
      </c>
      <c r="AJ36" s="29" t="str">
        <f t="shared" si="27"/>
        <v/>
      </c>
      <c r="AK36" s="29" t="str">
        <f t="shared" si="27"/>
        <v/>
      </c>
      <c r="AL36" s="29" t="str">
        <f t="shared" si="27"/>
        <v/>
      </c>
      <c r="AM36" s="29" t="str">
        <f t="shared" si="27"/>
        <v/>
      </c>
      <c r="AN36" s="29" t="str">
        <f t="shared" si="27"/>
        <v/>
      </c>
      <c r="AO36" s="29" t="str">
        <f t="shared" si="27"/>
        <v/>
      </c>
      <c r="AP36" s="29" t="str">
        <f t="shared" si="27"/>
        <v/>
      </c>
      <c r="AQ36" s="29" t="str">
        <f t="shared" si="27"/>
        <v/>
      </c>
      <c r="AR36" s="29" t="str">
        <f t="shared" si="27"/>
        <v/>
      </c>
      <c r="AS36" s="29" t="str">
        <f t="shared" si="27"/>
        <v/>
      </c>
      <c r="AT36" s="29" t="str">
        <f t="shared" si="27"/>
        <v/>
      </c>
      <c r="AU36" s="29" t="str">
        <f t="shared" si="27"/>
        <v/>
      </c>
      <c r="AV36" s="29" t="str">
        <f t="shared" si="27"/>
        <v/>
      </c>
      <c r="AW36" s="29" t="str">
        <f t="shared" si="27"/>
        <v/>
      </c>
      <c r="AX36" s="29" t="str">
        <f t="shared" si="27"/>
        <v/>
      </c>
      <c r="AY36" s="29" t="str">
        <f t="shared" si="27"/>
        <v/>
      </c>
      <c r="AZ36" s="29" t="str">
        <f t="shared" si="27"/>
        <v/>
      </c>
      <c r="BA36" s="29" t="str">
        <f t="shared" si="27"/>
        <v/>
      </c>
      <c r="BB36" s="29" t="str">
        <f t="shared" si="27"/>
        <v/>
      </c>
      <c r="BC36" s="29" t="str">
        <f t="shared" si="27"/>
        <v/>
      </c>
      <c r="BD36" s="29" t="str">
        <f t="shared" si="27"/>
        <v/>
      </c>
      <c r="BE36" s="29" t="str">
        <f t="shared" si="27"/>
        <v/>
      </c>
      <c r="BF36" s="29" t="str">
        <f t="shared" si="27"/>
        <v/>
      </c>
      <c r="BG36" s="29" t="str">
        <f t="shared" si="27"/>
        <v/>
      </c>
      <c r="BH36" s="29" t="str">
        <f t="shared" si="27"/>
        <v/>
      </c>
      <c r="BI36" s="29" t="str">
        <f t="shared" si="27"/>
        <v/>
      </c>
      <c r="BJ36" s="29" t="str">
        <f t="shared" si="27"/>
        <v/>
      </c>
      <c r="BK36" s="29" t="str">
        <f t="shared" si="27"/>
        <v/>
      </c>
      <c r="BL36" s="29" t="str">
        <f t="shared" si="27"/>
        <v/>
      </c>
      <c r="BM36" s="29" t="str">
        <f t="shared" si="27"/>
        <v/>
      </c>
      <c r="BN36" s="29" t="str">
        <f t="shared" si="27"/>
        <v/>
      </c>
      <c r="BO36" s="29" t="str">
        <f t="shared" si="27"/>
        <v/>
      </c>
      <c r="BP36" s="29" t="str">
        <f t="shared" si="27"/>
        <v/>
      </c>
      <c r="BQ36" s="29" t="str">
        <f t="shared" si="27"/>
        <v/>
      </c>
      <c r="BR36" s="29" t="str">
        <f t="shared" si="27"/>
        <v/>
      </c>
      <c r="BS36" s="29" t="str">
        <f t="shared" si="27"/>
        <v/>
      </c>
      <c r="BT36" s="29" t="str">
        <f t="shared" si="27"/>
        <v/>
      </c>
      <c r="BU36" s="29" t="str">
        <f t="shared" si="27"/>
        <v/>
      </c>
      <c r="BV36" s="29" t="str">
        <f t="shared" si="27"/>
        <v/>
      </c>
      <c r="BW36" s="29" t="str">
        <f t="shared" si="27"/>
        <v/>
      </c>
      <c r="BX36" s="29" t="str">
        <f t="shared" si="25"/>
        <v/>
      </c>
      <c r="BY36" s="29" t="str">
        <f t="shared" si="25"/>
        <v/>
      </c>
      <c r="BZ36" s="29" t="str">
        <f t="shared" si="25"/>
        <v/>
      </c>
      <c r="CA36" s="29" t="str">
        <f t="shared" si="25"/>
        <v/>
      </c>
      <c r="CB36" s="29" t="str">
        <f t="shared" si="25"/>
        <v/>
      </c>
      <c r="CC36" s="29" t="str">
        <f t="shared" si="25"/>
        <v/>
      </c>
      <c r="CD36" s="29" t="str">
        <f t="shared" si="25"/>
        <v/>
      </c>
      <c r="CE36" s="29" t="str">
        <f t="shared" si="25"/>
        <v/>
      </c>
      <c r="CF36" s="29" t="str">
        <f t="shared" si="25"/>
        <v/>
      </c>
      <c r="CG36" s="29" t="str">
        <f t="shared" si="25"/>
        <v/>
      </c>
      <c r="CH36" s="29" t="str">
        <f t="shared" si="25"/>
        <v/>
      </c>
      <c r="CI36" s="29" t="str">
        <f t="shared" si="25"/>
        <v/>
      </c>
      <c r="CJ36" s="29" t="str">
        <f t="shared" si="25"/>
        <v/>
      </c>
      <c r="CK36" s="29" t="str">
        <f t="shared" si="25"/>
        <v/>
      </c>
      <c r="CL36" s="29" t="str">
        <f t="shared" si="25"/>
        <v/>
      </c>
      <c r="CM36" s="29" t="str">
        <f t="shared" si="25"/>
        <v/>
      </c>
      <c r="CN36" s="29" t="str">
        <f t="shared" si="25"/>
        <v/>
      </c>
      <c r="CO36" s="29" t="str">
        <f t="shared" si="25"/>
        <v/>
      </c>
      <c r="CP36" s="29" t="str">
        <f t="shared" si="25"/>
        <v/>
      </c>
      <c r="CQ36" s="29" t="str">
        <f t="shared" si="25"/>
        <v/>
      </c>
      <c r="CR36" s="29" t="str">
        <f t="shared" si="25"/>
        <v/>
      </c>
      <c r="CS36" s="29" t="str">
        <f t="shared" si="25"/>
        <v/>
      </c>
      <c r="CT36" s="29" t="str">
        <f t="shared" si="25"/>
        <v/>
      </c>
      <c r="CU36" s="29" t="str">
        <f t="shared" si="25"/>
        <v/>
      </c>
      <c r="CV36" s="29" t="str">
        <f t="shared" si="25"/>
        <v/>
      </c>
      <c r="CW36" s="29" t="str">
        <f t="shared" si="26"/>
        <v/>
      </c>
      <c r="CX36" s="29" t="str">
        <f t="shared" si="23"/>
        <v/>
      </c>
      <c r="CY36" s="29" t="str">
        <f t="shared" si="23"/>
        <v/>
      </c>
      <c r="CZ36" s="29" t="str">
        <f t="shared" si="23"/>
        <v/>
      </c>
      <c r="DA36" s="29" t="str">
        <f t="shared" si="23"/>
        <v/>
      </c>
      <c r="DB36" s="29" t="str">
        <f t="shared" si="23"/>
        <v/>
      </c>
      <c r="DC36" s="29" t="str">
        <f t="shared" si="23"/>
        <v/>
      </c>
      <c r="DD36" s="29" t="str">
        <f t="shared" si="23"/>
        <v/>
      </c>
      <c r="DE36" s="29" t="str">
        <f t="shared" si="23"/>
        <v/>
      </c>
      <c r="DF36" s="29" t="str">
        <f t="shared" si="23"/>
        <v/>
      </c>
      <c r="DG36" s="29" t="str">
        <f t="shared" si="23"/>
        <v/>
      </c>
      <c r="DH36" s="29" t="str">
        <f t="shared" si="23"/>
        <v/>
      </c>
      <c r="DI36" s="29" t="str">
        <f t="shared" si="23"/>
        <v/>
      </c>
      <c r="DJ36" s="29" t="str">
        <f t="shared" si="23"/>
        <v/>
      </c>
      <c r="DK36" s="29" t="str">
        <f t="shared" si="23"/>
        <v/>
      </c>
      <c r="DL36" s="29" t="str">
        <f t="shared" si="23"/>
        <v/>
      </c>
      <c r="DM36" s="29" t="str">
        <f t="shared" si="23"/>
        <v/>
      </c>
      <c r="DN36" s="29" t="str">
        <f t="shared" si="23"/>
        <v/>
      </c>
      <c r="DO36" s="29" t="str">
        <f t="shared" si="23"/>
        <v/>
      </c>
      <c r="DP36" s="29" t="str">
        <f t="shared" si="23"/>
        <v/>
      </c>
      <c r="DQ36" s="29" t="str">
        <f t="shared" si="23"/>
        <v/>
      </c>
      <c r="DR36" s="29" t="str">
        <f t="shared" si="23"/>
        <v/>
      </c>
      <c r="DS36" s="29" t="str">
        <f t="shared" si="23"/>
        <v/>
      </c>
      <c r="DT36" s="29" t="str">
        <f t="shared" si="23"/>
        <v/>
      </c>
      <c r="DU36" s="29" t="str">
        <f t="shared" si="23"/>
        <v/>
      </c>
      <c r="DV36" s="29" t="str">
        <f t="shared" si="23"/>
        <v/>
      </c>
      <c r="DW36" s="29" t="str">
        <f t="shared" si="24"/>
        <v/>
      </c>
      <c r="DX36" s="29" t="str">
        <f t="shared" si="24"/>
        <v/>
      </c>
      <c r="DY36" s="29" t="str">
        <f t="shared" si="24"/>
        <v/>
      </c>
      <c r="DZ36" s="29" t="str">
        <f t="shared" si="24"/>
        <v/>
      </c>
      <c r="EA36" s="29" t="str">
        <f t="shared" si="24"/>
        <v/>
      </c>
      <c r="EB36" s="29" t="str">
        <f t="shared" si="24"/>
        <v/>
      </c>
      <c r="EC36" s="29" t="str">
        <f t="shared" si="24"/>
        <v/>
      </c>
      <c r="ED36" s="29" t="str">
        <f t="shared" si="24"/>
        <v/>
      </c>
      <c r="EE36" s="29" t="str">
        <f t="shared" si="24"/>
        <v/>
      </c>
      <c r="EF36" s="29" t="str">
        <f t="shared" si="24"/>
        <v/>
      </c>
      <c r="EG36" s="29" t="str">
        <f t="shared" si="24"/>
        <v/>
      </c>
      <c r="EH36" s="29" t="str">
        <f t="shared" si="24"/>
        <v/>
      </c>
      <c r="EI36" s="29" t="str">
        <f t="shared" si="24"/>
        <v/>
      </c>
      <c r="EJ36" s="29" t="str">
        <f t="shared" si="24"/>
        <v/>
      </c>
      <c r="EK36" s="29" t="str">
        <f t="shared" si="24"/>
        <v/>
      </c>
      <c r="EL36" s="29" t="str">
        <f t="shared" si="24"/>
        <v/>
      </c>
      <c r="EM36" s="29" t="str">
        <f t="shared" si="24"/>
        <v/>
      </c>
      <c r="EN36" s="29" t="str">
        <f t="shared" si="24"/>
        <v/>
      </c>
      <c r="EO36" s="29" t="str">
        <f t="shared" si="24"/>
        <v/>
      </c>
      <c r="EP36" s="29" t="str">
        <f t="shared" si="24"/>
        <v/>
      </c>
      <c r="EQ36" s="29" t="str">
        <f t="shared" si="24"/>
        <v/>
      </c>
      <c r="ER36" s="29" t="str">
        <f t="shared" si="24"/>
        <v/>
      </c>
      <c r="ES36" s="29" t="str">
        <f t="shared" si="24"/>
        <v/>
      </c>
      <c r="ET36" s="29" t="str">
        <f t="shared" si="24"/>
        <v/>
      </c>
    </row>
    <row r="37" spans="1:150" x14ac:dyDescent="0.2">
      <c r="A37" s="103" t="str">
        <f>TEXT('M&amp;V Tasks'!A38,"#")</f>
        <v>3</v>
      </c>
      <c r="B37" s="104" t="str">
        <f>TEXT('M&amp;V Tasks'!B38,"#")</f>
        <v>Review throughput tracker to ensure quality data collection</v>
      </c>
      <c r="C37" s="103">
        <f>'M&amp;V Tasks'!I38</f>
        <v>0</v>
      </c>
      <c r="D37" s="27"/>
      <c r="E37" s="27"/>
      <c r="F37" s="29" t="str">
        <f t="shared" si="16"/>
        <v/>
      </c>
      <c r="G37" s="29" t="str">
        <f t="shared" si="16"/>
        <v/>
      </c>
      <c r="H37" s="29" t="str">
        <f t="shared" si="16"/>
        <v/>
      </c>
      <c r="I37" s="29" t="str">
        <f t="shared" si="16"/>
        <v/>
      </c>
      <c r="J37" s="29" t="str">
        <f t="shared" si="16"/>
        <v/>
      </c>
      <c r="K37" s="29" t="str">
        <f t="shared" si="16"/>
        <v/>
      </c>
      <c r="L37" s="29" t="str">
        <f t="shared" si="16"/>
        <v/>
      </c>
      <c r="M37" s="29" t="str">
        <f t="shared" si="16"/>
        <v/>
      </c>
      <c r="N37" s="29" t="str">
        <f t="shared" si="16"/>
        <v/>
      </c>
      <c r="O37" s="29" t="str">
        <f t="shared" si="16"/>
        <v/>
      </c>
      <c r="P37" s="29" t="str">
        <f t="shared" si="16"/>
        <v/>
      </c>
      <c r="Q37" s="29" t="str">
        <f t="shared" si="16"/>
        <v/>
      </c>
      <c r="R37" s="29" t="str">
        <f t="shared" si="16"/>
        <v/>
      </c>
      <c r="S37" s="29" t="str">
        <f t="shared" si="16"/>
        <v/>
      </c>
      <c r="T37" s="29" t="str">
        <f t="shared" si="16"/>
        <v/>
      </c>
      <c r="U37" s="29" t="str">
        <f t="shared" si="16"/>
        <v/>
      </c>
      <c r="V37" s="29" t="str">
        <f t="shared" si="27"/>
        <v/>
      </c>
      <c r="W37" s="29" t="str">
        <f t="shared" si="27"/>
        <v/>
      </c>
      <c r="X37" s="29" t="str">
        <f t="shared" si="27"/>
        <v/>
      </c>
      <c r="Y37" s="29" t="str">
        <f t="shared" si="27"/>
        <v/>
      </c>
      <c r="Z37" s="29" t="str">
        <f t="shared" si="27"/>
        <v/>
      </c>
      <c r="AA37" s="29" t="str">
        <f t="shared" si="27"/>
        <v/>
      </c>
      <c r="AB37" s="29" t="str">
        <f t="shared" si="27"/>
        <v/>
      </c>
      <c r="AC37" s="29" t="str">
        <f t="shared" si="27"/>
        <v/>
      </c>
      <c r="AD37" s="29" t="str">
        <f t="shared" si="27"/>
        <v/>
      </c>
      <c r="AE37" s="29" t="str">
        <f t="shared" si="27"/>
        <v/>
      </c>
      <c r="AF37" s="29" t="str">
        <f t="shared" si="27"/>
        <v/>
      </c>
      <c r="AG37" s="29" t="str">
        <f t="shared" si="27"/>
        <v/>
      </c>
      <c r="AH37" s="29" t="str">
        <f t="shared" si="27"/>
        <v/>
      </c>
      <c r="AI37" s="29" t="str">
        <f t="shared" si="27"/>
        <v/>
      </c>
      <c r="AJ37" s="29" t="str">
        <f t="shared" si="27"/>
        <v/>
      </c>
      <c r="AK37" s="29" t="str">
        <f t="shared" si="27"/>
        <v/>
      </c>
      <c r="AL37" s="29" t="str">
        <f t="shared" si="27"/>
        <v/>
      </c>
      <c r="AM37" s="29" t="str">
        <f t="shared" si="27"/>
        <v/>
      </c>
      <c r="AN37" s="29" t="str">
        <f t="shared" si="27"/>
        <v/>
      </c>
      <c r="AO37" s="29" t="str">
        <f t="shared" si="27"/>
        <v/>
      </c>
      <c r="AP37" s="29" t="str">
        <f t="shared" si="27"/>
        <v/>
      </c>
      <c r="AQ37" s="29" t="str">
        <f t="shared" si="27"/>
        <v/>
      </c>
      <c r="AR37" s="29" t="str">
        <f t="shared" si="27"/>
        <v/>
      </c>
      <c r="AS37" s="29" t="str">
        <f t="shared" si="27"/>
        <v/>
      </c>
      <c r="AT37" s="29" t="str">
        <f t="shared" si="27"/>
        <v/>
      </c>
      <c r="AU37" s="29" t="str">
        <f t="shared" si="27"/>
        <v/>
      </c>
      <c r="AV37" s="29" t="str">
        <f t="shared" si="27"/>
        <v/>
      </c>
      <c r="AW37" s="29" t="str">
        <f t="shared" si="27"/>
        <v/>
      </c>
      <c r="AX37" s="29" t="str">
        <f t="shared" si="27"/>
        <v/>
      </c>
      <c r="AY37" s="29" t="str">
        <f t="shared" si="27"/>
        <v/>
      </c>
      <c r="AZ37" s="29" t="str">
        <f t="shared" si="27"/>
        <v/>
      </c>
      <c r="BA37" s="29" t="str">
        <f t="shared" si="27"/>
        <v/>
      </c>
      <c r="BB37" s="29" t="str">
        <f t="shared" si="27"/>
        <v/>
      </c>
      <c r="BC37" s="29" t="str">
        <f t="shared" si="27"/>
        <v/>
      </c>
      <c r="BD37" s="29" t="str">
        <f t="shared" si="27"/>
        <v/>
      </c>
      <c r="BE37" s="29" t="str">
        <f t="shared" si="27"/>
        <v/>
      </c>
      <c r="BF37" s="29" t="str">
        <f t="shared" si="27"/>
        <v/>
      </c>
      <c r="BG37" s="29" t="str">
        <f t="shared" si="27"/>
        <v/>
      </c>
      <c r="BH37" s="29" t="str">
        <f t="shared" si="27"/>
        <v/>
      </c>
      <c r="BI37" s="29" t="str">
        <f t="shared" si="27"/>
        <v/>
      </c>
      <c r="BJ37" s="29" t="str">
        <f t="shared" si="27"/>
        <v/>
      </c>
      <c r="BK37" s="29" t="str">
        <f t="shared" si="27"/>
        <v/>
      </c>
      <c r="BL37" s="29" t="str">
        <f t="shared" si="27"/>
        <v/>
      </c>
      <c r="BM37" s="29" t="str">
        <f t="shared" si="27"/>
        <v/>
      </c>
      <c r="BN37" s="29" t="str">
        <f t="shared" si="27"/>
        <v/>
      </c>
      <c r="BO37" s="29" t="str">
        <f t="shared" si="27"/>
        <v/>
      </c>
      <c r="BP37" s="29" t="str">
        <f t="shared" si="27"/>
        <v/>
      </c>
      <c r="BQ37" s="29" t="str">
        <f t="shared" si="27"/>
        <v/>
      </c>
      <c r="BR37" s="29" t="str">
        <f t="shared" si="27"/>
        <v/>
      </c>
      <c r="BS37" s="29" t="str">
        <f t="shared" si="27"/>
        <v/>
      </c>
      <c r="BT37" s="29" t="str">
        <f t="shared" si="27"/>
        <v/>
      </c>
      <c r="BU37" s="29" t="str">
        <f t="shared" si="27"/>
        <v/>
      </c>
      <c r="BV37" s="29" t="str">
        <f t="shared" si="27"/>
        <v/>
      </c>
      <c r="BW37" s="29" t="str">
        <f>IF(AND(BW$9&gt;=$D37,BW$9&lt;=$E37),1,"")</f>
        <v/>
      </c>
      <c r="BX37" s="29" t="str">
        <f t="shared" si="25"/>
        <v/>
      </c>
      <c r="BY37" s="29" t="str">
        <f t="shared" si="25"/>
        <v/>
      </c>
      <c r="BZ37" s="29" t="str">
        <f t="shared" si="25"/>
        <v/>
      </c>
      <c r="CA37" s="29" t="str">
        <f t="shared" si="25"/>
        <v/>
      </c>
      <c r="CB37" s="29" t="str">
        <f t="shared" si="25"/>
        <v/>
      </c>
      <c r="CC37" s="29" t="str">
        <f t="shared" si="25"/>
        <v/>
      </c>
      <c r="CD37" s="29" t="str">
        <f t="shared" si="25"/>
        <v/>
      </c>
      <c r="CE37" s="29" t="str">
        <f t="shared" si="25"/>
        <v/>
      </c>
      <c r="CF37" s="29" t="str">
        <f t="shared" si="25"/>
        <v/>
      </c>
      <c r="CG37" s="29" t="str">
        <f t="shared" si="25"/>
        <v/>
      </c>
      <c r="CH37" s="29" t="str">
        <f t="shared" si="25"/>
        <v/>
      </c>
      <c r="CI37" s="29" t="str">
        <f t="shared" si="25"/>
        <v/>
      </c>
      <c r="CJ37" s="29" t="str">
        <f t="shared" si="25"/>
        <v/>
      </c>
      <c r="CK37" s="29" t="str">
        <f t="shared" si="25"/>
        <v/>
      </c>
      <c r="CL37" s="29" t="str">
        <f t="shared" si="25"/>
        <v/>
      </c>
      <c r="CM37" s="29" t="str">
        <f t="shared" si="25"/>
        <v/>
      </c>
      <c r="CN37" s="29" t="str">
        <f t="shared" si="25"/>
        <v/>
      </c>
      <c r="CO37" s="29" t="str">
        <f t="shared" si="25"/>
        <v/>
      </c>
      <c r="CP37" s="29" t="str">
        <f t="shared" si="25"/>
        <v/>
      </c>
      <c r="CQ37" s="29" t="str">
        <f t="shared" si="25"/>
        <v/>
      </c>
      <c r="CR37" s="29" t="str">
        <f t="shared" si="25"/>
        <v/>
      </c>
      <c r="CS37" s="29" t="str">
        <f t="shared" si="25"/>
        <v/>
      </c>
      <c r="CT37" s="29" t="str">
        <f t="shared" si="25"/>
        <v/>
      </c>
      <c r="CU37" s="29" t="str">
        <f t="shared" si="25"/>
        <v/>
      </c>
      <c r="CV37" s="29" t="str">
        <f t="shared" si="25"/>
        <v/>
      </c>
      <c r="CW37" s="29" t="str">
        <f t="shared" si="26"/>
        <v/>
      </c>
      <c r="CX37" s="29" t="str">
        <f t="shared" si="23"/>
        <v/>
      </c>
      <c r="CY37" s="29" t="str">
        <f t="shared" si="23"/>
        <v/>
      </c>
      <c r="CZ37" s="29" t="str">
        <f t="shared" si="23"/>
        <v/>
      </c>
      <c r="DA37" s="29" t="str">
        <f t="shared" si="23"/>
        <v/>
      </c>
      <c r="DB37" s="29" t="str">
        <f t="shared" si="23"/>
        <v/>
      </c>
      <c r="DC37" s="29" t="str">
        <f t="shared" si="23"/>
        <v/>
      </c>
      <c r="DD37" s="29" t="str">
        <f t="shared" si="23"/>
        <v/>
      </c>
      <c r="DE37" s="29" t="str">
        <f t="shared" si="23"/>
        <v/>
      </c>
      <c r="DF37" s="29" t="str">
        <f t="shared" si="23"/>
        <v/>
      </c>
      <c r="DG37" s="29" t="str">
        <f t="shared" si="23"/>
        <v/>
      </c>
      <c r="DH37" s="29" t="str">
        <f t="shared" si="23"/>
        <v/>
      </c>
      <c r="DI37" s="29" t="str">
        <f t="shared" si="23"/>
        <v/>
      </c>
      <c r="DJ37" s="29" t="str">
        <f t="shared" si="23"/>
        <v/>
      </c>
      <c r="DK37" s="29" t="str">
        <f t="shared" si="23"/>
        <v/>
      </c>
      <c r="DL37" s="29" t="str">
        <f t="shared" si="23"/>
        <v/>
      </c>
      <c r="DM37" s="29" t="str">
        <f t="shared" si="23"/>
        <v/>
      </c>
      <c r="DN37" s="29" t="str">
        <f t="shared" si="23"/>
        <v/>
      </c>
      <c r="DO37" s="29" t="str">
        <f t="shared" si="23"/>
        <v/>
      </c>
      <c r="DP37" s="29" t="str">
        <f t="shared" si="23"/>
        <v/>
      </c>
      <c r="DQ37" s="29" t="str">
        <f t="shared" si="23"/>
        <v/>
      </c>
      <c r="DR37" s="29" t="str">
        <f t="shared" si="23"/>
        <v/>
      </c>
      <c r="DS37" s="29" t="str">
        <f t="shared" si="23"/>
        <v/>
      </c>
      <c r="DT37" s="29" t="str">
        <f t="shared" si="23"/>
        <v/>
      </c>
      <c r="DU37" s="29" t="str">
        <f t="shared" si="23"/>
        <v/>
      </c>
      <c r="DV37" s="29" t="str">
        <f t="shared" si="23"/>
        <v/>
      </c>
      <c r="DW37" s="29" t="str">
        <f t="shared" si="24"/>
        <v/>
      </c>
      <c r="DX37" s="29" t="str">
        <f t="shared" si="24"/>
        <v/>
      </c>
      <c r="DY37" s="29" t="str">
        <f t="shared" si="24"/>
        <v/>
      </c>
      <c r="DZ37" s="29" t="str">
        <f t="shared" si="24"/>
        <v/>
      </c>
      <c r="EA37" s="29" t="str">
        <f t="shared" si="24"/>
        <v/>
      </c>
      <c r="EB37" s="29" t="str">
        <f t="shared" si="24"/>
        <v/>
      </c>
      <c r="EC37" s="29" t="str">
        <f t="shared" si="24"/>
        <v/>
      </c>
      <c r="ED37" s="29" t="str">
        <f t="shared" si="24"/>
        <v/>
      </c>
      <c r="EE37" s="29" t="str">
        <f t="shared" si="24"/>
        <v/>
      </c>
      <c r="EF37" s="29" t="str">
        <f t="shared" si="24"/>
        <v/>
      </c>
      <c r="EG37" s="29" t="str">
        <f t="shared" si="24"/>
        <v/>
      </c>
      <c r="EH37" s="29" t="str">
        <f t="shared" si="24"/>
        <v/>
      </c>
      <c r="EI37" s="29" t="str">
        <f t="shared" si="24"/>
        <v/>
      </c>
      <c r="EJ37" s="29" t="str">
        <f t="shared" si="24"/>
        <v/>
      </c>
      <c r="EK37" s="29" t="str">
        <f t="shared" si="24"/>
        <v/>
      </c>
      <c r="EL37" s="29" t="str">
        <f t="shared" si="24"/>
        <v/>
      </c>
      <c r="EM37" s="29" t="str">
        <f t="shared" si="24"/>
        <v/>
      </c>
      <c r="EN37" s="29" t="str">
        <f t="shared" si="24"/>
        <v/>
      </c>
      <c r="EO37" s="29" t="str">
        <f t="shared" si="24"/>
        <v/>
      </c>
      <c r="EP37" s="29" t="str">
        <f t="shared" si="24"/>
        <v/>
      </c>
      <c r="EQ37" s="29" t="str">
        <f t="shared" si="24"/>
        <v/>
      </c>
      <c r="ER37" s="29" t="str">
        <f t="shared" si="24"/>
        <v/>
      </c>
      <c r="ES37" s="29" t="str">
        <f t="shared" si="24"/>
        <v/>
      </c>
      <c r="ET37" s="29" t="str">
        <f t="shared" si="24"/>
        <v/>
      </c>
    </row>
    <row r="38" spans="1:150" x14ac:dyDescent="0.2">
      <c r="A38" s="103" t="str">
        <f>TEXT('M&amp;V Tasks'!A39,"#")</f>
        <v>4</v>
      </c>
      <c r="B38" s="104" t="str">
        <f>TEXT('M&amp;V Tasks'!B39,"#")</f>
        <v>Download logger data and check to ensure completeness</v>
      </c>
      <c r="C38" s="103">
        <f>'M&amp;V Tasks'!I39</f>
        <v>0</v>
      </c>
      <c r="D38" s="27"/>
      <c r="E38" s="27"/>
      <c r="F38" s="29" t="str">
        <f t="shared" si="16"/>
        <v/>
      </c>
      <c r="G38" s="29" t="str">
        <f t="shared" si="16"/>
        <v/>
      </c>
      <c r="H38" s="29" t="str">
        <f t="shared" si="16"/>
        <v/>
      </c>
      <c r="I38" s="29" t="str">
        <f t="shared" si="16"/>
        <v/>
      </c>
      <c r="J38" s="29" t="str">
        <f t="shared" si="16"/>
        <v/>
      </c>
      <c r="K38" s="29" t="str">
        <f t="shared" si="16"/>
        <v/>
      </c>
      <c r="L38" s="29" t="str">
        <f t="shared" si="16"/>
        <v/>
      </c>
      <c r="M38" s="29" t="str">
        <f t="shared" si="16"/>
        <v/>
      </c>
      <c r="N38" s="29" t="str">
        <f t="shared" si="16"/>
        <v/>
      </c>
      <c r="O38" s="29" t="str">
        <f t="shared" si="16"/>
        <v/>
      </c>
      <c r="P38" s="29" t="str">
        <f t="shared" si="16"/>
        <v/>
      </c>
      <c r="Q38" s="29" t="str">
        <f t="shared" si="16"/>
        <v/>
      </c>
      <c r="R38" s="29" t="str">
        <f t="shared" si="16"/>
        <v/>
      </c>
      <c r="S38" s="29" t="str">
        <f t="shared" si="16"/>
        <v/>
      </c>
      <c r="T38" s="29" t="str">
        <f t="shared" si="16"/>
        <v/>
      </c>
      <c r="U38" s="29" t="str">
        <f t="shared" si="16"/>
        <v/>
      </c>
      <c r="V38" s="29" t="str">
        <f t="shared" ref="V38:BW42" si="28">IF(AND(V$9&gt;=$D38,V$9&lt;=$E38),1,"")</f>
        <v/>
      </c>
      <c r="W38" s="29" t="str">
        <f t="shared" si="28"/>
        <v/>
      </c>
      <c r="X38" s="29" t="str">
        <f t="shared" si="28"/>
        <v/>
      </c>
      <c r="Y38" s="29" t="str">
        <f t="shared" si="28"/>
        <v/>
      </c>
      <c r="Z38" s="29" t="str">
        <f t="shared" si="28"/>
        <v/>
      </c>
      <c r="AA38" s="29" t="str">
        <f t="shared" si="28"/>
        <v/>
      </c>
      <c r="AB38" s="29" t="str">
        <f t="shared" si="28"/>
        <v/>
      </c>
      <c r="AC38" s="29" t="str">
        <f t="shared" si="28"/>
        <v/>
      </c>
      <c r="AD38" s="29" t="str">
        <f t="shared" si="28"/>
        <v/>
      </c>
      <c r="AE38" s="29" t="str">
        <f t="shared" si="28"/>
        <v/>
      </c>
      <c r="AF38" s="29" t="str">
        <f t="shared" si="28"/>
        <v/>
      </c>
      <c r="AG38" s="29" t="str">
        <f t="shared" si="28"/>
        <v/>
      </c>
      <c r="AH38" s="29" t="str">
        <f t="shared" si="28"/>
        <v/>
      </c>
      <c r="AI38" s="29" t="str">
        <f t="shared" si="28"/>
        <v/>
      </c>
      <c r="AJ38" s="29" t="str">
        <f t="shared" si="28"/>
        <v/>
      </c>
      <c r="AK38" s="29" t="str">
        <f t="shared" si="28"/>
        <v/>
      </c>
      <c r="AL38" s="29" t="str">
        <f t="shared" si="28"/>
        <v/>
      </c>
      <c r="AM38" s="29" t="str">
        <f t="shared" si="28"/>
        <v/>
      </c>
      <c r="AN38" s="29" t="str">
        <f t="shared" si="28"/>
        <v/>
      </c>
      <c r="AO38" s="29" t="str">
        <f t="shared" si="28"/>
        <v/>
      </c>
      <c r="AP38" s="29" t="str">
        <f t="shared" si="28"/>
        <v/>
      </c>
      <c r="AQ38" s="29" t="str">
        <f t="shared" si="28"/>
        <v/>
      </c>
      <c r="AR38" s="29" t="str">
        <f t="shared" si="28"/>
        <v/>
      </c>
      <c r="AS38" s="29" t="str">
        <f t="shared" si="28"/>
        <v/>
      </c>
      <c r="AT38" s="29" t="str">
        <f t="shared" si="28"/>
        <v/>
      </c>
      <c r="AU38" s="29" t="str">
        <f t="shared" si="28"/>
        <v/>
      </c>
      <c r="AV38" s="29" t="str">
        <f t="shared" si="28"/>
        <v/>
      </c>
      <c r="AW38" s="29" t="str">
        <f t="shared" si="28"/>
        <v/>
      </c>
      <c r="AX38" s="29" t="str">
        <f t="shared" si="28"/>
        <v/>
      </c>
      <c r="AY38" s="29" t="str">
        <f t="shared" si="28"/>
        <v/>
      </c>
      <c r="AZ38" s="29" t="str">
        <f t="shared" si="28"/>
        <v/>
      </c>
      <c r="BA38" s="29" t="str">
        <f t="shared" si="28"/>
        <v/>
      </c>
      <c r="BB38" s="29" t="str">
        <f t="shared" si="28"/>
        <v/>
      </c>
      <c r="BC38" s="29" t="str">
        <f t="shared" si="28"/>
        <v/>
      </c>
      <c r="BD38" s="29" t="str">
        <f t="shared" si="28"/>
        <v/>
      </c>
      <c r="BE38" s="29" t="str">
        <f t="shared" si="28"/>
        <v/>
      </c>
      <c r="BF38" s="29" t="str">
        <f t="shared" si="28"/>
        <v/>
      </c>
      <c r="BG38" s="29" t="str">
        <f t="shared" si="28"/>
        <v/>
      </c>
      <c r="BH38" s="29" t="str">
        <f t="shared" si="28"/>
        <v/>
      </c>
      <c r="BI38" s="29" t="str">
        <f t="shared" si="28"/>
        <v/>
      </c>
      <c r="BJ38" s="29" t="str">
        <f t="shared" si="28"/>
        <v/>
      </c>
      <c r="BK38" s="29" t="str">
        <f t="shared" si="28"/>
        <v/>
      </c>
      <c r="BL38" s="29" t="str">
        <f t="shared" si="28"/>
        <v/>
      </c>
      <c r="BM38" s="29" t="str">
        <f t="shared" si="28"/>
        <v/>
      </c>
      <c r="BN38" s="29" t="str">
        <f t="shared" si="28"/>
        <v/>
      </c>
      <c r="BO38" s="29" t="str">
        <f t="shared" si="28"/>
        <v/>
      </c>
      <c r="BP38" s="29" t="str">
        <f t="shared" si="28"/>
        <v/>
      </c>
      <c r="BQ38" s="29" t="str">
        <f t="shared" si="28"/>
        <v/>
      </c>
      <c r="BR38" s="29" t="str">
        <f t="shared" si="28"/>
        <v/>
      </c>
      <c r="BS38" s="29" t="str">
        <f t="shared" si="28"/>
        <v/>
      </c>
      <c r="BT38" s="29" t="str">
        <f t="shared" si="28"/>
        <v/>
      </c>
      <c r="BU38" s="29" t="str">
        <f t="shared" si="28"/>
        <v/>
      </c>
      <c r="BV38" s="29" t="str">
        <f t="shared" si="28"/>
        <v/>
      </c>
      <c r="BW38" s="29" t="str">
        <f t="shared" si="28"/>
        <v/>
      </c>
      <c r="BX38" s="29" t="str">
        <f t="shared" si="25"/>
        <v/>
      </c>
      <c r="BY38" s="29" t="str">
        <f t="shared" si="25"/>
        <v/>
      </c>
      <c r="BZ38" s="29" t="str">
        <f t="shared" si="25"/>
        <v/>
      </c>
      <c r="CA38" s="29" t="str">
        <f t="shared" si="25"/>
        <v/>
      </c>
      <c r="CB38" s="29" t="str">
        <f t="shared" si="25"/>
        <v/>
      </c>
      <c r="CC38" s="29" t="str">
        <f t="shared" si="25"/>
        <v/>
      </c>
      <c r="CD38" s="29" t="str">
        <f t="shared" si="25"/>
        <v/>
      </c>
      <c r="CE38" s="29" t="str">
        <f t="shared" si="25"/>
        <v/>
      </c>
      <c r="CF38" s="29" t="str">
        <f t="shared" si="25"/>
        <v/>
      </c>
      <c r="CG38" s="29" t="str">
        <f t="shared" si="25"/>
        <v/>
      </c>
      <c r="CH38" s="29" t="str">
        <f t="shared" si="25"/>
        <v/>
      </c>
      <c r="CI38" s="29" t="str">
        <f t="shared" si="25"/>
        <v/>
      </c>
      <c r="CJ38" s="29" t="str">
        <f t="shared" si="25"/>
        <v/>
      </c>
      <c r="CK38" s="29" t="str">
        <f t="shared" si="25"/>
        <v/>
      </c>
      <c r="CL38" s="29" t="str">
        <f t="shared" si="25"/>
        <v/>
      </c>
      <c r="CM38" s="29" t="str">
        <f t="shared" si="25"/>
        <v/>
      </c>
      <c r="CN38" s="29" t="str">
        <f t="shared" si="25"/>
        <v/>
      </c>
      <c r="CO38" s="29" t="str">
        <f t="shared" si="25"/>
        <v/>
      </c>
      <c r="CP38" s="29" t="str">
        <f t="shared" si="25"/>
        <v/>
      </c>
      <c r="CQ38" s="29" t="str">
        <f t="shared" si="25"/>
        <v/>
      </c>
      <c r="CR38" s="29" t="str">
        <f t="shared" si="25"/>
        <v/>
      </c>
      <c r="CS38" s="29" t="str">
        <f t="shared" si="25"/>
        <v/>
      </c>
      <c r="CT38" s="29" t="str">
        <f t="shared" si="25"/>
        <v/>
      </c>
      <c r="CU38" s="29" t="str">
        <f t="shared" si="25"/>
        <v/>
      </c>
      <c r="CV38" s="29" t="str">
        <f t="shared" si="25"/>
        <v/>
      </c>
      <c r="CW38" s="29" t="str">
        <f t="shared" si="26"/>
        <v/>
      </c>
      <c r="CX38" s="29" t="str">
        <f t="shared" si="23"/>
        <v/>
      </c>
      <c r="CY38" s="29" t="str">
        <f t="shared" si="23"/>
        <v/>
      </c>
      <c r="CZ38" s="29" t="str">
        <f t="shared" si="23"/>
        <v/>
      </c>
      <c r="DA38" s="29" t="str">
        <f t="shared" si="23"/>
        <v/>
      </c>
      <c r="DB38" s="29" t="str">
        <f t="shared" si="23"/>
        <v/>
      </c>
      <c r="DC38" s="29" t="str">
        <f t="shared" si="23"/>
        <v/>
      </c>
      <c r="DD38" s="29" t="str">
        <f t="shared" si="23"/>
        <v/>
      </c>
      <c r="DE38" s="29" t="str">
        <f t="shared" si="23"/>
        <v/>
      </c>
      <c r="DF38" s="29" t="str">
        <f t="shared" si="23"/>
        <v/>
      </c>
      <c r="DG38" s="29" t="str">
        <f t="shared" si="23"/>
        <v/>
      </c>
      <c r="DH38" s="29" t="str">
        <f t="shared" si="23"/>
        <v/>
      </c>
      <c r="DI38" s="29" t="str">
        <f t="shared" si="23"/>
        <v/>
      </c>
      <c r="DJ38" s="29" t="str">
        <f t="shared" si="23"/>
        <v/>
      </c>
      <c r="DK38" s="29" t="str">
        <f t="shared" si="23"/>
        <v/>
      </c>
      <c r="DL38" s="29" t="str">
        <f t="shared" si="23"/>
        <v/>
      </c>
      <c r="DM38" s="29" t="str">
        <f t="shared" si="23"/>
        <v/>
      </c>
      <c r="DN38" s="29" t="str">
        <f t="shared" si="23"/>
        <v/>
      </c>
      <c r="DO38" s="29" t="str">
        <f t="shared" si="23"/>
        <v/>
      </c>
      <c r="DP38" s="29" t="str">
        <f t="shared" si="23"/>
        <v/>
      </c>
      <c r="DQ38" s="29" t="str">
        <f t="shared" si="23"/>
        <v/>
      </c>
      <c r="DR38" s="29" t="str">
        <f t="shared" si="23"/>
        <v/>
      </c>
      <c r="DS38" s="29" t="str">
        <f t="shared" si="23"/>
        <v/>
      </c>
      <c r="DT38" s="29" t="str">
        <f t="shared" si="23"/>
        <v/>
      </c>
      <c r="DU38" s="29" t="str">
        <f t="shared" si="23"/>
        <v/>
      </c>
      <c r="DV38" s="29" t="str">
        <f t="shared" si="23"/>
        <v/>
      </c>
      <c r="DW38" s="29" t="str">
        <f t="shared" si="24"/>
        <v/>
      </c>
      <c r="DX38" s="29" t="str">
        <f t="shared" si="24"/>
        <v/>
      </c>
      <c r="DY38" s="29" t="str">
        <f t="shared" si="24"/>
        <v/>
      </c>
      <c r="DZ38" s="29" t="str">
        <f t="shared" si="24"/>
        <v/>
      </c>
      <c r="EA38" s="29" t="str">
        <f t="shared" si="24"/>
        <v/>
      </c>
      <c r="EB38" s="29" t="str">
        <f t="shared" si="24"/>
        <v/>
      </c>
      <c r="EC38" s="29" t="str">
        <f t="shared" si="24"/>
        <v/>
      </c>
      <c r="ED38" s="29" t="str">
        <f t="shared" si="24"/>
        <v/>
      </c>
      <c r="EE38" s="29" t="str">
        <f t="shared" si="24"/>
        <v/>
      </c>
      <c r="EF38" s="29" t="str">
        <f t="shared" si="24"/>
        <v/>
      </c>
      <c r="EG38" s="29" t="str">
        <f t="shared" si="24"/>
        <v/>
      </c>
      <c r="EH38" s="29" t="str">
        <f t="shared" si="24"/>
        <v/>
      </c>
      <c r="EI38" s="29" t="str">
        <f t="shared" si="24"/>
        <v/>
      </c>
      <c r="EJ38" s="29" t="str">
        <f t="shared" si="24"/>
        <v/>
      </c>
      <c r="EK38" s="29" t="str">
        <f t="shared" si="24"/>
        <v/>
      </c>
      <c r="EL38" s="29" t="str">
        <f t="shared" si="24"/>
        <v/>
      </c>
      <c r="EM38" s="29" t="str">
        <f t="shared" si="24"/>
        <v/>
      </c>
      <c r="EN38" s="29" t="str">
        <f t="shared" si="24"/>
        <v/>
      </c>
      <c r="EO38" s="29" t="str">
        <f t="shared" si="24"/>
        <v/>
      </c>
      <c r="EP38" s="29" t="str">
        <f t="shared" si="24"/>
        <v/>
      </c>
      <c r="EQ38" s="29" t="str">
        <f t="shared" si="24"/>
        <v/>
      </c>
      <c r="ER38" s="29" t="str">
        <f t="shared" si="24"/>
        <v/>
      </c>
      <c r="ES38" s="29" t="str">
        <f t="shared" si="24"/>
        <v/>
      </c>
      <c r="ET38" s="29" t="str">
        <f t="shared" si="24"/>
        <v/>
      </c>
    </row>
    <row r="39" spans="1:150" x14ac:dyDescent="0.2">
      <c r="A39" s="103" t="str">
        <f>TEXT('M&amp;V Tasks'!A40,"#")</f>
        <v>5</v>
      </c>
      <c r="B39" s="104" t="str">
        <f>TEXT('M&amp;V Tasks'!B40,"#")</f>
        <v/>
      </c>
      <c r="C39" s="103">
        <f>'M&amp;V Tasks'!I40</f>
        <v>0</v>
      </c>
      <c r="D39" s="27"/>
      <c r="E39" s="27"/>
      <c r="F39" s="29" t="str">
        <f t="shared" si="16"/>
        <v/>
      </c>
      <c r="G39" s="29" t="str">
        <f t="shared" si="16"/>
        <v/>
      </c>
      <c r="H39" s="29" t="str">
        <f t="shared" si="16"/>
        <v/>
      </c>
      <c r="I39" s="29" t="str">
        <f t="shared" si="16"/>
        <v/>
      </c>
      <c r="J39" s="29" t="str">
        <f t="shared" si="16"/>
        <v/>
      </c>
      <c r="K39" s="29" t="str">
        <f t="shared" si="16"/>
        <v/>
      </c>
      <c r="L39" s="29" t="str">
        <f t="shared" si="16"/>
        <v/>
      </c>
      <c r="M39" s="29" t="str">
        <f t="shared" si="16"/>
        <v/>
      </c>
      <c r="N39" s="29" t="str">
        <f t="shared" si="16"/>
        <v/>
      </c>
      <c r="O39" s="29" t="str">
        <f t="shared" si="16"/>
        <v/>
      </c>
      <c r="P39" s="29" t="str">
        <f t="shared" si="16"/>
        <v/>
      </c>
      <c r="Q39" s="29" t="str">
        <f t="shared" si="16"/>
        <v/>
      </c>
      <c r="R39" s="29" t="str">
        <f t="shared" si="16"/>
        <v/>
      </c>
      <c r="S39" s="29" t="str">
        <f t="shared" si="16"/>
        <v/>
      </c>
      <c r="T39" s="29" t="str">
        <f t="shared" si="16"/>
        <v/>
      </c>
      <c r="U39" s="29" t="str">
        <f>IF(AND(U$9&gt;=$D39,U$9&lt;=$E39),1,"")</f>
        <v/>
      </c>
      <c r="V39" s="29" t="str">
        <f t="shared" si="28"/>
        <v/>
      </c>
      <c r="W39" s="29" t="str">
        <f t="shared" si="28"/>
        <v/>
      </c>
      <c r="X39" s="29" t="str">
        <f t="shared" si="28"/>
        <v/>
      </c>
      <c r="Y39" s="29" t="str">
        <f t="shared" si="28"/>
        <v/>
      </c>
      <c r="Z39" s="29" t="str">
        <f t="shared" si="28"/>
        <v/>
      </c>
      <c r="AA39" s="29" t="str">
        <f t="shared" si="28"/>
        <v/>
      </c>
      <c r="AB39" s="29" t="str">
        <f t="shared" si="28"/>
        <v/>
      </c>
      <c r="AC39" s="29" t="str">
        <f t="shared" si="28"/>
        <v/>
      </c>
      <c r="AD39" s="29" t="str">
        <f t="shared" si="28"/>
        <v/>
      </c>
      <c r="AE39" s="29" t="str">
        <f t="shared" si="28"/>
        <v/>
      </c>
      <c r="AF39" s="29" t="str">
        <f t="shared" si="28"/>
        <v/>
      </c>
      <c r="AG39" s="29" t="str">
        <f t="shared" si="28"/>
        <v/>
      </c>
      <c r="AH39" s="29" t="str">
        <f t="shared" si="28"/>
        <v/>
      </c>
      <c r="AI39" s="29" t="str">
        <f t="shared" si="28"/>
        <v/>
      </c>
      <c r="AJ39" s="29" t="str">
        <f t="shared" si="28"/>
        <v/>
      </c>
      <c r="AK39" s="29" t="str">
        <f t="shared" si="28"/>
        <v/>
      </c>
      <c r="AL39" s="29" t="str">
        <f t="shared" si="28"/>
        <v/>
      </c>
      <c r="AM39" s="29" t="str">
        <f t="shared" si="28"/>
        <v/>
      </c>
      <c r="AN39" s="29" t="str">
        <f t="shared" si="28"/>
        <v/>
      </c>
      <c r="AO39" s="29" t="str">
        <f t="shared" si="28"/>
        <v/>
      </c>
      <c r="AP39" s="29" t="str">
        <f t="shared" si="28"/>
        <v/>
      </c>
      <c r="AQ39" s="29" t="str">
        <f t="shared" si="28"/>
        <v/>
      </c>
      <c r="AR39" s="29" t="str">
        <f t="shared" si="28"/>
        <v/>
      </c>
      <c r="AS39" s="29" t="str">
        <f t="shared" si="28"/>
        <v/>
      </c>
      <c r="AT39" s="29" t="str">
        <f t="shared" si="28"/>
        <v/>
      </c>
      <c r="AU39" s="29" t="str">
        <f t="shared" si="28"/>
        <v/>
      </c>
      <c r="AV39" s="29" t="str">
        <f t="shared" si="28"/>
        <v/>
      </c>
      <c r="AW39" s="29" t="str">
        <f t="shared" si="28"/>
        <v/>
      </c>
      <c r="AX39" s="29" t="str">
        <f t="shared" si="28"/>
        <v/>
      </c>
      <c r="AY39" s="29" t="str">
        <f t="shared" si="28"/>
        <v/>
      </c>
      <c r="AZ39" s="29" t="str">
        <f t="shared" si="28"/>
        <v/>
      </c>
      <c r="BA39" s="29" t="str">
        <f t="shared" si="28"/>
        <v/>
      </c>
      <c r="BB39" s="29" t="str">
        <f t="shared" si="28"/>
        <v/>
      </c>
      <c r="BC39" s="29" t="str">
        <f t="shared" si="28"/>
        <v/>
      </c>
      <c r="BD39" s="29" t="str">
        <f t="shared" si="28"/>
        <v/>
      </c>
      <c r="BE39" s="29" t="str">
        <f t="shared" si="28"/>
        <v/>
      </c>
      <c r="BF39" s="29" t="str">
        <f t="shared" si="28"/>
        <v/>
      </c>
      <c r="BG39" s="29" t="str">
        <f t="shared" si="28"/>
        <v/>
      </c>
      <c r="BH39" s="29" t="str">
        <f t="shared" si="28"/>
        <v/>
      </c>
      <c r="BI39" s="29" t="str">
        <f t="shared" si="28"/>
        <v/>
      </c>
      <c r="BJ39" s="29" t="str">
        <f t="shared" si="28"/>
        <v/>
      </c>
      <c r="BK39" s="29" t="str">
        <f t="shared" si="28"/>
        <v/>
      </c>
      <c r="BL39" s="29" t="str">
        <f t="shared" si="28"/>
        <v/>
      </c>
      <c r="BM39" s="29" t="str">
        <f t="shared" si="28"/>
        <v/>
      </c>
      <c r="BN39" s="29" t="str">
        <f t="shared" si="28"/>
        <v/>
      </c>
      <c r="BO39" s="29" t="str">
        <f t="shared" si="28"/>
        <v/>
      </c>
      <c r="BP39" s="29" t="str">
        <f t="shared" si="28"/>
        <v/>
      </c>
      <c r="BQ39" s="29" t="str">
        <f t="shared" si="28"/>
        <v/>
      </c>
      <c r="BR39" s="29" t="str">
        <f t="shared" si="28"/>
        <v/>
      </c>
      <c r="BS39" s="29" t="str">
        <f t="shared" si="28"/>
        <v/>
      </c>
      <c r="BT39" s="29" t="str">
        <f t="shared" si="28"/>
        <v/>
      </c>
      <c r="BU39" s="29" t="str">
        <f t="shared" si="28"/>
        <v/>
      </c>
      <c r="BV39" s="29" t="str">
        <f t="shared" si="28"/>
        <v/>
      </c>
      <c r="BW39" s="29" t="str">
        <f t="shared" si="28"/>
        <v/>
      </c>
      <c r="BX39" s="29" t="str">
        <f t="shared" si="25"/>
        <v/>
      </c>
      <c r="BY39" s="29" t="str">
        <f t="shared" si="25"/>
        <v/>
      </c>
      <c r="BZ39" s="29" t="str">
        <f t="shared" si="25"/>
        <v/>
      </c>
      <c r="CA39" s="29" t="str">
        <f t="shared" si="25"/>
        <v/>
      </c>
      <c r="CB39" s="29" t="str">
        <f t="shared" si="25"/>
        <v/>
      </c>
      <c r="CC39" s="29" t="str">
        <f t="shared" si="25"/>
        <v/>
      </c>
      <c r="CD39" s="29" t="str">
        <f t="shared" si="25"/>
        <v/>
      </c>
      <c r="CE39" s="29" t="str">
        <f t="shared" si="25"/>
        <v/>
      </c>
      <c r="CF39" s="29" t="str">
        <f t="shared" si="25"/>
        <v/>
      </c>
      <c r="CG39" s="29" t="str">
        <f t="shared" si="25"/>
        <v/>
      </c>
      <c r="CH39" s="29" t="str">
        <f t="shared" si="25"/>
        <v/>
      </c>
      <c r="CI39" s="29" t="str">
        <f t="shared" si="25"/>
        <v/>
      </c>
      <c r="CJ39" s="29" t="str">
        <f t="shared" si="25"/>
        <v/>
      </c>
      <c r="CK39" s="29" t="str">
        <f t="shared" si="25"/>
        <v/>
      </c>
      <c r="CL39" s="29" t="str">
        <f t="shared" si="25"/>
        <v/>
      </c>
      <c r="CM39" s="29" t="str">
        <f t="shared" si="25"/>
        <v/>
      </c>
      <c r="CN39" s="29" t="str">
        <f t="shared" si="25"/>
        <v/>
      </c>
      <c r="CO39" s="29" t="str">
        <f t="shared" si="25"/>
        <v/>
      </c>
      <c r="CP39" s="29" t="str">
        <f t="shared" si="25"/>
        <v/>
      </c>
      <c r="CQ39" s="29" t="str">
        <f t="shared" si="25"/>
        <v/>
      </c>
      <c r="CR39" s="29" t="str">
        <f t="shared" si="25"/>
        <v/>
      </c>
      <c r="CS39" s="29" t="str">
        <f t="shared" si="25"/>
        <v/>
      </c>
      <c r="CT39" s="29" t="str">
        <f t="shared" si="25"/>
        <v/>
      </c>
      <c r="CU39" s="29" t="str">
        <f t="shared" si="25"/>
        <v/>
      </c>
      <c r="CV39" s="29" t="str">
        <f t="shared" si="25"/>
        <v/>
      </c>
      <c r="CW39" s="29" t="str">
        <f t="shared" si="26"/>
        <v/>
      </c>
      <c r="CX39" s="29" t="str">
        <f t="shared" si="23"/>
        <v/>
      </c>
      <c r="CY39" s="29" t="str">
        <f t="shared" si="23"/>
        <v/>
      </c>
      <c r="CZ39" s="29" t="str">
        <f t="shared" si="23"/>
        <v/>
      </c>
      <c r="DA39" s="29" t="str">
        <f t="shared" si="23"/>
        <v/>
      </c>
      <c r="DB39" s="29" t="str">
        <f t="shared" si="23"/>
        <v/>
      </c>
      <c r="DC39" s="29" t="str">
        <f t="shared" si="23"/>
        <v/>
      </c>
      <c r="DD39" s="29" t="str">
        <f t="shared" si="23"/>
        <v/>
      </c>
      <c r="DE39" s="29" t="str">
        <f t="shared" si="23"/>
        <v/>
      </c>
      <c r="DF39" s="29" t="str">
        <f t="shared" si="23"/>
        <v/>
      </c>
      <c r="DG39" s="29" t="str">
        <f t="shared" si="23"/>
        <v/>
      </c>
      <c r="DH39" s="29" t="str">
        <f t="shared" si="23"/>
        <v/>
      </c>
      <c r="DI39" s="29" t="str">
        <f t="shared" si="23"/>
        <v/>
      </c>
      <c r="DJ39" s="29" t="str">
        <f t="shared" si="23"/>
        <v/>
      </c>
      <c r="DK39" s="29" t="str">
        <f t="shared" si="23"/>
        <v/>
      </c>
      <c r="DL39" s="29" t="str">
        <f t="shared" si="23"/>
        <v/>
      </c>
      <c r="DM39" s="29" t="str">
        <f t="shared" si="23"/>
        <v/>
      </c>
      <c r="DN39" s="29" t="str">
        <f t="shared" si="23"/>
        <v/>
      </c>
      <c r="DO39" s="29" t="str">
        <f t="shared" si="23"/>
        <v/>
      </c>
      <c r="DP39" s="29" t="str">
        <f t="shared" si="23"/>
        <v/>
      </c>
      <c r="DQ39" s="29" t="str">
        <f t="shared" si="23"/>
        <v/>
      </c>
      <c r="DR39" s="29" t="str">
        <f t="shared" si="23"/>
        <v/>
      </c>
      <c r="DS39" s="29" t="str">
        <f t="shared" si="23"/>
        <v/>
      </c>
      <c r="DT39" s="29" t="str">
        <f t="shared" si="23"/>
        <v/>
      </c>
      <c r="DU39" s="29" t="str">
        <f t="shared" si="23"/>
        <v/>
      </c>
      <c r="DV39" s="29" t="str">
        <f t="shared" si="23"/>
        <v/>
      </c>
      <c r="DW39" s="29" t="str">
        <f t="shared" si="24"/>
        <v/>
      </c>
      <c r="DX39" s="29" t="str">
        <f t="shared" si="24"/>
        <v/>
      </c>
      <c r="DY39" s="29" t="str">
        <f t="shared" si="24"/>
        <v/>
      </c>
      <c r="DZ39" s="29" t="str">
        <f t="shared" si="24"/>
        <v/>
      </c>
      <c r="EA39" s="29" t="str">
        <f t="shared" si="24"/>
        <v/>
      </c>
      <c r="EB39" s="29" t="str">
        <f t="shared" si="24"/>
        <v/>
      </c>
      <c r="EC39" s="29" t="str">
        <f t="shared" si="24"/>
        <v/>
      </c>
      <c r="ED39" s="29" t="str">
        <f t="shared" si="24"/>
        <v/>
      </c>
      <c r="EE39" s="29" t="str">
        <f t="shared" si="24"/>
        <v/>
      </c>
      <c r="EF39" s="29" t="str">
        <f t="shared" si="24"/>
        <v/>
      </c>
      <c r="EG39" s="29" t="str">
        <f t="shared" si="24"/>
        <v/>
      </c>
      <c r="EH39" s="29" t="str">
        <f t="shared" si="24"/>
        <v/>
      </c>
      <c r="EI39" s="29" t="str">
        <f t="shared" si="24"/>
        <v/>
      </c>
      <c r="EJ39" s="29" t="str">
        <f t="shared" si="24"/>
        <v/>
      </c>
      <c r="EK39" s="29" t="str">
        <f t="shared" si="24"/>
        <v/>
      </c>
      <c r="EL39" s="29" t="str">
        <f t="shared" si="24"/>
        <v/>
      </c>
      <c r="EM39" s="29" t="str">
        <f t="shared" si="24"/>
        <v/>
      </c>
      <c r="EN39" s="29" t="str">
        <f t="shared" si="24"/>
        <v/>
      </c>
      <c r="EO39" s="29" t="str">
        <f t="shared" si="24"/>
        <v/>
      </c>
      <c r="EP39" s="29" t="str">
        <f t="shared" si="24"/>
        <v/>
      </c>
      <c r="EQ39" s="29" t="str">
        <f t="shared" si="24"/>
        <v/>
      </c>
      <c r="ER39" s="29" t="str">
        <f t="shared" si="24"/>
        <v/>
      </c>
      <c r="ES39" s="29" t="str">
        <f t="shared" si="24"/>
        <v/>
      </c>
      <c r="ET39" s="29" t="str">
        <f t="shared" si="24"/>
        <v/>
      </c>
    </row>
    <row r="40" spans="1:150" x14ac:dyDescent="0.2">
      <c r="A40" s="103" t="str">
        <f>TEXT('M&amp;V Tasks'!A41,"#")</f>
        <v>6</v>
      </c>
      <c r="B40" s="104" t="str">
        <f>TEXT('M&amp;V Tasks'!B41,"#")</f>
        <v/>
      </c>
      <c r="C40" s="103">
        <f>'M&amp;V Tasks'!I41</f>
        <v>0</v>
      </c>
      <c r="D40" s="27"/>
      <c r="E40" s="27"/>
      <c r="F40" s="29" t="str">
        <f t="shared" ref="F40:U55" si="29">IF(AND(F$9&gt;=$D40,F$9&lt;=$E40),1,"")</f>
        <v/>
      </c>
      <c r="G40" s="29" t="str">
        <f t="shared" si="29"/>
        <v/>
      </c>
      <c r="H40" s="29" t="str">
        <f t="shared" si="29"/>
        <v/>
      </c>
      <c r="I40" s="29" t="str">
        <f t="shared" si="29"/>
        <v/>
      </c>
      <c r="J40" s="29" t="str">
        <f t="shared" si="29"/>
        <v/>
      </c>
      <c r="K40" s="29" t="str">
        <f t="shared" si="29"/>
        <v/>
      </c>
      <c r="L40" s="29" t="str">
        <f t="shared" si="29"/>
        <v/>
      </c>
      <c r="M40" s="29" t="str">
        <f t="shared" si="29"/>
        <v/>
      </c>
      <c r="N40" s="29" t="str">
        <f t="shared" si="29"/>
        <v/>
      </c>
      <c r="O40" s="29" t="str">
        <f t="shared" si="29"/>
        <v/>
      </c>
      <c r="P40" s="29" t="str">
        <f t="shared" si="29"/>
        <v/>
      </c>
      <c r="Q40" s="29" t="str">
        <f t="shared" si="29"/>
        <v/>
      </c>
      <c r="R40" s="29" t="str">
        <f t="shared" si="29"/>
        <v/>
      </c>
      <c r="S40" s="29" t="str">
        <f t="shared" si="29"/>
        <v/>
      </c>
      <c r="T40" s="29" t="str">
        <f t="shared" si="29"/>
        <v/>
      </c>
      <c r="U40" s="29" t="str">
        <f t="shared" si="29"/>
        <v/>
      </c>
      <c r="V40" s="29" t="str">
        <f t="shared" si="28"/>
        <v/>
      </c>
      <c r="W40" s="29" t="str">
        <f t="shared" si="28"/>
        <v/>
      </c>
      <c r="X40" s="29" t="str">
        <f t="shared" si="28"/>
        <v/>
      </c>
      <c r="Y40" s="29" t="str">
        <f t="shared" si="28"/>
        <v/>
      </c>
      <c r="Z40" s="29" t="str">
        <f t="shared" si="28"/>
        <v/>
      </c>
      <c r="AA40" s="29" t="str">
        <f t="shared" si="28"/>
        <v/>
      </c>
      <c r="AB40" s="29" t="str">
        <f t="shared" si="28"/>
        <v/>
      </c>
      <c r="AC40" s="29" t="str">
        <f t="shared" si="28"/>
        <v/>
      </c>
      <c r="AD40" s="29" t="str">
        <f t="shared" si="28"/>
        <v/>
      </c>
      <c r="AE40" s="29" t="str">
        <f t="shared" si="28"/>
        <v/>
      </c>
      <c r="AF40" s="29" t="str">
        <f t="shared" si="28"/>
        <v/>
      </c>
      <c r="AG40" s="29" t="str">
        <f t="shared" si="28"/>
        <v/>
      </c>
      <c r="AH40" s="29" t="str">
        <f t="shared" si="28"/>
        <v/>
      </c>
      <c r="AI40" s="29" t="str">
        <f t="shared" si="28"/>
        <v/>
      </c>
      <c r="AJ40" s="29" t="str">
        <f t="shared" si="28"/>
        <v/>
      </c>
      <c r="AK40" s="29" t="str">
        <f t="shared" si="28"/>
        <v/>
      </c>
      <c r="AL40" s="29" t="str">
        <f t="shared" si="28"/>
        <v/>
      </c>
      <c r="AM40" s="29" t="str">
        <f t="shared" si="28"/>
        <v/>
      </c>
      <c r="AN40" s="29" t="str">
        <f t="shared" si="28"/>
        <v/>
      </c>
      <c r="AO40" s="29" t="str">
        <f t="shared" si="28"/>
        <v/>
      </c>
      <c r="AP40" s="29" t="str">
        <f t="shared" si="28"/>
        <v/>
      </c>
      <c r="AQ40" s="29" t="str">
        <f t="shared" si="28"/>
        <v/>
      </c>
      <c r="AR40" s="29" t="str">
        <f t="shared" si="28"/>
        <v/>
      </c>
      <c r="AS40" s="29" t="str">
        <f t="shared" si="28"/>
        <v/>
      </c>
      <c r="AT40" s="29" t="str">
        <f t="shared" si="28"/>
        <v/>
      </c>
      <c r="AU40" s="29" t="str">
        <f t="shared" si="28"/>
        <v/>
      </c>
      <c r="AV40" s="29" t="str">
        <f t="shared" si="28"/>
        <v/>
      </c>
      <c r="AW40" s="29" t="str">
        <f t="shared" si="28"/>
        <v/>
      </c>
      <c r="AX40" s="29" t="str">
        <f t="shared" si="28"/>
        <v/>
      </c>
      <c r="AY40" s="29" t="str">
        <f t="shared" si="28"/>
        <v/>
      </c>
      <c r="AZ40" s="29" t="str">
        <f t="shared" si="28"/>
        <v/>
      </c>
      <c r="BA40" s="29" t="str">
        <f t="shared" si="28"/>
        <v/>
      </c>
      <c r="BB40" s="29" t="str">
        <f t="shared" si="28"/>
        <v/>
      </c>
      <c r="BC40" s="29" t="str">
        <f t="shared" si="28"/>
        <v/>
      </c>
      <c r="BD40" s="29" t="str">
        <f t="shared" si="28"/>
        <v/>
      </c>
      <c r="BE40" s="29" t="str">
        <f t="shared" si="28"/>
        <v/>
      </c>
      <c r="BF40" s="29" t="str">
        <f t="shared" si="28"/>
        <v/>
      </c>
      <c r="BG40" s="29" t="str">
        <f t="shared" si="28"/>
        <v/>
      </c>
      <c r="BH40" s="29" t="str">
        <f t="shared" si="28"/>
        <v/>
      </c>
      <c r="BI40" s="29" t="str">
        <f>IF(AND(BI$9&gt;=$D40,BI$9&lt;=$E40),1,"")</f>
        <v/>
      </c>
      <c r="BJ40" s="29" t="str">
        <f>IF(AND(BJ$9&gt;=$D40,BJ$9&lt;=$E40),1,"")</f>
        <v/>
      </c>
      <c r="BK40" s="29" t="str">
        <f>IF(AND(BK$9&gt;=$D40,BK$9&lt;=$E40),1,"")</f>
        <v/>
      </c>
      <c r="BL40" s="29" t="str">
        <f>IF(AND(BL$9&gt;=$D40,BL$9&lt;=$E40),1,"")</f>
        <v/>
      </c>
      <c r="BM40" s="29" t="str">
        <f t="shared" si="28"/>
        <v/>
      </c>
      <c r="BN40" s="29" t="str">
        <f t="shared" si="28"/>
        <v/>
      </c>
      <c r="BO40" s="29" t="str">
        <f t="shared" si="28"/>
        <v/>
      </c>
      <c r="BP40" s="29" t="str">
        <f t="shared" si="28"/>
        <v/>
      </c>
      <c r="BQ40" s="29" t="str">
        <f t="shared" si="28"/>
        <v/>
      </c>
      <c r="BR40" s="29" t="str">
        <f t="shared" si="28"/>
        <v/>
      </c>
      <c r="BS40" s="29" t="str">
        <f t="shared" si="28"/>
        <v/>
      </c>
      <c r="BT40" s="29" t="str">
        <f t="shared" si="28"/>
        <v/>
      </c>
      <c r="BU40" s="29" t="str">
        <f t="shared" si="28"/>
        <v/>
      </c>
      <c r="BV40" s="29" t="str">
        <f t="shared" si="28"/>
        <v/>
      </c>
      <c r="BW40" s="29" t="str">
        <f t="shared" si="28"/>
        <v/>
      </c>
      <c r="BX40" s="29" t="str">
        <f t="shared" si="25"/>
        <v/>
      </c>
      <c r="BY40" s="29" t="str">
        <f t="shared" si="25"/>
        <v/>
      </c>
      <c r="BZ40" s="29" t="str">
        <f t="shared" si="25"/>
        <v/>
      </c>
      <c r="CA40" s="29" t="str">
        <f t="shared" si="25"/>
        <v/>
      </c>
      <c r="CB40" s="29" t="str">
        <f t="shared" si="25"/>
        <v/>
      </c>
      <c r="CC40" s="29" t="str">
        <f t="shared" si="25"/>
        <v/>
      </c>
      <c r="CD40" s="29" t="str">
        <f t="shared" si="25"/>
        <v/>
      </c>
      <c r="CE40" s="29" t="str">
        <f t="shared" si="25"/>
        <v/>
      </c>
      <c r="CF40" s="29" t="str">
        <f t="shared" si="25"/>
        <v/>
      </c>
      <c r="CG40" s="29" t="str">
        <f t="shared" si="25"/>
        <v/>
      </c>
      <c r="CH40" s="29" t="str">
        <f>IF(AND(CH$9&gt;=$D40,CH$9&lt;=$E40),1,"")</f>
        <v/>
      </c>
      <c r="CI40" s="29" t="str">
        <f>IF(AND(CI$9&gt;=$D40,CI$9&lt;=$E40),1,"")</f>
        <v/>
      </c>
      <c r="CJ40" s="29" t="str">
        <f>IF(AND(CJ$9&gt;=$D40,CJ$9&lt;=$E40),1,"")</f>
        <v/>
      </c>
      <c r="CK40" s="29" t="str">
        <f>IF(AND(CK$9&gt;=$D40,CK$9&lt;=$E40),1,"")</f>
        <v/>
      </c>
      <c r="CL40" s="29" t="str">
        <f t="shared" si="25"/>
        <v/>
      </c>
      <c r="CM40" s="29" t="str">
        <f t="shared" si="25"/>
        <v/>
      </c>
      <c r="CN40" s="29" t="str">
        <f t="shared" si="25"/>
        <v/>
      </c>
      <c r="CO40" s="29" t="str">
        <f t="shared" si="25"/>
        <v/>
      </c>
      <c r="CP40" s="29" t="str">
        <f t="shared" si="25"/>
        <v/>
      </c>
      <c r="CQ40" s="29" t="str">
        <f t="shared" si="25"/>
        <v/>
      </c>
      <c r="CR40" s="29" t="str">
        <f t="shared" si="25"/>
        <v/>
      </c>
      <c r="CS40" s="29" t="str">
        <f t="shared" si="25"/>
        <v/>
      </c>
      <c r="CT40" s="29" t="str">
        <f t="shared" si="25"/>
        <v/>
      </c>
      <c r="CU40" s="29" t="str">
        <f t="shared" si="25"/>
        <v/>
      </c>
      <c r="CV40" s="29" t="str">
        <f t="shared" si="25"/>
        <v/>
      </c>
      <c r="CW40" s="29" t="str">
        <f t="shared" si="26"/>
        <v/>
      </c>
      <c r="CX40" s="29" t="str">
        <f t="shared" si="23"/>
        <v/>
      </c>
      <c r="CY40" s="29" t="str">
        <f t="shared" si="23"/>
        <v/>
      </c>
      <c r="CZ40" s="29" t="str">
        <f t="shared" si="23"/>
        <v/>
      </c>
      <c r="DA40" s="29" t="str">
        <f t="shared" si="23"/>
        <v/>
      </c>
      <c r="DB40" s="29" t="str">
        <f t="shared" si="23"/>
        <v/>
      </c>
      <c r="DC40" s="29" t="str">
        <f t="shared" si="23"/>
        <v/>
      </c>
      <c r="DD40" s="29" t="str">
        <f t="shared" si="23"/>
        <v/>
      </c>
      <c r="DE40" s="29" t="str">
        <f t="shared" si="23"/>
        <v/>
      </c>
      <c r="DF40" s="29" t="str">
        <f t="shared" si="23"/>
        <v/>
      </c>
      <c r="DG40" s="29" t="str">
        <f>IF(AND(DG$9&gt;=$D40,DG$9&lt;=$E40),1,"")</f>
        <v/>
      </c>
      <c r="DH40" s="29" t="str">
        <f>IF(AND(DH$9&gt;=$D40,DH$9&lt;=$E40),1,"")</f>
        <v/>
      </c>
      <c r="DI40" s="29" t="str">
        <f>IF(AND(DI$9&gt;=$D40,DI$9&lt;=$E40),1,"")</f>
        <v/>
      </c>
      <c r="DJ40" s="29" t="str">
        <f>IF(AND(DJ$9&gt;=$D40,DJ$9&lt;=$E40),1,"")</f>
        <v/>
      </c>
      <c r="DK40" s="29" t="str">
        <f t="shared" si="23"/>
        <v/>
      </c>
      <c r="DL40" s="29" t="str">
        <f t="shared" si="23"/>
        <v/>
      </c>
      <c r="DM40" s="29" t="str">
        <f t="shared" si="23"/>
        <v/>
      </c>
      <c r="DN40" s="29" t="str">
        <f t="shared" si="23"/>
        <v/>
      </c>
      <c r="DO40" s="29" t="str">
        <f t="shared" ref="DO40:EM53" si="30">IF(AND(DO$9&gt;=$D40,DO$9&lt;=$E40),1,"")</f>
        <v/>
      </c>
      <c r="DP40" s="29" t="str">
        <f t="shared" si="30"/>
        <v/>
      </c>
      <c r="DQ40" s="29" t="str">
        <f t="shared" si="30"/>
        <v/>
      </c>
      <c r="DR40" s="29" t="str">
        <f t="shared" si="30"/>
        <v/>
      </c>
      <c r="DS40" s="29" t="str">
        <f t="shared" si="30"/>
        <v/>
      </c>
      <c r="DT40" s="29" t="str">
        <f t="shared" si="30"/>
        <v/>
      </c>
      <c r="DU40" s="29" t="str">
        <f t="shared" si="30"/>
        <v/>
      </c>
      <c r="DV40" s="29" t="str">
        <f t="shared" si="30"/>
        <v/>
      </c>
      <c r="DW40" s="29" t="str">
        <f t="shared" si="30"/>
        <v/>
      </c>
      <c r="DX40" s="29" t="str">
        <f t="shared" si="30"/>
        <v/>
      </c>
      <c r="DY40" s="29" t="str">
        <f t="shared" si="30"/>
        <v/>
      </c>
      <c r="DZ40" s="29" t="str">
        <f t="shared" si="30"/>
        <v/>
      </c>
      <c r="EA40" s="29" t="str">
        <f t="shared" si="30"/>
        <v/>
      </c>
      <c r="EB40" s="29" t="str">
        <f t="shared" si="30"/>
        <v/>
      </c>
      <c r="EC40" s="29" t="str">
        <f t="shared" si="30"/>
        <v/>
      </c>
      <c r="ED40" s="29" t="str">
        <f t="shared" si="30"/>
        <v/>
      </c>
      <c r="EE40" s="29" t="str">
        <f t="shared" si="30"/>
        <v/>
      </c>
      <c r="EF40" s="29" t="str">
        <f>IF(AND(EF$9&gt;=$D40,EF$9&lt;=$E40),1,"")</f>
        <v/>
      </c>
      <c r="EG40" s="29" t="str">
        <f>IF(AND(EG$9&gt;=$D40,EG$9&lt;=$E40),1,"")</f>
        <v/>
      </c>
      <c r="EH40" s="29" t="str">
        <f>IF(AND(EH$9&gt;=$D40,EH$9&lt;=$E40),1,"")</f>
        <v/>
      </c>
      <c r="EI40" s="29" t="str">
        <f>IF(AND(EI$9&gt;=$D40,EI$9&lt;=$E40),1,"")</f>
        <v/>
      </c>
      <c r="EJ40" s="29" t="str">
        <f t="shared" si="30"/>
        <v/>
      </c>
      <c r="EK40" s="29" t="str">
        <f t="shared" si="30"/>
        <v/>
      </c>
      <c r="EL40" s="29" t="str">
        <f t="shared" si="30"/>
        <v/>
      </c>
      <c r="EM40" s="29" t="str">
        <f t="shared" si="30"/>
        <v/>
      </c>
      <c r="EN40" s="29" t="str">
        <f t="shared" si="24"/>
        <v/>
      </c>
      <c r="EO40" s="29" t="str">
        <f t="shared" si="24"/>
        <v/>
      </c>
      <c r="EP40" s="29" t="str">
        <f t="shared" si="24"/>
        <v/>
      </c>
      <c r="EQ40" s="29" t="str">
        <f t="shared" si="24"/>
        <v/>
      </c>
      <c r="ER40" s="29" t="str">
        <f t="shared" si="24"/>
        <v/>
      </c>
      <c r="ES40" s="29" t="str">
        <f t="shared" si="24"/>
        <v/>
      </c>
      <c r="ET40" s="29" t="str">
        <f t="shared" si="24"/>
        <v/>
      </c>
    </row>
    <row r="41" spans="1:150" x14ac:dyDescent="0.2">
      <c r="A41" s="103" t="str">
        <f>TEXT('M&amp;V Tasks'!A42,"#")</f>
        <v>7</v>
      </c>
      <c r="B41" s="104" t="str">
        <f>TEXT('M&amp;V Tasks'!B42,"#")</f>
        <v/>
      </c>
      <c r="C41" s="103">
        <f>'M&amp;V Tasks'!I42</f>
        <v>0</v>
      </c>
      <c r="D41" s="27"/>
      <c r="E41" s="27"/>
      <c r="F41" s="29" t="str">
        <f t="shared" si="29"/>
        <v/>
      </c>
      <c r="G41" s="29" t="str">
        <f t="shared" si="29"/>
        <v/>
      </c>
      <c r="H41" s="29" t="str">
        <f t="shared" si="29"/>
        <v/>
      </c>
      <c r="I41" s="29" t="str">
        <f t="shared" si="29"/>
        <v/>
      </c>
      <c r="J41" s="29" t="str">
        <f t="shared" si="29"/>
        <v/>
      </c>
      <c r="K41" s="29" t="str">
        <f t="shared" si="29"/>
        <v/>
      </c>
      <c r="L41" s="29" t="str">
        <f t="shared" si="29"/>
        <v/>
      </c>
      <c r="M41" s="29" t="str">
        <f t="shared" si="29"/>
        <v/>
      </c>
      <c r="N41" s="29" t="str">
        <f t="shared" si="29"/>
        <v/>
      </c>
      <c r="O41" s="29" t="str">
        <f t="shared" si="29"/>
        <v/>
      </c>
      <c r="P41" s="29" t="str">
        <f t="shared" si="29"/>
        <v/>
      </c>
      <c r="Q41" s="29" t="str">
        <f t="shared" si="29"/>
        <v/>
      </c>
      <c r="R41" s="29" t="str">
        <f t="shared" si="29"/>
        <v/>
      </c>
      <c r="S41" s="29" t="str">
        <f t="shared" si="29"/>
        <v/>
      </c>
      <c r="T41" s="29" t="str">
        <f t="shared" si="29"/>
        <v/>
      </c>
      <c r="U41" s="29" t="str">
        <f t="shared" si="29"/>
        <v/>
      </c>
      <c r="V41" s="29" t="str">
        <f t="shared" si="28"/>
        <v/>
      </c>
      <c r="W41" s="29" t="str">
        <f t="shared" si="28"/>
        <v/>
      </c>
      <c r="X41" s="29" t="str">
        <f t="shared" si="28"/>
        <v/>
      </c>
      <c r="Y41" s="29" t="str">
        <f t="shared" si="28"/>
        <v/>
      </c>
      <c r="Z41" s="29" t="str">
        <f t="shared" si="28"/>
        <v/>
      </c>
      <c r="AA41" s="29" t="str">
        <f t="shared" si="28"/>
        <v/>
      </c>
      <c r="AB41" s="29" t="str">
        <f t="shared" si="28"/>
        <v/>
      </c>
      <c r="AC41" s="29" t="str">
        <f t="shared" si="28"/>
        <v/>
      </c>
      <c r="AD41" s="29" t="str">
        <f t="shared" si="28"/>
        <v/>
      </c>
      <c r="AE41" s="29" t="str">
        <f t="shared" si="28"/>
        <v/>
      </c>
      <c r="AF41" s="29" t="str">
        <f t="shared" si="28"/>
        <v/>
      </c>
      <c r="AG41" s="29" t="str">
        <f t="shared" si="28"/>
        <v/>
      </c>
      <c r="AH41" s="29" t="str">
        <f t="shared" si="28"/>
        <v/>
      </c>
      <c r="AI41" s="29" t="str">
        <f t="shared" si="28"/>
        <v/>
      </c>
      <c r="AJ41" s="29" t="str">
        <f t="shared" si="28"/>
        <v/>
      </c>
      <c r="AK41" s="29" t="str">
        <f t="shared" si="28"/>
        <v/>
      </c>
      <c r="AL41" s="29" t="str">
        <f t="shared" si="28"/>
        <v/>
      </c>
      <c r="AM41" s="29" t="str">
        <f t="shared" si="28"/>
        <v/>
      </c>
      <c r="AN41" s="29" t="str">
        <f t="shared" si="28"/>
        <v/>
      </c>
      <c r="AO41" s="29" t="str">
        <f t="shared" si="28"/>
        <v/>
      </c>
      <c r="AP41" s="29" t="str">
        <f t="shared" si="28"/>
        <v/>
      </c>
      <c r="AQ41" s="29" t="str">
        <f t="shared" si="28"/>
        <v/>
      </c>
      <c r="AR41" s="29" t="str">
        <f t="shared" si="28"/>
        <v/>
      </c>
      <c r="AS41" s="29" t="str">
        <f t="shared" si="28"/>
        <v/>
      </c>
      <c r="AT41" s="29" t="str">
        <f t="shared" si="28"/>
        <v/>
      </c>
      <c r="AU41" s="29" t="str">
        <f t="shared" si="28"/>
        <v/>
      </c>
      <c r="AV41" s="29" t="str">
        <f t="shared" si="28"/>
        <v/>
      </c>
      <c r="AW41" s="29" t="str">
        <f t="shared" si="28"/>
        <v/>
      </c>
      <c r="AX41" s="29" t="str">
        <f t="shared" si="28"/>
        <v/>
      </c>
      <c r="AY41" s="29" t="str">
        <f t="shared" si="28"/>
        <v/>
      </c>
      <c r="AZ41" s="29" t="str">
        <f t="shared" si="28"/>
        <v/>
      </c>
      <c r="BA41" s="29" t="str">
        <f t="shared" si="28"/>
        <v/>
      </c>
      <c r="BB41" s="29" t="str">
        <f t="shared" si="28"/>
        <v/>
      </c>
      <c r="BC41" s="29" t="str">
        <f t="shared" si="28"/>
        <v/>
      </c>
      <c r="BD41" s="29" t="str">
        <f t="shared" si="28"/>
        <v/>
      </c>
      <c r="BE41" s="29" t="str">
        <f t="shared" si="28"/>
        <v/>
      </c>
      <c r="BF41" s="29" t="str">
        <f t="shared" si="28"/>
        <v/>
      </c>
      <c r="BG41" s="29" t="str">
        <f t="shared" si="28"/>
        <v/>
      </c>
      <c r="BH41" s="29" t="str">
        <f t="shared" si="28"/>
        <v/>
      </c>
      <c r="BI41" s="29" t="str">
        <f t="shared" si="28"/>
        <v/>
      </c>
      <c r="BJ41" s="29" t="str">
        <f t="shared" si="28"/>
        <v/>
      </c>
      <c r="BK41" s="29" t="str">
        <f t="shared" si="28"/>
        <v/>
      </c>
      <c r="BL41" s="29" t="str">
        <f t="shared" si="28"/>
        <v/>
      </c>
      <c r="BM41" s="29" t="str">
        <f t="shared" si="28"/>
        <v/>
      </c>
      <c r="BN41" s="29" t="str">
        <f t="shared" si="28"/>
        <v/>
      </c>
      <c r="BO41" s="29" t="str">
        <f t="shared" si="28"/>
        <v/>
      </c>
      <c r="BP41" s="29" t="str">
        <f t="shared" si="28"/>
        <v/>
      </c>
      <c r="BQ41" s="29" t="str">
        <f t="shared" si="28"/>
        <v/>
      </c>
      <c r="BR41" s="29" t="str">
        <f t="shared" si="28"/>
        <v/>
      </c>
      <c r="BS41" s="29" t="str">
        <f t="shared" si="28"/>
        <v/>
      </c>
      <c r="BT41" s="29" t="str">
        <f t="shared" si="28"/>
        <v/>
      </c>
      <c r="BU41" s="29" t="str">
        <f t="shared" si="28"/>
        <v/>
      </c>
      <c r="BV41" s="29" t="str">
        <f t="shared" si="28"/>
        <v/>
      </c>
      <c r="BW41" s="29" t="str">
        <f t="shared" si="28"/>
        <v/>
      </c>
      <c r="BX41" s="29" t="str">
        <f t="shared" si="25"/>
        <v/>
      </c>
      <c r="BY41" s="29" t="str">
        <f t="shared" si="25"/>
        <v/>
      </c>
      <c r="BZ41" s="29" t="str">
        <f t="shared" si="25"/>
        <v/>
      </c>
      <c r="CA41" s="29" t="str">
        <f t="shared" si="25"/>
        <v/>
      </c>
      <c r="CB41" s="29" t="str">
        <f t="shared" si="25"/>
        <v/>
      </c>
      <c r="CC41" s="29" t="str">
        <f t="shared" si="25"/>
        <v/>
      </c>
      <c r="CD41" s="29" t="str">
        <f t="shared" si="25"/>
        <v/>
      </c>
      <c r="CE41" s="29" t="str">
        <f t="shared" si="25"/>
        <v/>
      </c>
      <c r="CF41" s="29" t="str">
        <f t="shared" si="25"/>
        <v/>
      </c>
      <c r="CG41" s="29" t="str">
        <f t="shared" si="25"/>
        <v/>
      </c>
      <c r="CH41" s="29" t="str">
        <f t="shared" si="25"/>
        <v/>
      </c>
      <c r="CI41" s="29" t="str">
        <f t="shared" si="25"/>
        <v/>
      </c>
      <c r="CJ41" s="29" t="str">
        <f t="shared" si="25"/>
        <v/>
      </c>
      <c r="CK41" s="29" t="str">
        <f t="shared" si="25"/>
        <v/>
      </c>
      <c r="CL41" s="29" t="str">
        <f t="shared" si="25"/>
        <v/>
      </c>
      <c r="CM41" s="29" t="str">
        <f t="shared" ref="CM41:CV41" si="31">IF(AND(CM$9&gt;=$D41,CM$9&lt;=$E41),1,"")</f>
        <v/>
      </c>
      <c r="CN41" s="29" t="str">
        <f t="shared" si="31"/>
        <v/>
      </c>
      <c r="CO41" s="29" t="str">
        <f t="shared" si="31"/>
        <v/>
      </c>
      <c r="CP41" s="29" t="str">
        <f t="shared" si="31"/>
        <v/>
      </c>
      <c r="CQ41" s="29" t="str">
        <f t="shared" si="31"/>
        <v/>
      </c>
      <c r="CR41" s="29" t="str">
        <f t="shared" si="31"/>
        <v/>
      </c>
      <c r="CS41" s="29" t="str">
        <f t="shared" si="31"/>
        <v/>
      </c>
      <c r="CT41" s="29" t="str">
        <f t="shared" si="31"/>
        <v/>
      </c>
      <c r="CU41" s="29" t="str">
        <f t="shared" si="31"/>
        <v/>
      </c>
      <c r="CV41" s="29" t="str">
        <f t="shared" si="31"/>
        <v/>
      </c>
      <c r="CW41" s="29" t="str">
        <f t="shared" si="26"/>
        <v/>
      </c>
      <c r="CX41" s="29" t="str">
        <f t="shared" ref="CX41:DU51" si="32">IF(AND(CX$9&gt;=$D41,CX$9&lt;=$E41),1,"")</f>
        <v/>
      </c>
      <c r="CY41" s="29" t="str">
        <f t="shared" si="32"/>
        <v/>
      </c>
      <c r="CZ41" s="29" t="str">
        <f t="shared" si="32"/>
        <v/>
      </c>
      <c r="DA41" s="29" t="str">
        <f t="shared" si="32"/>
        <v/>
      </c>
      <c r="DB41" s="29" t="str">
        <f t="shared" si="32"/>
        <v/>
      </c>
      <c r="DC41" s="29" t="str">
        <f t="shared" si="32"/>
        <v/>
      </c>
      <c r="DD41" s="29" t="str">
        <f t="shared" si="32"/>
        <v/>
      </c>
      <c r="DE41" s="29" t="str">
        <f t="shared" si="32"/>
        <v/>
      </c>
      <c r="DF41" s="29" t="str">
        <f t="shared" si="32"/>
        <v/>
      </c>
      <c r="DG41" s="29" t="str">
        <f t="shared" si="32"/>
        <v/>
      </c>
      <c r="DH41" s="29" t="str">
        <f t="shared" si="32"/>
        <v/>
      </c>
      <c r="DI41" s="29" t="str">
        <f t="shared" si="32"/>
        <v/>
      </c>
      <c r="DJ41" s="29" t="str">
        <f t="shared" si="32"/>
        <v/>
      </c>
      <c r="DK41" s="29" t="str">
        <f t="shared" si="32"/>
        <v/>
      </c>
      <c r="DL41" s="29" t="str">
        <f t="shared" si="32"/>
        <v/>
      </c>
      <c r="DM41" s="29" t="str">
        <f t="shared" si="32"/>
        <v/>
      </c>
      <c r="DN41" s="29" t="str">
        <f t="shared" si="32"/>
        <v/>
      </c>
      <c r="DO41" s="29" t="str">
        <f t="shared" si="32"/>
        <v/>
      </c>
      <c r="DP41" s="29" t="str">
        <f t="shared" si="32"/>
        <v/>
      </c>
      <c r="DQ41" s="29" t="str">
        <f t="shared" si="32"/>
        <v/>
      </c>
      <c r="DR41" s="29" t="str">
        <f t="shared" si="32"/>
        <v/>
      </c>
      <c r="DS41" s="29" t="str">
        <f t="shared" si="32"/>
        <v/>
      </c>
      <c r="DT41" s="29" t="str">
        <f t="shared" si="32"/>
        <v/>
      </c>
      <c r="DU41" s="29" t="str">
        <f t="shared" si="32"/>
        <v/>
      </c>
      <c r="DV41" s="29" t="str">
        <f t="shared" si="30"/>
        <v/>
      </c>
      <c r="DW41" s="29" t="str">
        <f t="shared" si="30"/>
        <v/>
      </c>
      <c r="DX41" s="29" t="str">
        <f t="shared" si="30"/>
        <v/>
      </c>
      <c r="DY41" s="29" t="str">
        <f t="shared" si="30"/>
        <v/>
      </c>
      <c r="DZ41" s="29" t="str">
        <f t="shared" si="30"/>
        <v/>
      </c>
      <c r="EA41" s="29" t="str">
        <f t="shared" si="30"/>
        <v/>
      </c>
      <c r="EB41" s="29" t="str">
        <f t="shared" si="30"/>
        <v/>
      </c>
      <c r="EC41" s="29" t="str">
        <f t="shared" si="30"/>
        <v/>
      </c>
      <c r="ED41" s="29" t="str">
        <f t="shared" si="30"/>
        <v/>
      </c>
      <c r="EE41" s="29" t="str">
        <f t="shared" si="30"/>
        <v/>
      </c>
      <c r="EF41" s="29" t="str">
        <f t="shared" si="30"/>
        <v/>
      </c>
      <c r="EG41" s="29" t="str">
        <f t="shared" si="30"/>
        <v/>
      </c>
      <c r="EH41" s="29" t="str">
        <f t="shared" si="30"/>
        <v/>
      </c>
      <c r="EI41" s="29" t="str">
        <f t="shared" si="30"/>
        <v/>
      </c>
      <c r="EJ41" s="29" t="str">
        <f t="shared" si="30"/>
        <v/>
      </c>
      <c r="EK41" s="29" t="str">
        <f t="shared" si="30"/>
        <v/>
      </c>
      <c r="EL41" s="29" t="str">
        <f t="shared" si="30"/>
        <v/>
      </c>
      <c r="EM41" s="29" t="str">
        <f t="shared" si="30"/>
        <v/>
      </c>
      <c r="EN41" s="29" t="str">
        <f t="shared" si="24"/>
        <v/>
      </c>
      <c r="EO41" s="29" t="str">
        <f t="shared" si="24"/>
        <v/>
      </c>
      <c r="EP41" s="29" t="str">
        <f t="shared" si="24"/>
        <v/>
      </c>
      <c r="EQ41" s="29" t="str">
        <f t="shared" si="24"/>
        <v/>
      </c>
      <c r="ER41" s="29" t="str">
        <f t="shared" si="24"/>
        <v/>
      </c>
      <c r="ES41" s="29" t="str">
        <f t="shared" si="24"/>
        <v/>
      </c>
      <c r="ET41" s="29" t="str">
        <f t="shared" si="24"/>
        <v/>
      </c>
    </row>
    <row r="42" spans="1:150" x14ac:dyDescent="0.2">
      <c r="A42" s="103" t="str">
        <f>TEXT('M&amp;V Tasks'!A43,"#")</f>
        <v>8</v>
      </c>
      <c r="B42" s="104" t="str">
        <f>TEXT('M&amp;V Tasks'!B43,"#")</f>
        <v/>
      </c>
      <c r="C42" s="103">
        <f>'M&amp;V Tasks'!I43</f>
        <v>0</v>
      </c>
      <c r="D42" s="27"/>
      <c r="E42" s="27"/>
      <c r="F42" s="29" t="str">
        <f t="shared" si="29"/>
        <v/>
      </c>
      <c r="G42" s="29" t="str">
        <f t="shared" si="29"/>
        <v/>
      </c>
      <c r="H42" s="29" t="str">
        <f t="shared" si="29"/>
        <v/>
      </c>
      <c r="I42" s="29" t="str">
        <f t="shared" si="29"/>
        <v/>
      </c>
      <c r="J42" s="29" t="str">
        <f t="shared" si="29"/>
        <v/>
      </c>
      <c r="K42" s="29" t="str">
        <f t="shared" si="29"/>
        <v/>
      </c>
      <c r="L42" s="29" t="str">
        <f t="shared" si="29"/>
        <v/>
      </c>
      <c r="M42" s="29" t="str">
        <f t="shared" si="29"/>
        <v/>
      </c>
      <c r="N42" s="29" t="str">
        <f t="shared" si="29"/>
        <v/>
      </c>
      <c r="O42" s="29" t="str">
        <f t="shared" si="29"/>
        <v/>
      </c>
      <c r="P42" s="29" t="str">
        <f t="shared" si="29"/>
        <v/>
      </c>
      <c r="Q42" s="29" t="str">
        <f t="shared" si="29"/>
        <v/>
      </c>
      <c r="R42" s="29" t="str">
        <f t="shared" si="29"/>
        <v/>
      </c>
      <c r="S42" s="29" t="str">
        <f t="shared" si="29"/>
        <v/>
      </c>
      <c r="T42" s="29" t="str">
        <f t="shared" si="29"/>
        <v/>
      </c>
      <c r="U42" s="29" t="str">
        <f t="shared" si="29"/>
        <v/>
      </c>
      <c r="V42" s="29" t="str">
        <f t="shared" si="28"/>
        <v/>
      </c>
      <c r="W42" s="29" t="str">
        <f t="shared" si="28"/>
        <v/>
      </c>
      <c r="X42" s="29" t="str">
        <f t="shared" si="28"/>
        <v/>
      </c>
      <c r="Y42" s="29" t="str">
        <f t="shared" si="28"/>
        <v/>
      </c>
      <c r="Z42" s="29" t="str">
        <f t="shared" si="28"/>
        <v/>
      </c>
      <c r="AA42" s="29" t="str">
        <f t="shared" si="28"/>
        <v/>
      </c>
      <c r="AB42" s="29" t="str">
        <f t="shared" si="28"/>
        <v/>
      </c>
      <c r="AC42" s="29" t="str">
        <f t="shared" si="28"/>
        <v/>
      </c>
      <c r="AD42" s="29" t="str">
        <f t="shared" si="28"/>
        <v/>
      </c>
      <c r="AE42" s="29" t="str">
        <f t="shared" si="28"/>
        <v/>
      </c>
      <c r="AF42" s="29" t="str">
        <f t="shared" si="28"/>
        <v/>
      </c>
      <c r="AG42" s="29" t="str">
        <f t="shared" si="28"/>
        <v/>
      </c>
      <c r="AH42" s="29" t="str">
        <f t="shared" si="28"/>
        <v/>
      </c>
      <c r="AI42" s="29" t="str">
        <f t="shared" si="28"/>
        <v/>
      </c>
      <c r="AJ42" s="29" t="str">
        <f t="shared" si="28"/>
        <v/>
      </c>
      <c r="AK42" s="29" t="str">
        <f t="shared" si="28"/>
        <v/>
      </c>
      <c r="AL42" s="29" t="str">
        <f t="shared" si="28"/>
        <v/>
      </c>
      <c r="AM42" s="29" t="str">
        <f t="shared" si="28"/>
        <v/>
      </c>
      <c r="AN42" s="29" t="str">
        <f t="shared" si="28"/>
        <v/>
      </c>
      <c r="AO42" s="29" t="str">
        <f t="shared" si="28"/>
        <v/>
      </c>
      <c r="AP42" s="29" t="str">
        <f t="shared" si="28"/>
        <v/>
      </c>
      <c r="AQ42" s="29" t="str">
        <f t="shared" si="28"/>
        <v/>
      </c>
      <c r="AR42" s="29" t="str">
        <f t="shared" si="28"/>
        <v/>
      </c>
      <c r="AS42" s="29" t="str">
        <f t="shared" si="28"/>
        <v/>
      </c>
      <c r="AT42" s="29" t="str">
        <f t="shared" si="28"/>
        <v/>
      </c>
      <c r="AU42" s="29" t="str">
        <f t="shared" si="28"/>
        <v/>
      </c>
      <c r="AV42" s="29" t="str">
        <f t="shared" si="28"/>
        <v/>
      </c>
      <c r="AW42" s="29" t="str">
        <f t="shared" si="28"/>
        <v/>
      </c>
      <c r="AX42" s="29" t="str">
        <f t="shared" si="28"/>
        <v/>
      </c>
      <c r="AY42" s="29" t="str">
        <f t="shared" si="28"/>
        <v/>
      </c>
      <c r="AZ42" s="29" t="str">
        <f t="shared" si="28"/>
        <v/>
      </c>
      <c r="BA42" s="29" t="str">
        <f t="shared" si="28"/>
        <v/>
      </c>
      <c r="BB42" s="29" t="str">
        <f t="shared" si="28"/>
        <v/>
      </c>
      <c r="BC42" s="29" t="str">
        <f t="shared" si="28"/>
        <v/>
      </c>
      <c r="BD42" s="29" t="str">
        <f t="shared" si="28"/>
        <v/>
      </c>
      <c r="BE42" s="29" t="str">
        <f t="shared" si="28"/>
        <v/>
      </c>
      <c r="BF42" s="29" t="str">
        <f t="shared" si="28"/>
        <v/>
      </c>
      <c r="BG42" s="29" t="str">
        <f t="shared" si="28"/>
        <v/>
      </c>
      <c r="BH42" s="29" t="str">
        <f t="shared" si="28"/>
        <v/>
      </c>
      <c r="BI42" s="29" t="str">
        <f t="shared" si="28"/>
        <v/>
      </c>
      <c r="BJ42" s="29" t="str">
        <f t="shared" si="28"/>
        <v/>
      </c>
      <c r="BK42" s="29" t="str">
        <f t="shared" si="28"/>
        <v/>
      </c>
      <c r="BL42" s="29" t="str">
        <f t="shared" si="28"/>
        <v/>
      </c>
      <c r="BM42" s="29" t="str">
        <f t="shared" ref="BM42:CV49" si="33">IF(AND(BM$9&gt;=$D42,BM$9&lt;=$E42),1,"")</f>
        <v/>
      </c>
      <c r="BN42" s="29" t="str">
        <f t="shared" si="33"/>
        <v/>
      </c>
      <c r="BO42" s="29" t="str">
        <f t="shared" si="33"/>
        <v/>
      </c>
      <c r="BP42" s="29" t="str">
        <f t="shared" si="33"/>
        <v/>
      </c>
      <c r="BQ42" s="29" t="str">
        <f t="shared" si="33"/>
        <v/>
      </c>
      <c r="BR42" s="29" t="str">
        <f t="shared" si="33"/>
        <v/>
      </c>
      <c r="BS42" s="29" t="str">
        <f t="shared" si="33"/>
        <v/>
      </c>
      <c r="BT42" s="29" t="str">
        <f t="shared" si="33"/>
        <v/>
      </c>
      <c r="BU42" s="29" t="str">
        <f t="shared" si="33"/>
        <v/>
      </c>
      <c r="BV42" s="29" t="str">
        <f t="shared" si="33"/>
        <v/>
      </c>
      <c r="BW42" s="29" t="str">
        <f t="shared" si="33"/>
        <v/>
      </c>
      <c r="BX42" s="29" t="str">
        <f t="shared" si="33"/>
        <v/>
      </c>
      <c r="BY42" s="29" t="str">
        <f t="shared" si="33"/>
        <v/>
      </c>
      <c r="BZ42" s="29" t="str">
        <f t="shared" si="33"/>
        <v/>
      </c>
      <c r="CA42" s="29" t="str">
        <f t="shared" si="33"/>
        <v/>
      </c>
      <c r="CB42" s="29" t="str">
        <f t="shared" si="33"/>
        <v/>
      </c>
      <c r="CC42" s="29" t="str">
        <f t="shared" si="33"/>
        <v/>
      </c>
      <c r="CD42" s="29" t="str">
        <f t="shared" si="33"/>
        <v/>
      </c>
      <c r="CE42" s="29" t="str">
        <f t="shared" si="33"/>
        <v/>
      </c>
      <c r="CF42" s="29" t="str">
        <f t="shared" si="33"/>
        <v/>
      </c>
      <c r="CG42" s="29" t="str">
        <f t="shared" si="33"/>
        <v/>
      </c>
      <c r="CH42" s="29" t="str">
        <f t="shared" si="33"/>
        <v/>
      </c>
      <c r="CI42" s="29" t="str">
        <f t="shared" si="33"/>
        <v/>
      </c>
      <c r="CJ42" s="29" t="str">
        <f t="shared" si="33"/>
        <v/>
      </c>
      <c r="CK42" s="29" t="str">
        <f t="shared" si="33"/>
        <v/>
      </c>
      <c r="CL42" s="29" t="str">
        <f t="shared" si="33"/>
        <v/>
      </c>
      <c r="CM42" s="29" t="str">
        <f t="shared" si="33"/>
        <v/>
      </c>
      <c r="CN42" s="29" t="str">
        <f t="shared" si="33"/>
        <v/>
      </c>
      <c r="CO42" s="29" t="str">
        <f t="shared" si="33"/>
        <v/>
      </c>
      <c r="CP42" s="29" t="str">
        <f t="shared" si="33"/>
        <v/>
      </c>
      <c r="CQ42" s="29" t="str">
        <f t="shared" si="33"/>
        <v/>
      </c>
      <c r="CR42" s="29" t="str">
        <f t="shared" si="33"/>
        <v/>
      </c>
      <c r="CS42" s="29" t="str">
        <f t="shared" si="33"/>
        <v/>
      </c>
      <c r="CT42" s="29" t="str">
        <f t="shared" si="33"/>
        <v/>
      </c>
      <c r="CU42" s="29" t="str">
        <f t="shared" si="33"/>
        <v/>
      </c>
      <c r="CV42" s="29" t="str">
        <f t="shared" si="33"/>
        <v/>
      </c>
      <c r="CW42" s="29" t="str">
        <f t="shared" si="26"/>
        <v/>
      </c>
      <c r="CX42" s="29" t="str">
        <f t="shared" si="32"/>
        <v/>
      </c>
      <c r="CY42" s="29" t="str">
        <f t="shared" si="32"/>
        <v/>
      </c>
      <c r="CZ42" s="29" t="str">
        <f t="shared" si="32"/>
        <v/>
      </c>
      <c r="DA42" s="29" t="str">
        <f t="shared" si="32"/>
        <v/>
      </c>
      <c r="DB42" s="29" t="str">
        <f t="shared" si="32"/>
        <v/>
      </c>
      <c r="DC42" s="29" t="str">
        <f t="shared" si="32"/>
        <v/>
      </c>
      <c r="DD42" s="29" t="str">
        <f t="shared" si="32"/>
        <v/>
      </c>
      <c r="DE42" s="29" t="str">
        <f t="shared" si="32"/>
        <v/>
      </c>
      <c r="DF42" s="29" t="str">
        <f t="shared" si="32"/>
        <v/>
      </c>
      <c r="DG42" s="29" t="str">
        <f t="shared" si="32"/>
        <v/>
      </c>
      <c r="DH42" s="29" t="str">
        <f t="shared" si="32"/>
        <v/>
      </c>
      <c r="DI42" s="29" t="str">
        <f t="shared" si="32"/>
        <v/>
      </c>
      <c r="DJ42" s="29" t="str">
        <f t="shared" si="32"/>
        <v/>
      </c>
      <c r="DK42" s="29" t="str">
        <f t="shared" si="32"/>
        <v/>
      </c>
      <c r="DL42" s="29" t="str">
        <f t="shared" si="32"/>
        <v/>
      </c>
      <c r="DM42" s="29" t="str">
        <f t="shared" si="32"/>
        <v/>
      </c>
      <c r="DN42" s="29" t="str">
        <f t="shared" si="32"/>
        <v/>
      </c>
      <c r="DO42" s="29" t="str">
        <f t="shared" si="32"/>
        <v/>
      </c>
      <c r="DP42" s="29" t="str">
        <f t="shared" si="32"/>
        <v/>
      </c>
      <c r="DQ42" s="29" t="str">
        <f t="shared" si="32"/>
        <v/>
      </c>
      <c r="DR42" s="29" t="str">
        <f t="shared" si="32"/>
        <v/>
      </c>
      <c r="DS42" s="29" t="str">
        <f t="shared" si="32"/>
        <v/>
      </c>
      <c r="DT42" s="29" t="str">
        <f t="shared" si="32"/>
        <v/>
      </c>
      <c r="DU42" s="29" t="str">
        <f t="shared" si="32"/>
        <v/>
      </c>
      <c r="DV42" s="29" t="str">
        <f t="shared" si="30"/>
        <v/>
      </c>
      <c r="DW42" s="29" t="str">
        <f t="shared" si="30"/>
        <v/>
      </c>
      <c r="DX42" s="29" t="str">
        <f t="shared" si="30"/>
        <v/>
      </c>
      <c r="DY42" s="29" t="str">
        <f t="shared" si="30"/>
        <v/>
      </c>
      <c r="DZ42" s="29" t="str">
        <f t="shared" si="30"/>
        <v/>
      </c>
      <c r="EA42" s="29" t="str">
        <f t="shared" si="30"/>
        <v/>
      </c>
      <c r="EB42" s="29" t="str">
        <f t="shared" si="30"/>
        <v/>
      </c>
      <c r="EC42" s="29" t="str">
        <f t="shared" si="30"/>
        <v/>
      </c>
      <c r="ED42" s="29" t="str">
        <f t="shared" si="30"/>
        <v/>
      </c>
      <c r="EE42" s="29" t="str">
        <f t="shared" si="30"/>
        <v/>
      </c>
      <c r="EF42" s="29" t="str">
        <f t="shared" si="30"/>
        <v/>
      </c>
      <c r="EG42" s="29" t="str">
        <f t="shared" si="30"/>
        <v/>
      </c>
      <c r="EH42" s="29" t="str">
        <f t="shared" si="30"/>
        <v/>
      </c>
      <c r="EI42" s="29" t="str">
        <f t="shared" si="30"/>
        <v/>
      </c>
      <c r="EJ42" s="29" t="str">
        <f t="shared" si="30"/>
        <v/>
      </c>
      <c r="EK42" s="29" t="str">
        <f t="shared" si="30"/>
        <v/>
      </c>
      <c r="EL42" s="29" t="str">
        <f t="shared" si="30"/>
        <v/>
      </c>
      <c r="EM42" s="29" t="str">
        <f t="shared" si="30"/>
        <v/>
      </c>
      <c r="EN42" s="29" t="str">
        <f t="shared" si="24"/>
        <v/>
      </c>
      <c r="EO42" s="29" t="str">
        <f t="shared" si="24"/>
        <v/>
      </c>
      <c r="EP42" s="29" t="str">
        <f t="shared" si="24"/>
        <v/>
      </c>
      <c r="EQ42" s="29" t="str">
        <f t="shared" si="24"/>
        <v/>
      </c>
      <c r="ER42" s="29" t="str">
        <f t="shared" si="24"/>
        <v/>
      </c>
      <c r="ES42" s="29" t="str">
        <f t="shared" si="24"/>
        <v/>
      </c>
      <c r="ET42" s="29" t="str">
        <f t="shared" si="24"/>
        <v/>
      </c>
    </row>
    <row r="43" spans="1:150" x14ac:dyDescent="0.2">
      <c r="A43" s="103" t="str">
        <f>TEXT('M&amp;V Tasks'!A44,"#")</f>
        <v>9</v>
      </c>
      <c r="B43" s="104" t="str">
        <f>TEXT('M&amp;V Tasks'!B44,"#")</f>
        <v/>
      </c>
      <c r="C43" s="103">
        <f>'M&amp;V Tasks'!I44</f>
        <v>0</v>
      </c>
      <c r="D43" s="27"/>
      <c r="E43" s="27"/>
      <c r="F43" s="29" t="str">
        <f t="shared" si="29"/>
        <v/>
      </c>
      <c r="G43" s="29" t="str">
        <f t="shared" si="29"/>
        <v/>
      </c>
      <c r="H43" s="29" t="str">
        <f t="shared" si="29"/>
        <v/>
      </c>
      <c r="I43" s="29" t="str">
        <f t="shared" si="29"/>
        <v/>
      </c>
      <c r="J43" s="29" t="str">
        <f t="shared" si="29"/>
        <v/>
      </c>
      <c r="K43" s="29" t="str">
        <f t="shared" si="29"/>
        <v/>
      </c>
      <c r="L43" s="29" t="str">
        <f t="shared" si="29"/>
        <v/>
      </c>
      <c r="M43" s="29" t="str">
        <f t="shared" si="29"/>
        <v/>
      </c>
      <c r="N43" s="29" t="str">
        <f t="shared" si="29"/>
        <v/>
      </c>
      <c r="O43" s="29" t="str">
        <f t="shared" si="29"/>
        <v/>
      </c>
      <c r="P43" s="29" t="str">
        <f t="shared" si="29"/>
        <v/>
      </c>
      <c r="Q43" s="29" t="str">
        <f t="shared" si="29"/>
        <v/>
      </c>
      <c r="R43" s="29" t="str">
        <f t="shared" si="29"/>
        <v/>
      </c>
      <c r="S43" s="29" t="str">
        <f t="shared" si="29"/>
        <v/>
      </c>
      <c r="T43" s="29" t="str">
        <f t="shared" si="29"/>
        <v/>
      </c>
      <c r="U43" s="29" t="str">
        <f t="shared" si="29"/>
        <v/>
      </c>
      <c r="V43" s="29" t="str">
        <f t="shared" ref="V43:AK58" si="34">IF(AND(V$9&gt;=$D43,V$9&lt;=$E43),1,"")</f>
        <v/>
      </c>
      <c r="W43" s="29" t="str">
        <f t="shared" si="34"/>
        <v/>
      </c>
      <c r="X43" s="29" t="str">
        <f t="shared" si="34"/>
        <v/>
      </c>
      <c r="Y43" s="29" t="str">
        <f t="shared" si="34"/>
        <v/>
      </c>
      <c r="Z43" s="29" t="str">
        <f t="shared" si="34"/>
        <v/>
      </c>
      <c r="AA43" s="29" t="str">
        <f t="shared" si="34"/>
        <v/>
      </c>
      <c r="AB43" s="29" t="str">
        <f t="shared" si="34"/>
        <v/>
      </c>
      <c r="AC43" s="29" t="str">
        <f t="shared" si="34"/>
        <v/>
      </c>
      <c r="AD43" s="29" t="str">
        <f t="shared" si="34"/>
        <v/>
      </c>
      <c r="AE43" s="29" t="str">
        <f t="shared" si="34"/>
        <v/>
      </c>
      <c r="AF43" s="29" t="str">
        <f t="shared" si="34"/>
        <v/>
      </c>
      <c r="AG43" s="29" t="str">
        <f t="shared" si="34"/>
        <v/>
      </c>
      <c r="AH43" s="29" t="str">
        <f t="shared" si="34"/>
        <v/>
      </c>
      <c r="AI43" s="29" t="str">
        <f t="shared" si="34"/>
        <v/>
      </c>
      <c r="AJ43" s="29" t="str">
        <f t="shared" si="34"/>
        <v/>
      </c>
      <c r="AK43" s="29" t="str">
        <f t="shared" si="34"/>
        <v/>
      </c>
      <c r="AL43" s="29" t="str">
        <f t="shared" ref="AL43:BA58" si="35">IF(AND(AL$9&gt;=$D43,AL$9&lt;=$E43),1,"")</f>
        <v/>
      </c>
      <c r="AM43" s="29" t="str">
        <f t="shared" si="35"/>
        <v/>
      </c>
      <c r="AN43" s="29" t="str">
        <f t="shared" si="35"/>
        <v/>
      </c>
      <c r="AO43" s="29" t="str">
        <f t="shared" si="35"/>
        <v/>
      </c>
      <c r="AP43" s="29" t="str">
        <f t="shared" si="35"/>
        <v/>
      </c>
      <c r="AQ43" s="29" t="str">
        <f t="shared" si="35"/>
        <v/>
      </c>
      <c r="AR43" s="29" t="str">
        <f t="shared" si="35"/>
        <v/>
      </c>
      <c r="AS43" s="29" t="str">
        <f t="shared" si="35"/>
        <v/>
      </c>
      <c r="AT43" s="29" t="str">
        <f t="shared" si="35"/>
        <v/>
      </c>
      <c r="AU43" s="29" t="str">
        <f t="shared" si="35"/>
        <v/>
      </c>
      <c r="AV43" s="29" t="str">
        <f t="shared" si="35"/>
        <v/>
      </c>
      <c r="AW43" s="29" t="str">
        <f t="shared" si="35"/>
        <v/>
      </c>
      <c r="AX43" s="29" t="str">
        <f t="shared" si="35"/>
        <v/>
      </c>
      <c r="AY43" s="29" t="str">
        <f t="shared" si="35"/>
        <v/>
      </c>
      <c r="AZ43" s="29" t="str">
        <f t="shared" si="35"/>
        <v/>
      </c>
      <c r="BA43" s="29" t="str">
        <f t="shared" si="35"/>
        <v/>
      </c>
      <c r="BB43" s="29" t="str">
        <f t="shared" ref="BB43:BN58" si="36">IF(AND(BB$9&gt;=$D43,BB$9&lt;=$E43),1,"")</f>
        <v/>
      </c>
      <c r="BC43" s="29" t="str">
        <f t="shared" si="36"/>
        <v/>
      </c>
      <c r="BD43" s="29" t="str">
        <f t="shared" si="36"/>
        <v/>
      </c>
      <c r="BE43" s="29" t="str">
        <f t="shared" si="36"/>
        <v/>
      </c>
      <c r="BF43" s="29" t="str">
        <f t="shared" si="36"/>
        <v/>
      </c>
      <c r="BG43" s="29" t="str">
        <f t="shared" si="36"/>
        <v/>
      </c>
      <c r="BH43" s="29" t="str">
        <f t="shared" si="36"/>
        <v/>
      </c>
      <c r="BI43" s="29" t="str">
        <f t="shared" si="36"/>
        <v/>
      </c>
      <c r="BJ43" s="29" t="str">
        <f t="shared" si="36"/>
        <v/>
      </c>
      <c r="BK43" s="29" t="str">
        <f t="shared" si="36"/>
        <v/>
      </c>
      <c r="BL43" s="29" t="str">
        <f t="shared" si="36"/>
        <v/>
      </c>
      <c r="BM43" s="29" t="str">
        <f t="shared" si="33"/>
        <v/>
      </c>
      <c r="BN43" s="29" t="str">
        <f t="shared" si="33"/>
        <v/>
      </c>
      <c r="BO43" s="29" t="str">
        <f t="shared" si="33"/>
        <v/>
      </c>
      <c r="BP43" s="29" t="str">
        <f t="shared" si="33"/>
        <v/>
      </c>
      <c r="BQ43" s="29" t="str">
        <f t="shared" si="33"/>
        <v/>
      </c>
      <c r="BR43" s="29" t="str">
        <f t="shared" si="33"/>
        <v/>
      </c>
      <c r="BS43" s="29" t="str">
        <f t="shared" si="33"/>
        <v/>
      </c>
      <c r="BT43" s="29" t="str">
        <f t="shared" si="33"/>
        <v/>
      </c>
      <c r="BU43" s="29" t="str">
        <f t="shared" si="33"/>
        <v/>
      </c>
      <c r="BV43" s="29" t="str">
        <f t="shared" si="33"/>
        <v/>
      </c>
      <c r="BW43" s="29" t="str">
        <f t="shared" si="33"/>
        <v/>
      </c>
      <c r="BX43" s="29" t="str">
        <f t="shared" si="33"/>
        <v/>
      </c>
      <c r="BY43" s="29" t="str">
        <f t="shared" si="33"/>
        <v/>
      </c>
      <c r="BZ43" s="29" t="str">
        <f t="shared" si="33"/>
        <v/>
      </c>
      <c r="CA43" s="29" t="str">
        <f t="shared" si="33"/>
        <v/>
      </c>
      <c r="CB43" s="29" t="str">
        <f t="shared" si="33"/>
        <v/>
      </c>
      <c r="CC43" s="29" t="str">
        <f t="shared" si="33"/>
        <v/>
      </c>
      <c r="CD43" s="29" t="str">
        <f t="shared" si="33"/>
        <v/>
      </c>
      <c r="CE43" s="29" t="str">
        <f t="shared" si="33"/>
        <v/>
      </c>
      <c r="CF43" s="29" t="str">
        <f t="shared" si="33"/>
        <v/>
      </c>
      <c r="CG43" s="29" t="str">
        <f t="shared" si="33"/>
        <v/>
      </c>
      <c r="CH43" s="29" t="str">
        <f t="shared" si="33"/>
        <v/>
      </c>
      <c r="CI43" s="29" t="str">
        <f t="shared" si="33"/>
        <v/>
      </c>
      <c r="CJ43" s="29" t="str">
        <f t="shared" si="33"/>
        <v/>
      </c>
      <c r="CK43" s="29" t="str">
        <f t="shared" si="33"/>
        <v/>
      </c>
      <c r="CL43" s="29" t="str">
        <f t="shared" si="33"/>
        <v/>
      </c>
      <c r="CM43" s="29" t="str">
        <f t="shared" si="33"/>
        <v/>
      </c>
      <c r="CN43" s="29" t="str">
        <f t="shared" si="33"/>
        <v/>
      </c>
      <c r="CO43" s="29" t="str">
        <f t="shared" si="33"/>
        <v/>
      </c>
      <c r="CP43" s="29" t="str">
        <f t="shared" si="33"/>
        <v/>
      </c>
      <c r="CQ43" s="29" t="str">
        <f t="shared" si="33"/>
        <v/>
      </c>
      <c r="CR43" s="29" t="str">
        <f t="shared" si="33"/>
        <v/>
      </c>
      <c r="CS43" s="29" t="str">
        <f t="shared" si="33"/>
        <v/>
      </c>
      <c r="CT43" s="29" t="str">
        <f t="shared" si="33"/>
        <v/>
      </c>
      <c r="CU43" s="29" t="str">
        <f t="shared" si="33"/>
        <v/>
      </c>
      <c r="CV43" s="29" t="str">
        <f t="shared" si="33"/>
        <v/>
      </c>
      <c r="CW43" s="29" t="str">
        <f t="shared" si="26"/>
        <v/>
      </c>
      <c r="CX43" s="29" t="str">
        <f t="shared" si="32"/>
        <v/>
      </c>
      <c r="CY43" s="29" t="str">
        <f t="shared" si="32"/>
        <v/>
      </c>
      <c r="CZ43" s="29" t="str">
        <f t="shared" si="32"/>
        <v/>
      </c>
      <c r="DA43" s="29" t="str">
        <f t="shared" si="32"/>
        <v/>
      </c>
      <c r="DB43" s="29" t="str">
        <f t="shared" si="32"/>
        <v/>
      </c>
      <c r="DC43" s="29" t="str">
        <f t="shared" si="32"/>
        <v/>
      </c>
      <c r="DD43" s="29" t="str">
        <f t="shared" si="32"/>
        <v/>
      </c>
      <c r="DE43" s="29" t="str">
        <f t="shared" si="32"/>
        <v/>
      </c>
      <c r="DF43" s="29" t="str">
        <f t="shared" si="32"/>
        <v/>
      </c>
      <c r="DG43" s="29" t="str">
        <f t="shared" si="32"/>
        <v/>
      </c>
      <c r="DH43" s="29" t="str">
        <f t="shared" si="32"/>
        <v/>
      </c>
      <c r="DI43" s="29" t="str">
        <f t="shared" si="32"/>
        <v/>
      </c>
      <c r="DJ43" s="29" t="str">
        <f t="shared" si="32"/>
        <v/>
      </c>
      <c r="DK43" s="29" t="str">
        <f t="shared" si="32"/>
        <v/>
      </c>
      <c r="DL43" s="29" t="str">
        <f t="shared" si="32"/>
        <v/>
      </c>
      <c r="DM43" s="29" t="str">
        <f t="shared" si="32"/>
        <v/>
      </c>
      <c r="DN43" s="29" t="str">
        <f t="shared" si="32"/>
        <v/>
      </c>
      <c r="DO43" s="29" t="str">
        <f t="shared" si="32"/>
        <v/>
      </c>
      <c r="DP43" s="29" t="str">
        <f t="shared" si="32"/>
        <v/>
      </c>
      <c r="DQ43" s="29" t="str">
        <f t="shared" si="32"/>
        <v/>
      </c>
      <c r="DR43" s="29" t="str">
        <f t="shared" si="32"/>
        <v/>
      </c>
      <c r="DS43" s="29" t="str">
        <f t="shared" si="32"/>
        <v/>
      </c>
      <c r="DT43" s="29" t="str">
        <f t="shared" si="32"/>
        <v/>
      </c>
      <c r="DU43" s="29" t="str">
        <f t="shared" si="32"/>
        <v/>
      </c>
      <c r="DV43" s="29" t="str">
        <f t="shared" si="30"/>
        <v/>
      </c>
      <c r="DW43" s="29" t="str">
        <f t="shared" si="30"/>
        <v/>
      </c>
      <c r="DX43" s="29" t="str">
        <f t="shared" si="30"/>
        <v/>
      </c>
      <c r="DY43" s="29" t="str">
        <f t="shared" si="30"/>
        <v/>
      </c>
      <c r="DZ43" s="29" t="str">
        <f t="shared" si="30"/>
        <v/>
      </c>
      <c r="EA43" s="29" t="str">
        <f t="shared" si="30"/>
        <v/>
      </c>
      <c r="EB43" s="29" t="str">
        <f t="shared" si="30"/>
        <v/>
      </c>
      <c r="EC43" s="29" t="str">
        <f t="shared" si="30"/>
        <v/>
      </c>
      <c r="ED43" s="29" t="str">
        <f t="shared" si="30"/>
        <v/>
      </c>
      <c r="EE43" s="29" t="str">
        <f t="shared" si="30"/>
        <v/>
      </c>
      <c r="EF43" s="29" t="str">
        <f t="shared" si="30"/>
        <v/>
      </c>
      <c r="EG43" s="29" t="str">
        <f t="shared" si="30"/>
        <v/>
      </c>
      <c r="EH43" s="29" t="str">
        <f t="shared" si="30"/>
        <v/>
      </c>
      <c r="EI43" s="29" t="str">
        <f t="shared" si="30"/>
        <v/>
      </c>
      <c r="EJ43" s="29" t="str">
        <f t="shared" si="30"/>
        <v/>
      </c>
      <c r="EK43" s="29" t="str">
        <f t="shared" si="30"/>
        <v/>
      </c>
      <c r="EL43" s="29" t="str">
        <f t="shared" si="30"/>
        <v/>
      </c>
      <c r="EM43" s="29" t="str">
        <f t="shared" si="30"/>
        <v/>
      </c>
      <c r="EN43" s="29" t="str">
        <f t="shared" si="24"/>
        <v/>
      </c>
      <c r="EO43" s="29" t="str">
        <f t="shared" si="24"/>
        <v/>
      </c>
      <c r="EP43" s="29" t="str">
        <f t="shared" ref="EN43:ET58" si="37">IF(AND(EP$9&gt;=$D43,EP$9&lt;=$E43),1,"")</f>
        <v/>
      </c>
      <c r="EQ43" s="29" t="str">
        <f t="shared" si="37"/>
        <v/>
      </c>
      <c r="ER43" s="29" t="str">
        <f t="shared" si="37"/>
        <v/>
      </c>
      <c r="ES43" s="29" t="str">
        <f t="shared" si="37"/>
        <v/>
      </c>
      <c r="ET43" s="29" t="str">
        <f t="shared" si="37"/>
        <v/>
      </c>
    </row>
    <row r="44" spans="1:150" x14ac:dyDescent="0.2">
      <c r="A44" s="103" t="str">
        <f>TEXT('M&amp;V Tasks'!A45,"#")</f>
        <v>10</v>
      </c>
      <c r="B44" s="104" t="str">
        <f>TEXT('M&amp;V Tasks'!B45,"#")</f>
        <v/>
      </c>
      <c r="C44" s="103">
        <f>'M&amp;V Tasks'!I45</f>
        <v>0</v>
      </c>
      <c r="D44" s="27"/>
      <c r="E44" s="27"/>
      <c r="F44" s="29" t="str">
        <f t="shared" si="29"/>
        <v/>
      </c>
      <c r="G44" s="29" t="str">
        <f t="shared" si="29"/>
        <v/>
      </c>
      <c r="H44" s="29" t="str">
        <f t="shared" si="29"/>
        <v/>
      </c>
      <c r="I44" s="29" t="str">
        <f t="shared" si="29"/>
        <v/>
      </c>
      <c r="J44" s="29" t="str">
        <f t="shared" si="29"/>
        <v/>
      </c>
      <c r="K44" s="29" t="str">
        <f t="shared" si="29"/>
        <v/>
      </c>
      <c r="L44" s="29" t="str">
        <f t="shared" si="29"/>
        <v/>
      </c>
      <c r="M44" s="29" t="str">
        <f t="shared" si="29"/>
        <v/>
      </c>
      <c r="N44" s="29" t="str">
        <f t="shared" si="29"/>
        <v/>
      </c>
      <c r="O44" s="29" t="str">
        <f t="shared" si="29"/>
        <v/>
      </c>
      <c r="P44" s="29" t="str">
        <f t="shared" si="29"/>
        <v/>
      </c>
      <c r="Q44" s="29" t="str">
        <f t="shared" si="29"/>
        <v/>
      </c>
      <c r="R44" s="29" t="str">
        <f t="shared" si="29"/>
        <v/>
      </c>
      <c r="S44" s="29" t="str">
        <f t="shared" si="29"/>
        <v/>
      </c>
      <c r="T44" s="29" t="str">
        <f t="shared" si="29"/>
        <v/>
      </c>
      <c r="U44" s="29" t="str">
        <f t="shared" si="29"/>
        <v/>
      </c>
      <c r="V44" s="29" t="str">
        <f t="shared" si="34"/>
        <v/>
      </c>
      <c r="W44" s="29" t="str">
        <f t="shared" si="34"/>
        <v/>
      </c>
      <c r="X44" s="29" t="str">
        <f t="shared" si="34"/>
        <v/>
      </c>
      <c r="Y44" s="29" t="str">
        <f t="shared" si="34"/>
        <v/>
      </c>
      <c r="Z44" s="29" t="str">
        <f t="shared" si="34"/>
        <v/>
      </c>
      <c r="AA44" s="29" t="str">
        <f t="shared" si="34"/>
        <v/>
      </c>
      <c r="AB44" s="29" t="str">
        <f t="shared" si="34"/>
        <v/>
      </c>
      <c r="AC44" s="29" t="str">
        <f t="shared" si="34"/>
        <v/>
      </c>
      <c r="AD44" s="29" t="str">
        <f t="shared" si="34"/>
        <v/>
      </c>
      <c r="AE44" s="29" t="str">
        <f t="shared" si="34"/>
        <v/>
      </c>
      <c r="AF44" s="29" t="str">
        <f t="shared" si="34"/>
        <v/>
      </c>
      <c r="AG44" s="29" t="str">
        <f t="shared" si="34"/>
        <v/>
      </c>
      <c r="AH44" s="29" t="str">
        <f t="shared" si="34"/>
        <v/>
      </c>
      <c r="AI44" s="29" t="str">
        <f t="shared" si="34"/>
        <v/>
      </c>
      <c r="AJ44" s="29" t="str">
        <f t="shared" si="34"/>
        <v/>
      </c>
      <c r="AK44" s="29" t="str">
        <f t="shared" si="34"/>
        <v/>
      </c>
      <c r="AL44" s="29" t="str">
        <f t="shared" si="35"/>
        <v/>
      </c>
      <c r="AM44" s="29" t="str">
        <f t="shared" si="35"/>
        <v/>
      </c>
      <c r="AN44" s="29" t="str">
        <f t="shared" si="35"/>
        <v/>
      </c>
      <c r="AO44" s="29" t="str">
        <f t="shared" si="35"/>
        <v/>
      </c>
      <c r="AP44" s="29" t="str">
        <f t="shared" si="35"/>
        <v/>
      </c>
      <c r="AQ44" s="29" t="str">
        <f t="shared" si="35"/>
        <v/>
      </c>
      <c r="AR44" s="29" t="str">
        <f t="shared" si="35"/>
        <v/>
      </c>
      <c r="AS44" s="29" t="str">
        <f t="shared" si="35"/>
        <v/>
      </c>
      <c r="AT44" s="29" t="str">
        <f t="shared" si="35"/>
        <v/>
      </c>
      <c r="AU44" s="29" t="str">
        <f t="shared" si="35"/>
        <v/>
      </c>
      <c r="AV44" s="29" t="str">
        <f t="shared" si="35"/>
        <v/>
      </c>
      <c r="AW44" s="29" t="str">
        <f t="shared" si="35"/>
        <v/>
      </c>
      <c r="AX44" s="29" t="str">
        <f t="shared" si="35"/>
        <v/>
      </c>
      <c r="AY44" s="29" t="str">
        <f t="shared" si="35"/>
        <v/>
      </c>
      <c r="AZ44" s="29" t="str">
        <f t="shared" si="35"/>
        <v/>
      </c>
      <c r="BA44" s="29" t="str">
        <f t="shared" si="35"/>
        <v/>
      </c>
      <c r="BB44" s="29" t="str">
        <f t="shared" si="36"/>
        <v/>
      </c>
      <c r="BC44" s="29" t="str">
        <f t="shared" si="36"/>
        <v/>
      </c>
      <c r="BD44" s="29" t="str">
        <f t="shared" si="36"/>
        <v/>
      </c>
      <c r="BE44" s="29" t="str">
        <f t="shared" si="36"/>
        <v/>
      </c>
      <c r="BF44" s="29" t="str">
        <f t="shared" si="36"/>
        <v/>
      </c>
      <c r="BG44" s="29" t="str">
        <f t="shared" si="36"/>
        <v/>
      </c>
      <c r="BH44" s="29" t="str">
        <f t="shared" si="36"/>
        <v/>
      </c>
      <c r="BI44" s="29" t="str">
        <f t="shared" si="36"/>
        <v/>
      </c>
      <c r="BJ44" s="29" t="str">
        <f t="shared" si="36"/>
        <v/>
      </c>
      <c r="BK44" s="29" t="str">
        <f t="shared" si="36"/>
        <v/>
      </c>
      <c r="BL44" s="29" t="str">
        <f t="shared" si="36"/>
        <v/>
      </c>
      <c r="BM44" s="29" t="str">
        <f t="shared" si="33"/>
        <v/>
      </c>
      <c r="BN44" s="29" t="str">
        <f t="shared" si="33"/>
        <v/>
      </c>
      <c r="BO44" s="29" t="str">
        <f t="shared" si="33"/>
        <v/>
      </c>
      <c r="BP44" s="29" t="str">
        <f t="shared" si="33"/>
        <v/>
      </c>
      <c r="BQ44" s="29" t="str">
        <f t="shared" si="33"/>
        <v/>
      </c>
      <c r="BR44" s="29" t="str">
        <f t="shared" si="33"/>
        <v/>
      </c>
      <c r="BS44" s="29" t="str">
        <f t="shared" si="33"/>
        <v/>
      </c>
      <c r="BT44" s="29" t="str">
        <f t="shared" si="33"/>
        <v/>
      </c>
      <c r="BU44" s="29" t="str">
        <f t="shared" si="33"/>
        <v/>
      </c>
      <c r="BV44" s="29" t="str">
        <f t="shared" si="33"/>
        <v/>
      </c>
      <c r="BW44" s="29" t="str">
        <f t="shared" si="33"/>
        <v/>
      </c>
      <c r="BX44" s="29" t="str">
        <f t="shared" si="33"/>
        <v/>
      </c>
      <c r="BY44" s="29" t="str">
        <f t="shared" si="33"/>
        <v/>
      </c>
      <c r="BZ44" s="29" t="str">
        <f t="shared" si="33"/>
        <v/>
      </c>
      <c r="CA44" s="29" t="str">
        <f t="shared" si="33"/>
        <v/>
      </c>
      <c r="CB44" s="29" t="str">
        <f t="shared" si="33"/>
        <v/>
      </c>
      <c r="CC44" s="29" t="str">
        <f t="shared" si="33"/>
        <v/>
      </c>
      <c r="CD44" s="29" t="str">
        <f t="shared" si="33"/>
        <v/>
      </c>
      <c r="CE44" s="29" t="str">
        <f t="shared" si="33"/>
        <v/>
      </c>
      <c r="CF44" s="29" t="str">
        <f t="shared" si="33"/>
        <v/>
      </c>
      <c r="CG44" s="29" t="str">
        <f t="shared" si="33"/>
        <v/>
      </c>
      <c r="CH44" s="29" t="str">
        <f t="shared" si="33"/>
        <v/>
      </c>
      <c r="CI44" s="29" t="str">
        <f t="shared" si="33"/>
        <v/>
      </c>
      <c r="CJ44" s="29" t="str">
        <f t="shared" si="33"/>
        <v/>
      </c>
      <c r="CK44" s="29" t="str">
        <f t="shared" si="33"/>
        <v/>
      </c>
      <c r="CL44" s="29" t="str">
        <f t="shared" si="33"/>
        <v/>
      </c>
      <c r="CM44" s="29" t="str">
        <f t="shared" si="33"/>
        <v/>
      </c>
      <c r="CN44" s="29" t="str">
        <f t="shared" si="33"/>
        <v/>
      </c>
      <c r="CO44" s="29" t="str">
        <f t="shared" si="33"/>
        <v/>
      </c>
      <c r="CP44" s="29" t="str">
        <f t="shared" si="33"/>
        <v/>
      </c>
      <c r="CQ44" s="29" t="str">
        <f t="shared" si="33"/>
        <v/>
      </c>
      <c r="CR44" s="29" t="str">
        <f t="shared" si="33"/>
        <v/>
      </c>
      <c r="CS44" s="29" t="str">
        <f t="shared" si="33"/>
        <v/>
      </c>
      <c r="CT44" s="29" t="str">
        <f t="shared" si="33"/>
        <v/>
      </c>
      <c r="CU44" s="29" t="str">
        <f t="shared" si="33"/>
        <v/>
      </c>
      <c r="CV44" s="29" t="str">
        <f t="shared" si="33"/>
        <v/>
      </c>
      <c r="CW44" s="29" t="str">
        <f t="shared" si="26"/>
        <v/>
      </c>
      <c r="CX44" s="29" t="str">
        <f t="shared" si="32"/>
        <v/>
      </c>
      <c r="CY44" s="29" t="str">
        <f t="shared" si="32"/>
        <v/>
      </c>
      <c r="CZ44" s="29" t="str">
        <f t="shared" si="32"/>
        <v/>
      </c>
      <c r="DA44" s="29" t="str">
        <f t="shared" si="32"/>
        <v/>
      </c>
      <c r="DB44" s="29" t="str">
        <f t="shared" si="32"/>
        <v/>
      </c>
      <c r="DC44" s="29" t="str">
        <f t="shared" si="32"/>
        <v/>
      </c>
      <c r="DD44" s="29" t="str">
        <f t="shared" si="32"/>
        <v/>
      </c>
      <c r="DE44" s="29" t="str">
        <f t="shared" si="32"/>
        <v/>
      </c>
      <c r="DF44" s="29" t="str">
        <f t="shared" si="32"/>
        <v/>
      </c>
      <c r="DG44" s="29" t="str">
        <f t="shared" si="32"/>
        <v/>
      </c>
      <c r="DH44" s="29" t="str">
        <f t="shared" si="32"/>
        <v/>
      </c>
      <c r="DI44" s="29" t="str">
        <f t="shared" si="32"/>
        <v/>
      </c>
      <c r="DJ44" s="29" t="str">
        <f t="shared" si="32"/>
        <v/>
      </c>
      <c r="DK44" s="29" t="str">
        <f t="shared" si="32"/>
        <v/>
      </c>
      <c r="DL44" s="29" t="str">
        <f t="shared" si="32"/>
        <v/>
      </c>
      <c r="DM44" s="29" t="str">
        <f t="shared" si="32"/>
        <v/>
      </c>
      <c r="DN44" s="29" t="str">
        <f t="shared" si="32"/>
        <v/>
      </c>
      <c r="DO44" s="29" t="str">
        <f t="shared" si="32"/>
        <v/>
      </c>
      <c r="DP44" s="29" t="str">
        <f t="shared" si="32"/>
        <v/>
      </c>
      <c r="DQ44" s="29" t="str">
        <f t="shared" si="32"/>
        <v/>
      </c>
      <c r="DR44" s="29" t="str">
        <f t="shared" si="32"/>
        <v/>
      </c>
      <c r="DS44" s="29" t="str">
        <f t="shared" si="32"/>
        <v/>
      </c>
      <c r="DT44" s="29" t="str">
        <f t="shared" si="32"/>
        <v/>
      </c>
      <c r="DU44" s="29" t="str">
        <f t="shared" si="32"/>
        <v/>
      </c>
      <c r="DV44" s="29" t="str">
        <f t="shared" si="30"/>
        <v/>
      </c>
      <c r="DW44" s="29" t="str">
        <f t="shared" si="30"/>
        <v/>
      </c>
      <c r="DX44" s="29" t="str">
        <f t="shared" si="30"/>
        <v/>
      </c>
      <c r="DY44" s="29" t="str">
        <f t="shared" si="30"/>
        <v/>
      </c>
      <c r="DZ44" s="29" t="str">
        <f t="shared" si="30"/>
        <v/>
      </c>
      <c r="EA44" s="29" t="str">
        <f t="shared" si="30"/>
        <v/>
      </c>
      <c r="EB44" s="29" t="str">
        <f t="shared" si="30"/>
        <v/>
      </c>
      <c r="EC44" s="29" t="str">
        <f t="shared" si="30"/>
        <v/>
      </c>
      <c r="ED44" s="29" t="str">
        <f t="shared" si="30"/>
        <v/>
      </c>
      <c r="EE44" s="29" t="str">
        <f t="shared" si="30"/>
        <v/>
      </c>
      <c r="EF44" s="29" t="str">
        <f t="shared" si="30"/>
        <v/>
      </c>
      <c r="EG44" s="29" t="str">
        <f t="shared" si="30"/>
        <v/>
      </c>
      <c r="EH44" s="29" t="str">
        <f t="shared" si="30"/>
        <v/>
      </c>
      <c r="EI44" s="29" t="str">
        <f t="shared" si="30"/>
        <v/>
      </c>
      <c r="EJ44" s="29" t="str">
        <f t="shared" si="30"/>
        <v/>
      </c>
      <c r="EK44" s="29" t="str">
        <f t="shared" si="30"/>
        <v/>
      </c>
      <c r="EL44" s="29" t="str">
        <f t="shared" si="30"/>
        <v/>
      </c>
      <c r="EM44" s="29" t="str">
        <f t="shared" si="30"/>
        <v/>
      </c>
      <c r="EN44" s="29" t="str">
        <f t="shared" si="37"/>
        <v/>
      </c>
      <c r="EO44" s="29" t="str">
        <f t="shared" si="37"/>
        <v/>
      </c>
      <c r="EP44" s="29" t="str">
        <f t="shared" si="37"/>
        <v/>
      </c>
      <c r="EQ44" s="29" t="str">
        <f t="shared" si="37"/>
        <v/>
      </c>
      <c r="ER44" s="29" t="str">
        <f t="shared" si="37"/>
        <v/>
      </c>
      <c r="ES44" s="29" t="str">
        <f t="shared" si="37"/>
        <v/>
      </c>
      <c r="ET44" s="29" t="str">
        <f t="shared" si="37"/>
        <v/>
      </c>
    </row>
    <row r="45" spans="1:150" x14ac:dyDescent="0.2">
      <c r="A45" s="88" t="str">
        <f>TEXT('M&amp;V Tasks'!A46,"#")</f>
        <v/>
      </c>
      <c r="B45" s="91" t="str">
        <f>TEXT('M&amp;V Tasks'!B46,"#")</f>
        <v>Analyse Results and Calculate Savings</v>
      </c>
      <c r="C45" s="88">
        <f>'M&amp;V Tasks'!I46</f>
        <v>0</v>
      </c>
      <c r="D45" s="27"/>
      <c r="E45" s="27"/>
      <c r="F45" s="29" t="str">
        <f t="shared" si="29"/>
        <v/>
      </c>
      <c r="G45" s="29" t="str">
        <f t="shared" si="29"/>
        <v/>
      </c>
      <c r="H45" s="29" t="str">
        <f t="shared" si="29"/>
        <v/>
      </c>
      <c r="I45" s="29" t="str">
        <f t="shared" si="29"/>
        <v/>
      </c>
      <c r="J45" s="29" t="str">
        <f t="shared" si="29"/>
        <v/>
      </c>
      <c r="K45" s="29" t="str">
        <f t="shared" si="29"/>
        <v/>
      </c>
      <c r="L45" s="29" t="str">
        <f t="shared" si="29"/>
        <v/>
      </c>
      <c r="M45" s="29" t="str">
        <f t="shared" si="29"/>
        <v/>
      </c>
      <c r="N45" s="29" t="str">
        <f t="shared" si="29"/>
        <v/>
      </c>
      <c r="O45" s="29" t="str">
        <f t="shared" si="29"/>
        <v/>
      </c>
      <c r="P45" s="29" t="str">
        <f t="shared" si="29"/>
        <v/>
      </c>
      <c r="Q45" s="29" t="str">
        <f t="shared" si="29"/>
        <v/>
      </c>
      <c r="R45" s="29" t="str">
        <f t="shared" si="29"/>
        <v/>
      </c>
      <c r="S45" s="29" t="str">
        <f t="shared" si="29"/>
        <v/>
      </c>
      <c r="T45" s="29" t="str">
        <f t="shared" si="29"/>
        <v/>
      </c>
      <c r="U45" s="29" t="str">
        <f t="shared" si="29"/>
        <v/>
      </c>
      <c r="V45" s="29" t="str">
        <f t="shared" si="34"/>
        <v/>
      </c>
      <c r="W45" s="29" t="str">
        <f t="shared" si="34"/>
        <v/>
      </c>
      <c r="X45" s="29" t="str">
        <f t="shared" si="34"/>
        <v/>
      </c>
      <c r="Y45" s="29" t="str">
        <f t="shared" si="34"/>
        <v/>
      </c>
      <c r="Z45" s="29" t="str">
        <f t="shared" si="34"/>
        <v/>
      </c>
      <c r="AA45" s="29" t="str">
        <f t="shared" si="34"/>
        <v/>
      </c>
      <c r="AB45" s="29" t="str">
        <f t="shared" si="34"/>
        <v/>
      </c>
      <c r="AC45" s="29" t="str">
        <f t="shared" si="34"/>
        <v/>
      </c>
      <c r="AD45" s="29" t="str">
        <f t="shared" si="34"/>
        <v/>
      </c>
      <c r="AE45" s="29" t="str">
        <f t="shared" si="34"/>
        <v/>
      </c>
      <c r="AF45" s="29" t="str">
        <f t="shared" si="34"/>
        <v/>
      </c>
      <c r="AG45" s="29" t="str">
        <f t="shared" si="34"/>
        <v/>
      </c>
      <c r="AH45" s="29" t="str">
        <f t="shared" si="34"/>
        <v/>
      </c>
      <c r="AI45" s="29" t="str">
        <f t="shared" si="34"/>
        <v/>
      </c>
      <c r="AJ45" s="29" t="str">
        <f t="shared" si="34"/>
        <v/>
      </c>
      <c r="AK45" s="29" t="str">
        <f t="shared" si="34"/>
        <v/>
      </c>
      <c r="AL45" s="29" t="str">
        <f t="shared" si="35"/>
        <v/>
      </c>
      <c r="AM45" s="29" t="str">
        <f t="shared" si="35"/>
        <v/>
      </c>
      <c r="AN45" s="29" t="str">
        <f t="shared" si="35"/>
        <v/>
      </c>
      <c r="AO45" s="29" t="str">
        <f t="shared" si="35"/>
        <v/>
      </c>
      <c r="AP45" s="29" t="str">
        <f t="shared" si="35"/>
        <v/>
      </c>
      <c r="AQ45" s="29" t="str">
        <f t="shared" si="35"/>
        <v/>
      </c>
      <c r="AR45" s="29" t="str">
        <f t="shared" si="35"/>
        <v/>
      </c>
      <c r="AS45" s="29" t="str">
        <f t="shared" si="35"/>
        <v/>
      </c>
      <c r="AT45" s="29" t="str">
        <f t="shared" si="35"/>
        <v/>
      </c>
      <c r="AU45" s="29" t="str">
        <f t="shared" si="35"/>
        <v/>
      </c>
      <c r="AV45" s="29" t="str">
        <f t="shared" si="35"/>
        <v/>
      </c>
      <c r="AW45" s="29" t="str">
        <f t="shared" si="35"/>
        <v/>
      </c>
      <c r="AX45" s="29" t="str">
        <f t="shared" si="35"/>
        <v/>
      </c>
      <c r="AY45" s="29" t="str">
        <f t="shared" si="35"/>
        <v/>
      </c>
      <c r="AZ45" s="29" t="str">
        <f t="shared" si="35"/>
        <v/>
      </c>
      <c r="BA45" s="29" t="str">
        <f t="shared" si="35"/>
        <v/>
      </c>
      <c r="BB45" s="29" t="str">
        <f t="shared" si="36"/>
        <v/>
      </c>
      <c r="BC45" s="29" t="str">
        <f t="shared" si="36"/>
        <v/>
      </c>
      <c r="BD45" s="29" t="str">
        <f t="shared" si="36"/>
        <v/>
      </c>
      <c r="BE45" s="29" t="str">
        <f t="shared" si="36"/>
        <v/>
      </c>
      <c r="BF45" s="29" t="str">
        <f t="shared" si="36"/>
        <v/>
      </c>
      <c r="BG45" s="29" t="str">
        <f t="shared" si="36"/>
        <v/>
      </c>
      <c r="BH45" s="29" t="str">
        <f t="shared" si="36"/>
        <v/>
      </c>
      <c r="BI45" s="29" t="str">
        <f t="shared" si="36"/>
        <v/>
      </c>
      <c r="BJ45" s="29" t="str">
        <f t="shared" si="36"/>
        <v/>
      </c>
      <c r="BK45" s="29" t="str">
        <f t="shared" si="36"/>
        <v/>
      </c>
      <c r="BL45" s="29" t="str">
        <f t="shared" si="36"/>
        <v/>
      </c>
      <c r="BM45" s="29" t="str">
        <f t="shared" si="33"/>
        <v/>
      </c>
      <c r="BN45" s="29" t="str">
        <f t="shared" si="33"/>
        <v/>
      </c>
      <c r="BO45" s="29" t="str">
        <f t="shared" si="33"/>
        <v/>
      </c>
      <c r="BP45" s="29" t="str">
        <f t="shared" si="33"/>
        <v/>
      </c>
      <c r="BQ45" s="29" t="str">
        <f t="shared" si="33"/>
        <v/>
      </c>
      <c r="BR45" s="29" t="str">
        <f t="shared" si="33"/>
        <v/>
      </c>
      <c r="BS45" s="29" t="str">
        <f t="shared" si="33"/>
        <v/>
      </c>
      <c r="BT45" s="29" t="str">
        <f t="shared" si="33"/>
        <v/>
      </c>
      <c r="BU45" s="29" t="str">
        <f t="shared" si="33"/>
        <v/>
      </c>
      <c r="BV45" s="29" t="str">
        <f t="shared" si="33"/>
        <v/>
      </c>
      <c r="BW45" s="29" t="str">
        <f t="shared" si="33"/>
        <v/>
      </c>
      <c r="BX45" s="29" t="str">
        <f t="shared" si="33"/>
        <v/>
      </c>
      <c r="BY45" s="29" t="str">
        <f t="shared" si="33"/>
        <v/>
      </c>
      <c r="BZ45" s="29" t="str">
        <f t="shared" si="33"/>
        <v/>
      </c>
      <c r="CA45" s="29" t="str">
        <f t="shared" si="33"/>
        <v/>
      </c>
      <c r="CB45" s="29" t="str">
        <f t="shared" si="33"/>
        <v/>
      </c>
      <c r="CC45" s="29" t="str">
        <f t="shared" si="33"/>
        <v/>
      </c>
      <c r="CD45" s="29" t="str">
        <f t="shared" si="33"/>
        <v/>
      </c>
      <c r="CE45" s="29" t="str">
        <f t="shared" si="33"/>
        <v/>
      </c>
      <c r="CF45" s="29" t="str">
        <f t="shared" si="33"/>
        <v/>
      </c>
      <c r="CG45" s="29" t="str">
        <f t="shared" si="33"/>
        <v/>
      </c>
      <c r="CH45" s="29" t="str">
        <f t="shared" si="33"/>
        <v/>
      </c>
      <c r="CI45" s="29" t="str">
        <f t="shared" si="33"/>
        <v/>
      </c>
      <c r="CJ45" s="29" t="str">
        <f t="shared" si="33"/>
        <v/>
      </c>
      <c r="CK45" s="29" t="str">
        <f t="shared" si="33"/>
        <v/>
      </c>
      <c r="CL45" s="29" t="str">
        <f t="shared" si="33"/>
        <v/>
      </c>
      <c r="CM45" s="29" t="str">
        <f t="shared" si="33"/>
        <v/>
      </c>
      <c r="CN45" s="29" t="str">
        <f t="shared" si="33"/>
        <v/>
      </c>
      <c r="CO45" s="29" t="str">
        <f t="shared" si="33"/>
        <v/>
      </c>
      <c r="CP45" s="29" t="str">
        <f t="shared" si="33"/>
        <v/>
      </c>
      <c r="CQ45" s="29" t="str">
        <f t="shared" si="33"/>
        <v/>
      </c>
      <c r="CR45" s="29" t="str">
        <f t="shared" si="33"/>
        <v/>
      </c>
      <c r="CS45" s="29" t="str">
        <f t="shared" si="33"/>
        <v/>
      </c>
      <c r="CT45" s="29" t="str">
        <f t="shared" si="33"/>
        <v/>
      </c>
      <c r="CU45" s="29" t="str">
        <f t="shared" si="33"/>
        <v/>
      </c>
      <c r="CV45" s="29" t="str">
        <f t="shared" si="33"/>
        <v/>
      </c>
      <c r="CW45" s="29" t="str">
        <f t="shared" si="26"/>
        <v/>
      </c>
      <c r="CX45" s="29" t="str">
        <f t="shared" si="32"/>
        <v/>
      </c>
      <c r="CY45" s="29" t="str">
        <f t="shared" si="32"/>
        <v/>
      </c>
      <c r="CZ45" s="29" t="str">
        <f t="shared" si="32"/>
        <v/>
      </c>
      <c r="DA45" s="29" t="str">
        <f t="shared" si="32"/>
        <v/>
      </c>
      <c r="DB45" s="29" t="str">
        <f t="shared" si="32"/>
        <v/>
      </c>
      <c r="DC45" s="29" t="str">
        <f t="shared" si="32"/>
        <v/>
      </c>
      <c r="DD45" s="29" t="str">
        <f t="shared" si="32"/>
        <v/>
      </c>
      <c r="DE45" s="29" t="str">
        <f t="shared" si="32"/>
        <v/>
      </c>
      <c r="DF45" s="29" t="str">
        <f t="shared" si="32"/>
        <v/>
      </c>
      <c r="DG45" s="29" t="str">
        <f t="shared" si="32"/>
        <v/>
      </c>
      <c r="DH45" s="29" t="str">
        <f t="shared" si="32"/>
        <v/>
      </c>
      <c r="DI45" s="29" t="str">
        <f t="shared" si="32"/>
        <v/>
      </c>
      <c r="DJ45" s="29" t="str">
        <f t="shared" si="32"/>
        <v/>
      </c>
      <c r="DK45" s="29" t="str">
        <f t="shared" si="32"/>
        <v/>
      </c>
      <c r="DL45" s="29" t="str">
        <f t="shared" si="32"/>
        <v/>
      </c>
      <c r="DM45" s="29" t="str">
        <f t="shared" si="32"/>
        <v/>
      </c>
      <c r="DN45" s="29" t="str">
        <f t="shared" si="32"/>
        <v/>
      </c>
      <c r="DO45" s="29" t="str">
        <f t="shared" si="32"/>
        <v/>
      </c>
      <c r="DP45" s="29" t="str">
        <f t="shared" si="32"/>
        <v/>
      </c>
      <c r="DQ45" s="29" t="str">
        <f t="shared" si="32"/>
        <v/>
      </c>
      <c r="DR45" s="29" t="str">
        <f t="shared" si="32"/>
        <v/>
      </c>
      <c r="DS45" s="29" t="str">
        <f t="shared" si="32"/>
        <v/>
      </c>
      <c r="DT45" s="29" t="str">
        <f t="shared" si="32"/>
        <v/>
      </c>
      <c r="DU45" s="29" t="str">
        <f t="shared" si="32"/>
        <v/>
      </c>
      <c r="DV45" s="29" t="str">
        <f t="shared" si="30"/>
        <v/>
      </c>
      <c r="DW45" s="29" t="str">
        <f t="shared" si="30"/>
        <v/>
      </c>
      <c r="DX45" s="29" t="str">
        <f t="shared" si="30"/>
        <v/>
      </c>
      <c r="DY45" s="29" t="str">
        <f t="shared" si="30"/>
        <v/>
      </c>
      <c r="DZ45" s="29" t="str">
        <f t="shared" si="30"/>
        <v/>
      </c>
      <c r="EA45" s="29" t="str">
        <f t="shared" si="30"/>
        <v/>
      </c>
      <c r="EB45" s="29" t="str">
        <f t="shared" si="30"/>
        <v/>
      </c>
      <c r="EC45" s="29" t="str">
        <f t="shared" si="30"/>
        <v/>
      </c>
      <c r="ED45" s="29" t="str">
        <f t="shared" si="30"/>
        <v/>
      </c>
      <c r="EE45" s="29" t="str">
        <f t="shared" si="30"/>
        <v/>
      </c>
      <c r="EF45" s="29" t="str">
        <f t="shared" si="30"/>
        <v/>
      </c>
      <c r="EG45" s="29" t="str">
        <f t="shared" si="30"/>
        <v/>
      </c>
      <c r="EH45" s="29" t="str">
        <f t="shared" si="30"/>
        <v/>
      </c>
      <c r="EI45" s="29" t="str">
        <f t="shared" si="30"/>
        <v/>
      </c>
      <c r="EJ45" s="29" t="str">
        <f t="shared" si="30"/>
        <v/>
      </c>
      <c r="EK45" s="29" t="str">
        <f t="shared" si="30"/>
        <v/>
      </c>
      <c r="EL45" s="29" t="str">
        <f t="shared" si="30"/>
        <v/>
      </c>
      <c r="EM45" s="29" t="str">
        <f t="shared" si="30"/>
        <v/>
      </c>
      <c r="EN45" s="29" t="str">
        <f t="shared" si="37"/>
        <v/>
      </c>
      <c r="EO45" s="29" t="str">
        <f t="shared" si="37"/>
        <v/>
      </c>
      <c r="EP45" s="29" t="str">
        <f t="shared" si="37"/>
        <v/>
      </c>
      <c r="EQ45" s="29" t="str">
        <f t="shared" si="37"/>
        <v/>
      </c>
      <c r="ER45" s="29" t="str">
        <f t="shared" si="37"/>
        <v/>
      </c>
      <c r="ES45" s="29" t="str">
        <f t="shared" si="37"/>
        <v/>
      </c>
      <c r="ET45" s="29" t="str">
        <f t="shared" si="37"/>
        <v/>
      </c>
    </row>
    <row r="46" spans="1:150" x14ac:dyDescent="0.2">
      <c r="A46" s="103" t="str">
        <f>TEXT('M&amp;V Tasks'!A47,"#")</f>
        <v>1</v>
      </c>
      <c r="B46" s="104" t="str">
        <f>TEXT('M&amp;V Tasks'!B47,"#")</f>
        <v>Enter hourly production data into spreadsheet</v>
      </c>
      <c r="C46" s="103">
        <f>'M&amp;V Tasks'!I47</f>
        <v>0</v>
      </c>
      <c r="D46" s="27"/>
      <c r="E46" s="27"/>
      <c r="F46" s="29" t="str">
        <f t="shared" si="29"/>
        <v/>
      </c>
      <c r="G46" s="29" t="str">
        <f t="shared" si="29"/>
        <v/>
      </c>
      <c r="H46" s="29" t="str">
        <f t="shared" si="29"/>
        <v/>
      </c>
      <c r="I46" s="29" t="str">
        <f t="shared" si="29"/>
        <v/>
      </c>
      <c r="J46" s="29" t="str">
        <f t="shared" si="29"/>
        <v/>
      </c>
      <c r="K46" s="29" t="str">
        <f t="shared" si="29"/>
        <v/>
      </c>
      <c r="L46" s="29" t="str">
        <f t="shared" si="29"/>
        <v/>
      </c>
      <c r="M46" s="29" t="str">
        <f t="shared" si="29"/>
        <v/>
      </c>
      <c r="N46" s="29" t="str">
        <f t="shared" si="29"/>
        <v/>
      </c>
      <c r="O46" s="29" t="str">
        <f t="shared" si="29"/>
        <v/>
      </c>
      <c r="P46" s="29" t="str">
        <f t="shared" si="29"/>
        <v/>
      </c>
      <c r="Q46" s="29" t="str">
        <f t="shared" si="29"/>
        <v/>
      </c>
      <c r="R46" s="29" t="str">
        <f t="shared" si="29"/>
        <v/>
      </c>
      <c r="S46" s="29" t="str">
        <f t="shared" si="29"/>
        <v/>
      </c>
      <c r="T46" s="29" t="str">
        <f t="shared" si="29"/>
        <v/>
      </c>
      <c r="U46" s="29" t="str">
        <f t="shared" si="29"/>
        <v/>
      </c>
      <c r="V46" s="29" t="str">
        <f t="shared" si="34"/>
        <v/>
      </c>
      <c r="W46" s="29" t="str">
        <f t="shared" si="34"/>
        <v/>
      </c>
      <c r="X46" s="29" t="str">
        <f t="shared" si="34"/>
        <v/>
      </c>
      <c r="Y46" s="29" t="str">
        <f t="shared" si="34"/>
        <v/>
      </c>
      <c r="Z46" s="29" t="str">
        <f t="shared" si="34"/>
        <v/>
      </c>
      <c r="AA46" s="29" t="str">
        <f t="shared" si="34"/>
        <v/>
      </c>
      <c r="AB46" s="29" t="str">
        <f t="shared" si="34"/>
        <v/>
      </c>
      <c r="AC46" s="29" t="str">
        <f t="shared" si="34"/>
        <v/>
      </c>
      <c r="AD46" s="29" t="str">
        <f t="shared" si="34"/>
        <v/>
      </c>
      <c r="AE46" s="29" t="str">
        <f t="shared" si="34"/>
        <v/>
      </c>
      <c r="AF46" s="29" t="str">
        <f t="shared" si="34"/>
        <v/>
      </c>
      <c r="AG46" s="29" t="str">
        <f t="shared" si="34"/>
        <v/>
      </c>
      <c r="AH46" s="29" t="str">
        <f t="shared" si="34"/>
        <v/>
      </c>
      <c r="AI46" s="29" t="str">
        <f t="shared" si="34"/>
        <v/>
      </c>
      <c r="AJ46" s="29" t="str">
        <f t="shared" si="34"/>
        <v/>
      </c>
      <c r="AK46" s="29" t="str">
        <f t="shared" si="34"/>
        <v/>
      </c>
      <c r="AL46" s="29" t="str">
        <f t="shared" si="35"/>
        <v/>
      </c>
      <c r="AM46" s="29" t="str">
        <f t="shared" si="35"/>
        <v/>
      </c>
      <c r="AN46" s="29" t="str">
        <f t="shared" si="35"/>
        <v/>
      </c>
      <c r="AO46" s="29" t="str">
        <f t="shared" si="35"/>
        <v/>
      </c>
      <c r="AP46" s="29" t="str">
        <f t="shared" si="35"/>
        <v/>
      </c>
      <c r="AQ46" s="29" t="str">
        <f t="shared" si="35"/>
        <v/>
      </c>
      <c r="AR46" s="29" t="str">
        <f t="shared" si="35"/>
        <v/>
      </c>
      <c r="AS46" s="29" t="str">
        <f t="shared" si="35"/>
        <v/>
      </c>
      <c r="AT46" s="29" t="str">
        <f t="shared" si="35"/>
        <v/>
      </c>
      <c r="AU46" s="29" t="str">
        <f t="shared" si="35"/>
        <v/>
      </c>
      <c r="AV46" s="29" t="str">
        <f t="shared" si="35"/>
        <v/>
      </c>
      <c r="AW46" s="29" t="str">
        <f t="shared" si="35"/>
        <v/>
      </c>
      <c r="AX46" s="29" t="str">
        <f t="shared" si="35"/>
        <v/>
      </c>
      <c r="AY46" s="29" t="str">
        <f t="shared" si="35"/>
        <v/>
      </c>
      <c r="AZ46" s="29" t="str">
        <f t="shared" si="35"/>
        <v/>
      </c>
      <c r="BA46" s="29" t="str">
        <f t="shared" si="35"/>
        <v/>
      </c>
      <c r="BB46" s="29" t="str">
        <f t="shared" si="36"/>
        <v/>
      </c>
      <c r="BC46" s="29" t="str">
        <f t="shared" si="36"/>
        <v/>
      </c>
      <c r="BD46" s="29" t="str">
        <f t="shared" si="36"/>
        <v/>
      </c>
      <c r="BE46" s="29" t="str">
        <f t="shared" si="36"/>
        <v/>
      </c>
      <c r="BF46" s="29" t="str">
        <f t="shared" si="36"/>
        <v/>
      </c>
      <c r="BG46" s="29" t="str">
        <f t="shared" si="36"/>
        <v/>
      </c>
      <c r="BH46" s="29" t="str">
        <f t="shared" si="36"/>
        <v/>
      </c>
      <c r="BI46" s="29" t="str">
        <f t="shared" si="36"/>
        <v/>
      </c>
      <c r="BJ46" s="29" t="str">
        <f t="shared" si="36"/>
        <v/>
      </c>
      <c r="BK46" s="29" t="str">
        <f t="shared" si="36"/>
        <v/>
      </c>
      <c r="BL46" s="29" t="str">
        <f t="shared" si="36"/>
        <v/>
      </c>
      <c r="BM46" s="29" t="str">
        <f t="shared" si="33"/>
        <v/>
      </c>
      <c r="BN46" s="29" t="str">
        <f t="shared" si="33"/>
        <v/>
      </c>
      <c r="BO46" s="29" t="str">
        <f t="shared" si="33"/>
        <v/>
      </c>
      <c r="BP46" s="29" t="str">
        <f t="shared" si="33"/>
        <v/>
      </c>
      <c r="BQ46" s="29" t="str">
        <f t="shared" si="33"/>
        <v/>
      </c>
      <c r="BR46" s="29" t="str">
        <f t="shared" si="33"/>
        <v/>
      </c>
      <c r="BS46" s="29" t="str">
        <f t="shared" si="33"/>
        <v/>
      </c>
      <c r="BT46" s="29" t="str">
        <f t="shared" si="33"/>
        <v/>
      </c>
      <c r="BU46" s="29" t="str">
        <f t="shared" si="33"/>
        <v/>
      </c>
      <c r="BV46" s="29" t="str">
        <f t="shared" si="33"/>
        <v/>
      </c>
      <c r="BW46" s="29" t="str">
        <f t="shared" si="33"/>
        <v/>
      </c>
      <c r="BX46" s="29" t="str">
        <f t="shared" si="33"/>
        <v/>
      </c>
      <c r="BY46" s="29" t="str">
        <f t="shared" si="33"/>
        <v/>
      </c>
      <c r="BZ46" s="29" t="str">
        <f t="shared" si="33"/>
        <v/>
      </c>
      <c r="CA46" s="29" t="str">
        <f t="shared" si="33"/>
        <v/>
      </c>
      <c r="CB46" s="29" t="str">
        <f t="shared" si="33"/>
        <v/>
      </c>
      <c r="CC46" s="29" t="str">
        <f t="shared" si="33"/>
        <v/>
      </c>
      <c r="CD46" s="29" t="str">
        <f t="shared" si="33"/>
        <v/>
      </c>
      <c r="CE46" s="29" t="str">
        <f t="shared" si="33"/>
        <v/>
      </c>
      <c r="CF46" s="29" t="str">
        <f t="shared" si="33"/>
        <v/>
      </c>
      <c r="CG46" s="29" t="str">
        <f t="shared" si="33"/>
        <v/>
      </c>
      <c r="CH46" s="29" t="str">
        <f t="shared" si="33"/>
        <v/>
      </c>
      <c r="CI46" s="29" t="str">
        <f t="shared" si="33"/>
        <v/>
      </c>
      <c r="CJ46" s="29" t="str">
        <f t="shared" si="33"/>
        <v/>
      </c>
      <c r="CK46" s="29" t="str">
        <f t="shared" si="33"/>
        <v/>
      </c>
      <c r="CL46" s="29" t="str">
        <f t="shared" si="33"/>
        <v/>
      </c>
      <c r="CM46" s="29" t="str">
        <f t="shared" si="33"/>
        <v/>
      </c>
      <c r="CN46" s="29" t="str">
        <f t="shared" si="33"/>
        <v/>
      </c>
      <c r="CO46" s="29" t="str">
        <f t="shared" si="33"/>
        <v/>
      </c>
      <c r="CP46" s="29" t="str">
        <f t="shared" si="33"/>
        <v/>
      </c>
      <c r="CQ46" s="29" t="str">
        <f t="shared" si="33"/>
        <v/>
      </c>
      <c r="CR46" s="29" t="str">
        <f t="shared" si="33"/>
        <v/>
      </c>
      <c r="CS46" s="29" t="str">
        <f t="shared" si="33"/>
        <v/>
      </c>
      <c r="CT46" s="29" t="str">
        <f t="shared" si="33"/>
        <v/>
      </c>
      <c r="CU46" s="29" t="str">
        <f t="shared" si="33"/>
        <v/>
      </c>
      <c r="CV46" s="29" t="str">
        <f t="shared" si="33"/>
        <v/>
      </c>
      <c r="CW46" s="29" t="str">
        <f t="shared" ref="CW46:DL61" si="38">IF(AND(CW$9&gt;=$D46,CW$9&lt;=$E46),1,"")</f>
        <v/>
      </c>
      <c r="CX46" s="29" t="str">
        <f t="shared" si="32"/>
        <v/>
      </c>
      <c r="CY46" s="29" t="str">
        <f t="shared" si="32"/>
        <v/>
      </c>
      <c r="CZ46" s="29" t="str">
        <f t="shared" si="32"/>
        <v/>
      </c>
      <c r="DA46" s="29" t="str">
        <f t="shared" si="32"/>
        <v/>
      </c>
      <c r="DB46" s="29" t="str">
        <f t="shared" si="32"/>
        <v/>
      </c>
      <c r="DC46" s="29" t="str">
        <f t="shared" si="32"/>
        <v/>
      </c>
      <c r="DD46" s="29" t="str">
        <f t="shared" si="32"/>
        <v/>
      </c>
      <c r="DE46" s="29" t="str">
        <f t="shared" si="32"/>
        <v/>
      </c>
      <c r="DF46" s="29" t="str">
        <f t="shared" si="32"/>
        <v/>
      </c>
      <c r="DG46" s="29" t="str">
        <f t="shared" si="32"/>
        <v/>
      </c>
      <c r="DH46" s="29" t="str">
        <f t="shared" si="32"/>
        <v/>
      </c>
      <c r="DI46" s="29" t="str">
        <f t="shared" si="32"/>
        <v/>
      </c>
      <c r="DJ46" s="29" t="str">
        <f t="shared" si="32"/>
        <v/>
      </c>
      <c r="DK46" s="29" t="str">
        <f t="shared" si="32"/>
        <v/>
      </c>
      <c r="DL46" s="29" t="str">
        <f t="shared" si="32"/>
        <v/>
      </c>
      <c r="DM46" s="29" t="str">
        <f t="shared" si="32"/>
        <v/>
      </c>
      <c r="DN46" s="29" t="str">
        <f t="shared" si="32"/>
        <v/>
      </c>
      <c r="DO46" s="29" t="str">
        <f t="shared" si="32"/>
        <v/>
      </c>
      <c r="DP46" s="29" t="str">
        <f t="shared" si="32"/>
        <v/>
      </c>
      <c r="DQ46" s="29" t="str">
        <f t="shared" si="32"/>
        <v/>
      </c>
      <c r="DR46" s="29" t="str">
        <f t="shared" si="32"/>
        <v/>
      </c>
      <c r="DS46" s="29" t="str">
        <f t="shared" si="32"/>
        <v/>
      </c>
      <c r="DT46" s="29" t="str">
        <f t="shared" si="32"/>
        <v/>
      </c>
      <c r="DU46" s="29" t="str">
        <f t="shared" si="32"/>
        <v/>
      </c>
      <c r="DV46" s="29" t="str">
        <f t="shared" si="30"/>
        <v/>
      </c>
      <c r="DW46" s="29" t="str">
        <f t="shared" si="30"/>
        <v/>
      </c>
      <c r="DX46" s="29" t="str">
        <f t="shared" si="30"/>
        <v/>
      </c>
      <c r="DY46" s="29" t="str">
        <f t="shared" si="30"/>
        <v/>
      </c>
      <c r="DZ46" s="29" t="str">
        <f t="shared" si="30"/>
        <v/>
      </c>
      <c r="EA46" s="29" t="str">
        <f t="shared" si="30"/>
        <v/>
      </c>
      <c r="EB46" s="29" t="str">
        <f t="shared" si="30"/>
        <v/>
      </c>
      <c r="EC46" s="29" t="str">
        <f t="shared" si="30"/>
        <v/>
      </c>
      <c r="ED46" s="29" t="str">
        <f t="shared" si="30"/>
        <v/>
      </c>
      <c r="EE46" s="29" t="str">
        <f t="shared" si="30"/>
        <v/>
      </c>
      <c r="EF46" s="29" t="str">
        <f t="shared" si="30"/>
        <v/>
      </c>
      <c r="EG46" s="29" t="str">
        <f t="shared" si="30"/>
        <v/>
      </c>
      <c r="EH46" s="29" t="str">
        <f t="shared" si="30"/>
        <v/>
      </c>
      <c r="EI46" s="29" t="str">
        <f t="shared" si="30"/>
        <v/>
      </c>
      <c r="EJ46" s="29" t="str">
        <f t="shared" si="30"/>
        <v/>
      </c>
      <c r="EK46" s="29" t="str">
        <f t="shared" si="30"/>
        <v/>
      </c>
      <c r="EL46" s="29" t="str">
        <f t="shared" si="30"/>
        <v/>
      </c>
      <c r="EM46" s="29" t="str">
        <f t="shared" si="30"/>
        <v/>
      </c>
      <c r="EN46" s="29" t="str">
        <f t="shared" si="37"/>
        <v/>
      </c>
      <c r="EO46" s="29" t="str">
        <f t="shared" si="37"/>
        <v/>
      </c>
      <c r="EP46" s="29" t="str">
        <f t="shared" si="37"/>
        <v/>
      </c>
      <c r="EQ46" s="29" t="str">
        <f t="shared" si="37"/>
        <v/>
      </c>
      <c r="ER46" s="29" t="str">
        <f t="shared" si="37"/>
        <v/>
      </c>
      <c r="ES46" s="29" t="str">
        <f t="shared" si="37"/>
        <v/>
      </c>
      <c r="ET46" s="29" t="str">
        <f t="shared" si="37"/>
        <v/>
      </c>
    </row>
    <row r="47" spans="1:150" x14ac:dyDescent="0.2">
      <c r="A47" s="103" t="str">
        <f>TEXT('M&amp;V Tasks'!A48,"#")</f>
        <v>2</v>
      </c>
      <c r="B47" s="104" t="str">
        <f>TEXT('M&amp;V Tasks'!B48,"#")</f>
        <v>Collate hourly energy use</v>
      </c>
      <c r="C47" s="103">
        <f>'M&amp;V Tasks'!I48</f>
        <v>0</v>
      </c>
      <c r="D47" s="27"/>
      <c r="E47" s="27"/>
      <c r="F47" s="29" t="str">
        <f t="shared" si="29"/>
        <v/>
      </c>
      <c r="G47" s="29" t="str">
        <f t="shared" si="29"/>
        <v/>
      </c>
      <c r="H47" s="29" t="str">
        <f t="shared" si="29"/>
        <v/>
      </c>
      <c r="I47" s="29" t="str">
        <f t="shared" si="29"/>
        <v/>
      </c>
      <c r="J47" s="29" t="str">
        <f t="shared" si="29"/>
        <v/>
      </c>
      <c r="K47" s="29" t="str">
        <f t="shared" si="29"/>
        <v/>
      </c>
      <c r="L47" s="29" t="str">
        <f t="shared" si="29"/>
        <v/>
      </c>
      <c r="M47" s="29" t="str">
        <f t="shared" si="29"/>
        <v/>
      </c>
      <c r="N47" s="29" t="str">
        <f t="shared" si="29"/>
        <v/>
      </c>
      <c r="O47" s="29" t="str">
        <f t="shared" si="29"/>
        <v/>
      </c>
      <c r="P47" s="29" t="str">
        <f t="shared" si="29"/>
        <v/>
      </c>
      <c r="Q47" s="29" t="str">
        <f t="shared" si="29"/>
        <v/>
      </c>
      <c r="R47" s="29" t="str">
        <f t="shared" si="29"/>
        <v/>
      </c>
      <c r="S47" s="29" t="str">
        <f t="shared" si="29"/>
        <v/>
      </c>
      <c r="T47" s="29" t="str">
        <f t="shared" si="29"/>
        <v/>
      </c>
      <c r="U47" s="29" t="str">
        <f t="shared" si="29"/>
        <v/>
      </c>
      <c r="V47" s="29" t="str">
        <f t="shared" si="34"/>
        <v/>
      </c>
      <c r="W47" s="29" t="str">
        <f t="shared" si="34"/>
        <v/>
      </c>
      <c r="X47" s="29" t="str">
        <f t="shared" si="34"/>
        <v/>
      </c>
      <c r="Y47" s="29" t="str">
        <f t="shared" si="34"/>
        <v/>
      </c>
      <c r="Z47" s="29" t="str">
        <f t="shared" si="34"/>
        <v/>
      </c>
      <c r="AA47" s="29" t="str">
        <f t="shared" si="34"/>
        <v/>
      </c>
      <c r="AB47" s="29" t="str">
        <f t="shared" si="34"/>
        <v/>
      </c>
      <c r="AC47" s="29" t="str">
        <f t="shared" si="34"/>
        <v/>
      </c>
      <c r="AD47" s="29" t="str">
        <f t="shared" si="34"/>
        <v/>
      </c>
      <c r="AE47" s="29" t="str">
        <f t="shared" si="34"/>
        <v/>
      </c>
      <c r="AF47" s="29" t="str">
        <f t="shared" si="34"/>
        <v/>
      </c>
      <c r="AG47" s="29" t="str">
        <f t="shared" si="34"/>
        <v/>
      </c>
      <c r="AH47" s="29" t="str">
        <f t="shared" si="34"/>
        <v/>
      </c>
      <c r="AI47" s="29" t="str">
        <f t="shared" si="34"/>
        <v/>
      </c>
      <c r="AJ47" s="29" t="str">
        <f t="shared" si="34"/>
        <v/>
      </c>
      <c r="AK47" s="29" t="str">
        <f t="shared" si="34"/>
        <v/>
      </c>
      <c r="AL47" s="29" t="str">
        <f t="shared" si="35"/>
        <v/>
      </c>
      <c r="AM47" s="29" t="str">
        <f t="shared" si="35"/>
        <v/>
      </c>
      <c r="AN47" s="29" t="str">
        <f t="shared" si="35"/>
        <v/>
      </c>
      <c r="AO47" s="29" t="str">
        <f t="shared" si="35"/>
        <v/>
      </c>
      <c r="AP47" s="29" t="str">
        <f t="shared" si="35"/>
        <v/>
      </c>
      <c r="AQ47" s="29" t="str">
        <f t="shared" si="35"/>
        <v/>
      </c>
      <c r="AR47" s="29" t="str">
        <f t="shared" si="35"/>
        <v/>
      </c>
      <c r="AS47" s="29" t="str">
        <f t="shared" si="35"/>
        <v/>
      </c>
      <c r="AT47" s="29" t="str">
        <f t="shared" si="35"/>
        <v/>
      </c>
      <c r="AU47" s="29" t="str">
        <f t="shared" si="35"/>
        <v/>
      </c>
      <c r="AV47" s="29" t="str">
        <f t="shared" si="35"/>
        <v/>
      </c>
      <c r="AW47" s="29" t="str">
        <f t="shared" si="35"/>
        <v/>
      </c>
      <c r="AX47" s="29" t="str">
        <f t="shared" si="35"/>
        <v/>
      </c>
      <c r="AY47" s="29" t="str">
        <f t="shared" si="35"/>
        <v/>
      </c>
      <c r="AZ47" s="29" t="str">
        <f t="shared" si="35"/>
        <v/>
      </c>
      <c r="BA47" s="29" t="str">
        <f t="shared" si="35"/>
        <v/>
      </c>
      <c r="BB47" s="29" t="str">
        <f t="shared" si="36"/>
        <v/>
      </c>
      <c r="BC47" s="29" t="str">
        <f t="shared" si="36"/>
        <v/>
      </c>
      <c r="BD47" s="29" t="str">
        <f t="shared" si="36"/>
        <v/>
      </c>
      <c r="BE47" s="29" t="str">
        <f t="shared" si="36"/>
        <v/>
      </c>
      <c r="BF47" s="29" t="str">
        <f t="shared" si="36"/>
        <v/>
      </c>
      <c r="BG47" s="29" t="str">
        <f t="shared" si="36"/>
        <v/>
      </c>
      <c r="BH47" s="29" t="str">
        <f t="shared" si="36"/>
        <v/>
      </c>
      <c r="BI47" s="29" t="str">
        <f t="shared" si="36"/>
        <v/>
      </c>
      <c r="BJ47" s="29" t="str">
        <f t="shared" si="36"/>
        <v/>
      </c>
      <c r="BK47" s="29" t="str">
        <f t="shared" si="36"/>
        <v/>
      </c>
      <c r="BL47" s="29" t="str">
        <f t="shared" si="36"/>
        <v/>
      </c>
      <c r="BM47" s="29" t="str">
        <f t="shared" si="33"/>
        <v/>
      </c>
      <c r="BN47" s="29" t="str">
        <f t="shared" si="33"/>
        <v/>
      </c>
      <c r="BO47" s="29" t="str">
        <f t="shared" si="33"/>
        <v/>
      </c>
      <c r="BP47" s="29" t="str">
        <f t="shared" si="33"/>
        <v/>
      </c>
      <c r="BQ47" s="29" t="str">
        <f t="shared" si="33"/>
        <v/>
      </c>
      <c r="BR47" s="29" t="str">
        <f t="shared" si="33"/>
        <v/>
      </c>
      <c r="BS47" s="29" t="str">
        <f t="shared" si="33"/>
        <v/>
      </c>
      <c r="BT47" s="29" t="str">
        <f t="shared" si="33"/>
        <v/>
      </c>
      <c r="BU47" s="29" t="str">
        <f t="shared" si="33"/>
        <v/>
      </c>
      <c r="BV47" s="29" t="str">
        <f t="shared" si="33"/>
        <v/>
      </c>
      <c r="BW47" s="29" t="str">
        <f t="shared" si="33"/>
        <v/>
      </c>
      <c r="BX47" s="29" t="str">
        <f t="shared" si="33"/>
        <v/>
      </c>
      <c r="BY47" s="29" t="str">
        <f t="shared" si="33"/>
        <v/>
      </c>
      <c r="BZ47" s="29" t="str">
        <f t="shared" si="33"/>
        <v/>
      </c>
      <c r="CA47" s="29" t="str">
        <f t="shared" si="33"/>
        <v/>
      </c>
      <c r="CB47" s="29" t="str">
        <f t="shared" si="33"/>
        <v/>
      </c>
      <c r="CC47" s="29" t="str">
        <f t="shared" si="33"/>
        <v/>
      </c>
      <c r="CD47" s="29" t="str">
        <f t="shared" si="33"/>
        <v/>
      </c>
      <c r="CE47" s="29" t="str">
        <f t="shared" si="33"/>
        <v/>
      </c>
      <c r="CF47" s="29" t="str">
        <f t="shared" si="33"/>
        <v/>
      </c>
      <c r="CG47" s="29" t="str">
        <f t="shared" si="33"/>
        <v/>
      </c>
      <c r="CH47" s="29" t="str">
        <f t="shared" si="33"/>
        <v/>
      </c>
      <c r="CI47" s="29" t="str">
        <f t="shared" si="33"/>
        <v/>
      </c>
      <c r="CJ47" s="29" t="str">
        <f t="shared" si="33"/>
        <v/>
      </c>
      <c r="CK47" s="29" t="str">
        <f t="shared" si="33"/>
        <v/>
      </c>
      <c r="CL47" s="29" t="str">
        <f t="shared" si="33"/>
        <v/>
      </c>
      <c r="CM47" s="29" t="str">
        <f t="shared" si="33"/>
        <v/>
      </c>
      <c r="CN47" s="29" t="str">
        <f t="shared" si="33"/>
        <v/>
      </c>
      <c r="CO47" s="29" t="str">
        <f t="shared" si="33"/>
        <v/>
      </c>
      <c r="CP47" s="29" t="str">
        <f t="shared" si="33"/>
        <v/>
      </c>
      <c r="CQ47" s="29" t="str">
        <f t="shared" si="33"/>
        <v/>
      </c>
      <c r="CR47" s="29" t="str">
        <f t="shared" si="33"/>
        <v/>
      </c>
      <c r="CS47" s="29" t="str">
        <f t="shared" si="33"/>
        <v/>
      </c>
      <c r="CT47" s="29" t="str">
        <f t="shared" si="33"/>
        <v/>
      </c>
      <c r="CU47" s="29" t="str">
        <f t="shared" si="33"/>
        <v/>
      </c>
      <c r="CV47" s="29" t="str">
        <f t="shared" si="33"/>
        <v/>
      </c>
      <c r="CW47" s="29" t="str">
        <f t="shared" si="38"/>
        <v/>
      </c>
      <c r="CX47" s="29" t="str">
        <f t="shared" si="32"/>
        <v/>
      </c>
      <c r="CY47" s="29" t="str">
        <f t="shared" si="32"/>
        <v/>
      </c>
      <c r="CZ47" s="29" t="str">
        <f t="shared" si="32"/>
        <v/>
      </c>
      <c r="DA47" s="29" t="str">
        <f t="shared" si="32"/>
        <v/>
      </c>
      <c r="DB47" s="29" t="str">
        <f t="shared" si="32"/>
        <v/>
      </c>
      <c r="DC47" s="29" t="str">
        <f t="shared" si="32"/>
        <v/>
      </c>
      <c r="DD47" s="29" t="str">
        <f t="shared" si="32"/>
        <v/>
      </c>
      <c r="DE47" s="29" t="str">
        <f t="shared" si="32"/>
        <v/>
      </c>
      <c r="DF47" s="29" t="str">
        <f t="shared" si="32"/>
        <v/>
      </c>
      <c r="DG47" s="29" t="str">
        <f t="shared" si="32"/>
        <v/>
      </c>
      <c r="DH47" s="29" t="str">
        <f t="shared" si="32"/>
        <v/>
      </c>
      <c r="DI47" s="29" t="str">
        <f t="shared" si="32"/>
        <v/>
      </c>
      <c r="DJ47" s="29" t="str">
        <f t="shared" si="32"/>
        <v/>
      </c>
      <c r="DK47" s="29" t="str">
        <f t="shared" si="32"/>
        <v/>
      </c>
      <c r="DL47" s="29" t="str">
        <f t="shared" si="32"/>
        <v/>
      </c>
      <c r="DM47" s="29" t="str">
        <f t="shared" si="32"/>
        <v/>
      </c>
      <c r="DN47" s="29" t="str">
        <f t="shared" si="32"/>
        <v/>
      </c>
      <c r="DO47" s="29" t="str">
        <f t="shared" si="32"/>
        <v/>
      </c>
      <c r="DP47" s="29" t="str">
        <f t="shared" si="32"/>
        <v/>
      </c>
      <c r="DQ47" s="29" t="str">
        <f t="shared" si="32"/>
        <v/>
      </c>
      <c r="DR47" s="29" t="str">
        <f t="shared" si="32"/>
        <v/>
      </c>
      <c r="DS47" s="29" t="str">
        <f t="shared" si="32"/>
        <v/>
      </c>
      <c r="DT47" s="29" t="str">
        <f t="shared" si="32"/>
        <v/>
      </c>
      <c r="DU47" s="29" t="str">
        <f t="shared" si="32"/>
        <v/>
      </c>
      <c r="DV47" s="29" t="str">
        <f t="shared" si="30"/>
        <v/>
      </c>
      <c r="DW47" s="29" t="str">
        <f t="shared" si="30"/>
        <v/>
      </c>
      <c r="DX47" s="29" t="str">
        <f t="shared" si="30"/>
        <v/>
      </c>
      <c r="DY47" s="29" t="str">
        <f t="shared" si="30"/>
        <v/>
      </c>
      <c r="DZ47" s="29" t="str">
        <f t="shared" si="30"/>
        <v/>
      </c>
      <c r="EA47" s="29" t="str">
        <f t="shared" si="30"/>
        <v/>
      </c>
      <c r="EB47" s="29" t="str">
        <f t="shared" si="30"/>
        <v/>
      </c>
      <c r="EC47" s="29" t="str">
        <f t="shared" si="30"/>
        <v/>
      </c>
      <c r="ED47" s="29" t="str">
        <f t="shared" si="30"/>
        <v/>
      </c>
      <c r="EE47" s="29" t="str">
        <f t="shared" si="30"/>
        <v/>
      </c>
      <c r="EF47" s="29" t="str">
        <f t="shared" si="30"/>
        <v/>
      </c>
      <c r="EG47" s="29" t="str">
        <f t="shared" si="30"/>
        <v/>
      </c>
      <c r="EH47" s="29" t="str">
        <f t="shared" si="30"/>
        <v/>
      </c>
      <c r="EI47" s="29" t="str">
        <f t="shared" si="30"/>
        <v/>
      </c>
      <c r="EJ47" s="29" t="str">
        <f t="shared" si="30"/>
        <v/>
      </c>
      <c r="EK47" s="29" t="str">
        <f t="shared" si="30"/>
        <v/>
      </c>
      <c r="EL47" s="29" t="str">
        <f t="shared" si="30"/>
        <v/>
      </c>
      <c r="EM47" s="29" t="str">
        <f t="shared" si="30"/>
        <v/>
      </c>
      <c r="EN47" s="29" t="str">
        <f t="shared" si="37"/>
        <v/>
      </c>
      <c r="EO47" s="29" t="str">
        <f t="shared" si="37"/>
        <v/>
      </c>
      <c r="EP47" s="29" t="str">
        <f t="shared" si="37"/>
        <v/>
      </c>
      <c r="EQ47" s="29" t="str">
        <f t="shared" si="37"/>
        <v/>
      </c>
      <c r="ER47" s="29" t="str">
        <f t="shared" si="37"/>
        <v/>
      </c>
      <c r="ES47" s="29" t="str">
        <f t="shared" si="37"/>
        <v/>
      </c>
      <c r="ET47" s="29" t="str">
        <f t="shared" si="37"/>
        <v/>
      </c>
    </row>
    <row r="48" spans="1:150" x14ac:dyDescent="0.2">
      <c r="A48" s="103" t="str">
        <f>TEXT('M&amp;V Tasks'!A49,"#")</f>
        <v>3</v>
      </c>
      <c r="B48" s="104" t="str">
        <f>TEXT('M&amp;V Tasks'!B49,"#")</f>
        <v>Analyse production data vs energy to develop relationship curves (before vs after)</v>
      </c>
      <c r="C48" s="103">
        <f>'M&amp;V Tasks'!I49</f>
        <v>0</v>
      </c>
      <c r="D48" s="27"/>
      <c r="E48" s="27"/>
      <c r="F48" s="29" t="str">
        <f t="shared" si="29"/>
        <v/>
      </c>
      <c r="G48" s="29" t="str">
        <f t="shared" si="29"/>
        <v/>
      </c>
      <c r="H48" s="29" t="str">
        <f t="shared" si="29"/>
        <v/>
      </c>
      <c r="I48" s="29" t="str">
        <f t="shared" si="29"/>
        <v/>
      </c>
      <c r="J48" s="29" t="str">
        <f t="shared" si="29"/>
        <v/>
      </c>
      <c r="K48" s="29" t="str">
        <f t="shared" si="29"/>
        <v/>
      </c>
      <c r="L48" s="29" t="str">
        <f t="shared" si="29"/>
        <v/>
      </c>
      <c r="M48" s="29" t="str">
        <f t="shared" si="29"/>
        <v/>
      </c>
      <c r="N48" s="29" t="str">
        <f t="shared" si="29"/>
        <v/>
      </c>
      <c r="O48" s="29" t="str">
        <f t="shared" si="29"/>
        <v/>
      </c>
      <c r="P48" s="29" t="str">
        <f t="shared" si="29"/>
        <v/>
      </c>
      <c r="Q48" s="29" t="str">
        <f t="shared" si="29"/>
        <v/>
      </c>
      <c r="R48" s="29" t="str">
        <f t="shared" si="29"/>
        <v/>
      </c>
      <c r="S48" s="29" t="str">
        <f t="shared" si="29"/>
        <v/>
      </c>
      <c r="T48" s="29" t="str">
        <f t="shared" si="29"/>
        <v/>
      </c>
      <c r="U48" s="29" t="str">
        <f t="shared" si="29"/>
        <v/>
      </c>
      <c r="V48" s="29" t="str">
        <f t="shared" si="34"/>
        <v/>
      </c>
      <c r="W48" s="29" t="str">
        <f t="shared" si="34"/>
        <v/>
      </c>
      <c r="X48" s="29" t="str">
        <f t="shared" si="34"/>
        <v/>
      </c>
      <c r="Y48" s="29" t="str">
        <f t="shared" si="34"/>
        <v/>
      </c>
      <c r="Z48" s="29" t="str">
        <f t="shared" si="34"/>
        <v/>
      </c>
      <c r="AA48" s="29" t="str">
        <f t="shared" si="34"/>
        <v/>
      </c>
      <c r="AB48" s="29" t="str">
        <f t="shared" si="34"/>
        <v/>
      </c>
      <c r="AC48" s="29" t="str">
        <f t="shared" si="34"/>
        <v/>
      </c>
      <c r="AD48" s="29" t="str">
        <f t="shared" si="34"/>
        <v/>
      </c>
      <c r="AE48" s="29" t="str">
        <f t="shared" si="34"/>
        <v/>
      </c>
      <c r="AF48" s="29" t="str">
        <f t="shared" si="34"/>
        <v/>
      </c>
      <c r="AG48" s="29" t="str">
        <f t="shared" si="34"/>
        <v/>
      </c>
      <c r="AH48" s="29" t="str">
        <f t="shared" si="34"/>
        <v/>
      </c>
      <c r="AI48" s="29" t="str">
        <f t="shared" si="34"/>
        <v/>
      </c>
      <c r="AJ48" s="29" t="str">
        <f t="shared" si="34"/>
        <v/>
      </c>
      <c r="AK48" s="29" t="str">
        <f t="shared" si="34"/>
        <v/>
      </c>
      <c r="AL48" s="29" t="str">
        <f t="shared" si="35"/>
        <v/>
      </c>
      <c r="AM48" s="29" t="str">
        <f t="shared" si="35"/>
        <v/>
      </c>
      <c r="AN48" s="29" t="str">
        <f t="shared" si="35"/>
        <v/>
      </c>
      <c r="AO48" s="29" t="str">
        <f t="shared" si="35"/>
        <v/>
      </c>
      <c r="AP48" s="29" t="str">
        <f t="shared" si="35"/>
        <v/>
      </c>
      <c r="AQ48" s="29" t="str">
        <f t="shared" si="35"/>
        <v/>
      </c>
      <c r="AR48" s="29" t="str">
        <f t="shared" si="35"/>
        <v/>
      </c>
      <c r="AS48" s="29" t="str">
        <f t="shared" si="35"/>
        <v/>
      </c>
      <c r="AT48" s="29" t="str">
        <f t="shared" si="35"/>
        <v/>
      </c>
      <c r="AU48" s="29" t="str">
        <f t="shared" si="35"/>
        <v/>
      </c>
      <c r="AV48" s="29" t="str">
        <f t="shared" si="35"/>
        <v/>
      </c>
      <c r="AW48" s="29" t="str">
        <f t="shared" si="35"/>
        <v/>
      </c>
      <c r="AX48" s="29" t="str">
        <f t="shared" si="35"/>
        <v/>
      </c>
      <c r="AY48" s="29" t="str">
        <f t="shared" si="35"/>
        <v/>
      </c>
      <c r="AZ48" s="29" t="str">
        <f t="shared" si="35"/>
        <v/>
      </c>
      <c r="BA48" s="29" t="str">
        <f t="shared" si="35"/>
        <v/>
      </c>
      <c r="BB48" s="29" t="str">
        <f t="shared" si="36"/>
        <v/>
      </c>
      <c r="BC48" s="29" t="str">
        <f t="shared" si="36"/>
        <v/>
      </c>
      <c r="BD48" s="29" t="str">
        <f t="shared" si="36"/>
        <v/>
      </c>
      <c r="BE48" s="29" t="str">
        <f t="shared" si="36"/>
        <v/>
      </c>
      <c r="BF48" s="29" t="str">
        <f t="shared" si="36"/>
        <v/>
      </c>
      <c r="BG48" s="29" t="str">
        <f t="shared" si="36"/>
        <v/>
      </c>
      <c r="BH48" s="29" t="str">
        <f t="shared" si="36"/>
        <v/>
      </c>
      <c r="BI48" s="29" t="str">
        <f t="shared" si="36"/>
        <v/>
      </c>
      <c r="BJ48" s="29" t="str">
        <f t="shared" si="36"/>
        <v/>
      </c>
      <c r="BK48" s="29" t="str">
        <f t="shared" si="36"/>
        <v/>
      </c>
      <c r="BL48" s="29" t="str">
        <f t="shared" si="36"/>
        <v/>
      </c>
      <c r="BM48" s="29" t="str">
        <f t="shared" si="33"/>
        <v/>
      </c>
      <c r="BN48" s="29" t="str">
        <f t="shared" si="33"/>
        <v/>
      </c>
      <c r="BO48" s="29" t="str">
        <f t="shared" si="33"/>
        <v/>
      </c>
      <c r="BP48" s="29" t="str">
        <f t="shared" si="33"/>
        <v/>
      </c>
      <c r="BQ48" s="29" t="str">
        <f t="shared" si="33"/>
        <v/>
      </c>
      <c r="BR48" s="29" t="str">
        <f t="shared" si="33"/>
        <v/>
      </c>
      <c r="BS48" s="29" t="str">
        <f t="shared" si="33"/>
        <v/>
      </c>
      <c r="BT48" s="29" t="str">
        <f t="shared" si="33"/>
        <v/>
      </c>
      <c r="BU48" s="29" t="str">
        <f t="shared" si="33"/>
        <v/>
      </c>
      <c r="BV48" s="29" t="str">
        <f t="shared" si="33"/>
        <v/>
      </c>
      <c r="BW48" s="29" t="str">
        <f t="shared" si="33"/>
        <v/>
      </c>
      <c r="BX48" s="29" t="str">
        <f t="shared" si="33"/>
        <v/>
      </c>
      <c r="BY48" s="29" t="str">
        <f t="shared" si="33"/>
        <v/>
      </c>
      <c r="BZ48" s="29" t="str">
        <f t="shared" si="33"/>
        <v/>
      </c>
      <c r="CA48" s="29" t="str">
        <f t="shared" si="33"/>
        <v/>
      </c>
      <c r="CB48" s="29" t="str">
        <f t="shared" si="33"/>
        <v/>
      </c>
      <c r="CC48" s="29" t="str">
        <f t="shared" si="33"/>
        <v/>
      </c>
      <c r="CD48" s="29" t="str">
        <f t="shared" si="33"/>
        <v/>
      </c>
      <c r="CE48" s="29" t="str">
        <f t="shared" si="33"/>
        <v/>
      </c>
      <c r="CF48" s="29" t="str">
        <f t="shared" si="33"/>
        <v/>
      </c>
      <c r="CG48" s="29" t="str">
        <f t="shared" si="33"/>
        <v/>
      </c>
      <c r="CH48" s="29" t="str">
        <f t="shared" si="33"/>
        <v/>
      </c>
      <c r="CI48" s="29" t="str">
        <f t="shared" si="33"/>
        <v/>
      </c>
      <c r="CJ48" s="29" t="str">
        <f t="shared" si="33"/>
        <v/>
      </c>
      <c r="CK48" s="29" t="str">
        <f t="shared" si="33"/>
        <v/>
      </c>
      <c r="CL48" s="29" t="str">
        <f t="shared" si="33"/>
        <v/>
      </c>
      <c r="CM48" s="29" t="str">
        <f t="shared" si="33"/>
        <v/>
      </c>
      <c r="CN48" s="29" t="str">
        <f t="shared" si="33"/>
        <v/>
      </c>
      <c r="CO48" s="29" t="str">
        <f t="shared" si="33"/>
        <v/>
      </c>
      <c r="CP48" s="29" t="str">
        <f t="shared" si="33"/>
        <v/>
      </c>
      <c r="CQ48" s="29" t="str">
        <f t="shared" si="33"/>
        <v/>
      </c>
      <c r="CR48" s="29" t="str">
        <f t="shared" si="33"/>
        <v/>
      </c>
      <c r="CS48" s="29" t="str">
        <f t="shared" si="33"/>
        <v/>
      </c>
      <c r="CT48" s="29" t="str">
        <f t="shared" si="33"/>
        <v/>
      </c>
      <c r="CU48" s="29" t="str">
        <f t="shared" si="33"/>
        <v/>
      </c>
      <c r="CV48" s="29" t="str">
        <f t="shared" si="33"/>
        <v/>
      </c>
      <c r="CW48" s="29" t="str">
        <f t="shared" si="38"/>
        <v/>
      </c>
      <c r="CX48" s="29" t="str">
        <f t="shared" si="32"/>
        <v/>
      </c>
      <c r="CY48" s="29" t="str">
        <f t="shared" si="32"/>
        <v/>
      </c>
      <c r="CZ48" s="29" t="str">
        <f t="shared" si="32"/>
        <v/>
      </c>
      <c r="DA48" s="29" t="str">
        <f t="shared" si="32"/>
        <v/>
      </c>
      <c r="DB48" s="29" t="str">
        <f t="shared" si="32"/>
        <v/>
      </c>
      <c r="DC48" s="29" t="str">
        <f t="shared" si="32"/>
        <v/>
      </c>
      <c r="DD48" s="29" t="str">
        <f t="shared" si="32"/>
        <v/>
      </c>
      <c r="DE48" s="29" t="str">
        <f t="shared" si="32"/>
        <v/>
      </c>
      <c r="DF48" s="29" t="str">
        <f t="shared" si="32"/>
        <v/>
      </c>
      <c r="DG48" s="29" t="str">
        <f t="shared" si="32"/>
        <v/>
      </c>
      <c r="DH48" s="29" t="str">
        <f t="shared" si="32"/>
        <v/>
      </c>
      <c r="DI48" s="29" t="str">
        <f t="shared" si="32"/>
        <v/>
      </c>
      <c r="DJ48" s="29" t="str">
        <f t="shared" si="32"/>
        <v/>
      </c>
      <c r="DK48" s="29" t="str">
        <f t="shared" si="32"/>
        <v/>
      </c>
      <c r="DL48" s="29" t="str">
        <f t="shared" si="32"/>
        <v/>
      </c>
      <c r="DM48" s="29" t="str">
        <f t="shared" si="32"/>
        <v/>
      </c>
      <c r="DN48" s="29" t="str">
        <f t="shared" si="32"/>
        <v/>
      </c>
      <c r="DO48" s="29" t="str">
        <f t="shared" si="32"/>
        <v/>
      </c>
      <c r="DP48" s="29" t="str">
        <f t="shared" si="32"/>
        <v/>
      </c>
      <c r="DQ48" s="29" t="str">
        <f t="shared" si="32"/>
        <v/>
      </c>
      <c r="DR48" s="29" t="str">
        <f t="shared" si="32"/>
        <v/>
      </c>
      <c r="DS48" s="29" t="str">
        <f t="shared" si="32"/>
        <v/>
      </c>
      <c r="DT48" s="29" t="str">
        <f t="shared" si="32"/>
        <v/>
      </c>
      <c r="DU48" s="29" t="str">
        <f t="shared" si="32"/>
        <v/>
      </c>
      <c r="DV48" s="29" t="str">
        <f t="shared" si="30"/>
        <v/>
      </c>
      <c r="DW48" s="29" t="str">
        <f t="shared" si="30"/>
        <v/>
      </c>
      <c r="DX48" s="29" t="str">
        <f t="shared" si="30"/>
        <v/>
      </c>
      <c r="DY48" s="29" t="str">
        <f t="shared" si="30"/>
        <v/>
      </c>
      <c r="DZ48" s="29" t="str">
        <f t="shared" si="30"/>
        <v/>
      </c>
      <c r="EA48" s="29" t="str">
        <f t="shared" si="30"/>
        <v/>
      </c>
      <c r="EB48" s="29" t="str">
        <f t="shared" si="30"/>
        <v/>
      </c>
      <c r="EC48" s="29" t="str">
        <f t="shared" si="30"/>
        <v/>
      </c>
      <c r="ED48" s="29" t="str">
        <f t="shared" si="30"/>
        <v/>
      </c>
      <c r="EE48" s="29" t="str">
        <f t="shared" si="30"/>
        <v/>
      </c>
      <c r="EF48" s="29" t="str">
        <f t="shared" si="30"/>
        <v/>
      </c>
      <c r="EG48" s="29" t="str">
        <f t="shared" si="30"/>
        <v/>
      </c>
      <c r="EH48" s="29" t="str">
        <f t="shared" si="30"/>
        <v/>
      </c>
      <c r="EI48" s="29" t="str">
        <f t="shared" si="30"/>
        <v/>
      </c>
      <c r="EJ48" s="29" t="str">
        <f t="shared" si="30"/>
        <v/>
      </c>
      <c r="EK48" s="29" t="str">
        <f t="shared" si="30"/>
        <v/>
      </c>
      <c r="EL48" s="29" t="str">
        <f t="shared" si="30"/>
        <v/>
      </c>
      <c r="EM48" s="29" t="str">
        <f t="shared" si="30"/>
        <v/>
      </c>
      <c r="EN48" s="29" t="str">
        <f t="shared" si="37"/>
        <v/>
      </c>
      <c r="EO48" s="29" t="str">
        <f t="shared" si="37"/>
        <v/>
      </c>
      <c r="EP48" s="29" t="str">
        <f t="shared" si="37"/>
        <v/>
      </c>
      <c r="EQ48" s="29" t="str">
        <f t="shared" si="37"/>
        <v/>
      </c>
      <c r="ER48" s="29" t="str">
        <f t="shared" si="37"/>
        <v/>
      </c>
      <c r="ES48" s="29" t="str">
        <f t="shared" si="37"/>
        <v/>
      </c>
      <c r="ET48" s="29" t="str">
        <f t="shared" si="37"/>
        <v/>
      </c>
    </row>
    <row r="49" spans="1:150" x14ac:dyDescent="0.2">
      <c r="A49" s="103" t="str">
        <f>TEXT('M&amp;V Tasks'!A50,"#")</f>
        <v>4</v>
      </c>
      <c r="B49" s="104" t="str">
        <f>TEXT('M&amp;V Tasks'!B50,"#")</f>
        <v>Use the curve to adjust the baseline figures for the production observed during the post-retrofit period</v>
      </c>
      <c r="C49" s="103">
        <f>'M&amp;V Tasks'!I50</f>
        <v>0</v>
      </c>
      <c r="D49" s="27"/>
      <c r="E49" s="27"/>
      <c r="F49" s="29" t="str">
        <f t="shared" si="29"/>
        <v/>
      </c>
      <c r="G49" s="29" t="str">
        <f t="shared" si="29"/>
        <v/>
      </c>
      <c r="H49" s="29" t="str">
        <f t="shared" si="29"/>
        <v/>
      </c>
      <c r="I49" s="29" t="str">
        <f t="shared" si="29"/>
        <v/>
      </c>
      <c r="J49" s="29" t="str">
        <f t="shared" si="29"/>
        <v/>
      </c>
      <c r="K49" s="29" t="str">
        <f t="shared" si="29"/>
        <v/>
      </c>
      <c r="L49" s="29" t="str">
        <f t="shared" si="29"/>
        <v/>
      </c>
      <c r="M49" s="29" t="str">
        <f t="shared" si="29"/>
        <v/>
      </c>
      <c r="N49" s="29" t="str">
        <f t="shared" si="29"/>
        <v/>
      </c>
      <c r="O49" s="29" t="str">
        <f t="shared" si="29"/>
        <v/>
      </c>
      <c r="P49" s="29" t="str">
        <f t="shared" si="29"/>
        <v/>
      </c>
      <c r="Q49" s="29" t="str">
        <f t="shared" si="29"/>
        <v/>
      </c>
      <c r="R49" s="29" t="str">
        <f t="shared" si="29"/>
        <v/>
      </c>
      <c r="S49" s="29" t="str">
        <f t="shared" si="29"/>
        <v/>
      </c>
      <c r="T49" s="29" t="str">
        <f t="shared" si="29"/>
        <v/>
      </c>
      <c r="U49" s="29" t="str">
        <f t="shared" si="29"/>
        <v/>
      </c>
      <c r="V49" s="29" t="str">
        <f t="shared" si="34"/>
        <v/>
      </c>
      <c r="W49" s="29" t="str">
        <f t="shared" si="34"/>
        <v/>
      </c>
      <c r="X49" s="29" t="str">
        <f t="shared" si="34"/>
        <v/>
      </c>
      <c r="Y49" s="29" t="str">
        <f t="shared" si="34"/>
        <v/>
      </c>
      <c r="Z49" s="29" t="str">
        <f t="shared" si="34"/>
        <v/>
      </c>
      <c r="AA49" s="29" t="str">
        <f t="shared" si="34"/>
        <v/>
      </c>
      <c r="AB49" s="29" t="str">
        <f t="shared" si="34"/>
        <v/>
      </c>
      <c r="AC49" s="29" t="str">
        <f t="shared" si="34"/>
        <v/>
      </c>
      <c r="AD49" s="29" t="str">
        <f t="shared" si="34"/>
        <v/>
      </c>
      <c r="AE49" s="29" t="str">
        <f t="shared" si="34"/>
        <v/>
      </c>
      <c r="AF49" s="29" t="str">
        <f t="shared" si="34"/>
        <v/>
      </c>
      <c r="AG49" s="29" t="str">
        <f t="shared" si="34"/>
        <v/>
      </c>
      <c r="AH49" s="29" t="str">
        <f t="shared" si="34"/>
        <v/>
      </c>
      <c r="AI49" s="29" t="str">
        <f t="shared" si="34"/>
        <v/>
      </c>
      <c r="AJ49" s="29" t="str">
        <f t="shared" si="34"/>
        <v/>
      </c>
      <c r="AK49" s="29" t="str">
        <f t="shared" si="34"/>
        <v/>
      </c>
      <c r="AL49" s="29" t="str">
        <f t="shared" si="35"/>
        <v/>
      </c>
      <c r="AM49" s="29" t="str">
        <f t="shared" si="35"/>
        <v/>
      </c>
      <c r="AN49" s="29" t="str">
        <f t="shared" si="35"/>
        <v/>
      </c>
      <c r="AO49" s="29" t="str">
        <f t="shared" si="35"/>
        <v/>
      </c>
      <c r="AP49" s="29" t="str">
        <f t="shared" si="35"/>
        <v/>
      </c>
      <c r="AQ49" s="29" t="str">
        <f t="shared" si="35"/>
        <v/>
      </c>
      <c r="AR49" s="29" t="str">
        <f t="shared" si="35"/>
        <v/>
      </c>
      <c r="AS49" s="29" t="str">
        <f t="shared" si="35"/>
        <v/>
      </c>
      <c r="AT49" s="29" t="str">
        <f t="shared" si="35"/>
        <v/>
      </c>
      <c r="AU49" s="29" t="str">
        <f t="shared" si="35"/>
        <v/>
      </c>
      <c r="AV49" s="29" t="str">
        <f t="shared" si="35"/>
        <v/>
      </c>
      <c r="AW49" s="29" t="str">
        <f t="shared" si="35"/>
        <v/>
      </c>
      <c r="AX49" s="29" t="str">
        <f t="shared" si="35"/>
        <v/>
      </c>
      <c r="AY49" s="29" t="str">
        <f t="shared" si="35"/>
        <v/>
      </c>
      <c r="AZ49" s="29" t="str">
        <f t="shared" si="35"/>
        <v/>
      </c>
      <c r="BA49" s="29" t="str">
        <f t="shared" si="35"/>
        <v/>
      </c>
      <c r="BB49" s="29" t="str">
        <f t="shared" si="36"/>
        <v/>
      </c>
      <c r="BC49" s="29" t="str">
        <f t="shared" si="36"/>
        <v/>
      </c>
      <c r="BD49" s="29" t="str">
        <f t="shared" si="36"/>
        <v/>
      </c>
      <c r="BE49" s="29" t="str">
        <f t="shared" si="36"/>
        <v/>
      </c>
      <c r="BF49" s="29" t="str">
        <f t="shared" si="36"/>
        <v/>
      </c>
      <c r="BG49" s="29" t="str">
        <f t="shared" si="36"/>
        <v/>
      </c>
      <c r="BH49" s="29" t="str">
        <f t="shared" si="36"/>
        <v/>
      </c>
      <c r="BI49" s="29" t="str">
        <f t="shared" si="36"/>
        <v/>
      </c>
      <c r="BJ49" s="29" t="str">
        <f t="shared" si="36"/>
        <v/>
      </c>
      <c r="BK49" s="29" t="str">
        <f t="shared" si="36"/>
        <v/>
      </c>
      <c r="BL49" s="29" t="str">
        <f t="shared" si="36"/>
        <v/>
      </c>
      <c r="BM49" s="29" t="str">
        <f t="shared" si="33"/>
        <v/>
      </c>
      <c r="BN49" s="29" t="str">
        <f t="shared" si="33"/>
        <v/>
      </c>
      <c r="BO49" s="29" t="str">
        <f t="shared" si="33"/>
        <v/>
      </c>
      <c r="BP49" s="29" t="str">
        <f t="shared" ref="BP49:CE49" si="39">IF(AND(BP$9&gt;=$D49,BP$9&lt;=$E49),1,"")</f>
        <v/>
      </c>
      <c r="BQ49" s="29" t="str">
        <f t="shared" si="39"/>
        <v/>
      </c>
      <c r="BR49" s="29" t="str">
        <f t="shared" si="39"/>
        <v/>
      </c>
      <c r="BS49" s="29" t="str">
        <f t="shared" si="39"/>
        <v/>
      </c>
      <c r="BT49" s="29" t="str">
        <f t="shared" si="39"/>
        <v/>
      </c>
      <c r="BU49" s="29" t="str">
        <f t="shared" si="39"/>
        <v/>
      </c>
      <c r="BV49" s="29" t="str">
        <f t="shared" si="39"/>
        <v/>
      </c>
      <c r="BW49" s="29" t="str">
        <f t="shared" si="39"/>
        <v/>
      </c>
      <c r="BX49" s="29" t="str">
        <f t="shared" si="39"/>
        <v/>
      </c>
      <c r="BY49" s="29" t="str">
        <f t="shared" si="39"/>
        <v/>
      </c>
      <c r="BZ49" s="29" t="str">
        <f t="shared" si="39"/>
        <v/>
      </c>
      <c r="CA49" s="29" t="str">
        <f t="shared" si="39"/>
        <v/>
      </c>
      <c r="CB49" s="29" t="str">
        <f t="shared" si="39"/>
        <v/>
      </c>
      <c r="CC49" s="29" t="str">
        <f t="shared" si="39"/>
        <v/>
      </c>
      <c r="CD49" s="29" t="str">
        <f t="shared" si="39"/>
        <v/>
      </c>
      <c r="CE49" s="29" t="str">
        <f t="shared" si="39"/>
        <v/>
      </c>
      <c r="CF49" s="29" t="str">
        <f t="shared" ref="CF49:CU49" si="40">IF(AND(CF$9&gt;=$D49,CF$9&lt;=$E49),1,"")</f>
        <v/>
      </c>
      <c r="CG49" s="29" t="str">
        <f t="shared" si="40"/>
        <v/>
      </c>
      <c r="CH49" s="29" t="str">
        <f t="shared" si="40"/>
        <v/>
      </c>
      <c r="CI49" s="29" t="str">
        <f t="shared" si="40"/>
        <v/>
      </c>
      <c r="CJ49" s="29" t="str">
        <f t="shared" si="40"/>
        <v/>
      </c>
      <c r="CK49" s="29" t="str">
        <f t="shared" si="40"/>
        <v/>
      </c>
      <c r="CL49" s="29" t="str">
        <f t="shared" si="40"/>
        <v/>
      </c>
      <c r="CM49" s="29" t="str">
        <f t="shared" si="40"/>
        <v/>
      </c>
      <c r="CN49" s="29" t="str">
        <f t="shared" si="40"/>
        <v/>
      </c>
      <c r="CO49" s="29" t="str">
        <f t="shared" si="40"/>
        <v/>
      </c>
      <c r="CP49" s="29" t="str">
        <f t="shared" si="40"/>
        <v/>
      </c>
      <c r="CQ49" s="29" t="str">
        <f t="shared" si="40"/>
        <v/>
      </c>
      <c r="CR49" s="29" t="str">
        <f t="shared" si="40"/>
        <v/>
      </c>
      <c r="CS49" s="29" t="str">
        <f t="shared" si="40"/>
        <v/>
      </c>
      <c r="CT49" s="29" t="str">
        <f t="shared" si="40"/>
        <v/>
      </c>
      <c r="CU49" s="29" t="str">
        <f t="shared" si="40"/>
        <v/>
      </c>
      <c r="CV49" s="29" t="str">
        <f t="shared" ref="BM49:CV57" si="41">IF(AND(CV$9&gt;=$D49,CV$9&lt;=$E49),1,"")</f>
        <v/>
      </c>
      <c r="CW49" s="29" t="str">
        <f t="shared" si="38"/>
        <v/>
      </c>
      <c r="CX49" s="29" t="str">
        <f t="shared" si="32"/>
        <v/>
      </c>
      <c r="CY49" s="29" t="str">
        <f t="shared" si="32"/>
        <v/>
      </c>
      <c r="CZ49" s="29" t="str">
        <f t="shared" si="32"/>
        <v/>
      </c>
      <c r="DA49" s="29" t="str">
        <f t="shared" si="32"/>
        <v/>
      </c>
      <c r="DB49" s="29" t="str">
        <f t="shared" si="32"/>
        <v/>
      </c>
      <c r="DC49" s="29" t="str">
        <f t="shared" si="32"/>
        <v/>
      </c>
      <c r="DD49" s="29" t="str">
        <f t="shared" si="32"/>
        <v/>
      </c>
      <c r="DE49" s="29" t="str">
        <f t="shared" si="32"/>
        <v/>
      </c>
      <c r="DF49" s="29" t="str">
        <f t="shared" si="32"/>
        <v/>
      </c>
      <c r="DG49" s="29" t="str">
        <f t="shared" si="32"/>
        <v/>
      </c>
      <c r="DH49" s="29" t="str">
        <f t="shared" si="32"/>
        <v/>
      </c>
      <c r="DI49" s="29" t="str">
        <f t="shared" si="32"/>
        <v/>
      </c>
      <c r="DJ49" s="29" t="str">
        <f t="shared" si="32"/>
        <v/>
      </c>
      <c r="DK49" s="29" t="str">
        <f t="shared" si="32"/>
        <v/>
      </c>
      <c r="DL49" s="29" t="str">
        <f t="shared" si="32"/>
        <v/>
      </c>
      <c r="DM49" s="29" t="str">
        <f t="shared" si="32"/>
        <v/>
      </c>
      <c r="DN49" s="29" t="str">
        <f t="shared" si="32"/>
        <v/>
      </c>
      <c r="DO49" s="29" t="str">
        <f t="shared" si="32"/>
        <v/>
      </c>
      <c r="DP49" s="29" t="str">
        <f t="shared" si="32"/>
        <v/>
      </c>
      <c r="DQ49" s="29" t="str">
        <f t="shared" si="32"/>
        <v/>
      </c>
      <c r="DR49" s="29" t="str">
        <f t="shared" si="32"/>
        <v/>
      </c>
      <c r="DS49" s="29" t="str">
        <f t="shared" si="32"/>
        <v/>
      </c>
      <c r="DT49" s="29" t="str">
        <f t="shared" si="32"/>
        <v/>
      </c>
      <c r="DU49" s="29" t="str">
        <f t="shared" si="32"/>
        <v/>
      </c>
      <c r="DV49" s="29" t="str">
        <f t="shared" si="30"/>
        <v/>
      </c>
      <c r="DW49" s="29" t="str">
        <f t="shared" si="30"/>
        <v/>
      </c>
      <c r="DX49" s="29" t="str">
        <f t="shared" si="30"/>
        <v/>
      </c>
      <c r="DY49" s="29" t="str">
        <f t="shared" si="30"/>
        <v/>
      </c>
      <c r="DZ49" s="29" t="str">
        <f t="shared" si="30"/>
        <v/>
      </c>
      <c r="EA49" s="29" t="str">
        <f t="shared" si="30"/>
        <v/>
      </c>
      <c r="EB49" s="29" t="str">
        <f t="shared" si="30"/>
        <v/>
      </c>
      <c r="EC49" s="29" t="str">
        <f t="shared" si="30"/>
        <v/>
      </c>
      <c r="ED49" s="29" t="str">
        <f t="shared" si="30"/>
        <v/>
      </c>
      <c r="EE49" s="29" t="str">
        <f t="shared" si="30"/>
        <v/>
      </c>
      <c r="EF49" s="29" t="str">
        <f t="shared" si="30"/>
        <v/>
      </c>
      <c r="EG49" s="29" t="str">
        <f t="shared" si="30"/>
        <v/>
      </c>
      <c r="EH49" s="29" t="str">
        <f t="shared" si="30"/>
        <v/>
      </c>
      <c r="EI49" s="29" t="str">
        <f t="shared" si="30"/>
        <v/>
      </c>
      <c r="EJ49" s="29" t="str">
        <f t="shared" si="30"/>
        <v/>
      </c>
      <c r="EK49" s="29" t="str">
        <f t="shared" si="30"/>
        <v/>
      </c>
      <c r="EL49" s="29" t="str">
        <f t="shared" si="30"/>
        <v/>
      </c>
      <c r="EM49" s="29" t="str">
        <f t="shared" si="30"/>
        <v/>
      </c>
      <c r="EN49" s="29" t="str">
        <f t="shared" si="37"/>
        <v/>
      </c>
      <c r="EO49" s="29" t="str">
        <f t="shared" si="37"/>
        <v/>
      </c>
      <c r="EP49" s="29" t="str">
        <f t="shared" si="37"/>
        <v/>
      </c>
      <c r="EQ49" s="29" t="str">
        <f t="shared" si="37"/>
        <v/>
      </c>
      <c r="ER49" s="29" t="str">
        <f t="shared" si="37"/>
        <v/>
      </c>
      <c r="ES49" s="29" t="str">
        <f t="shared" si="37"/>
        <v/>
      </c>
      <c r="ET49" s="29" t="str">
        <f t="shared" si="37"/>
        <v/>
      </c>
    </row>
    <row r="50" spans="1:150" x14ac:dyDescent="0.2">
      <c r="A50" s="103" t="str">
        <f>TEXT('M&amp;V Tasks'!A51,"#")</f>
        <v>5</v>
      </c>
      <c r="B50" s="104" t="str">
        <f>TEXT('M&amp;V Tasks'!B51,"#")</f>
        <v>Calculate savings by subtracting actual from adjusted baseline</v>
      </c>
      <c r="C50" s="103">
        <f>'M&amp;V Tasks'!I51</f>
        <v>0</v>
      </c>
      <c r="D50" s="27"/>
      <c r="E50" s="27"/>
      <c r="F50" s="29" t="str">
        <f t="shared" si="29"/>
        <v/>
      </c>
      <c r="G50" s="29" t="str">
        <f t="shared" si="29"/>
        <v/>
      </c>
      <c r="H50" s="29" t="str">
        <f t="shared" si="29"/>
        <v/>
      </c>
      <c r="I50" s="29" t="str">
        <f t="shared" si="29"/>
        <v/>
      </c>
      <c r="J50" s="29" t="str">
        <f t="shared" si="29"/>
        <v/>
      </c>
      <c r="K50" s="29" t="str">
        <f t="shared" si="29"/>
        <v/>
      </c>
      <c r="L50" s="29" t="str">
        <f t="shared" si="29"/>
        <v/>
      </c>
      <c r="M50" s="29" t="str">
        <f t="shared" si="29"/>
        <v/>
      </c>
      <c r="N50" s="29" t="str">
        <f t="shared" si="29"/>
        <v/>
      </c>
      <c r="O50" s="29" t="str">
        <f t="shared" si="29"/>
        <v/>
      </c>
      <c r="P50" s="29" t="str">
        <f t="shared" si="29"/>
        <v/>
      </c>
      <c r="Q50" s="29" t="str">
        <f t="shared" si="29"/>
        <v/>
      </c>
      <c r="R50" s="29" t="str">
        <f t="shared" si="29"/>
        <v/>
      </c>
      <c r="S50" s="29" t="str">
        <f t="shared" si="29"/>
        <v/>
      </c>
      <c r="T50" s="29" t="str">
        <f t="shared" si="29"/>
        <v/>
      </c>
      <c r="U50" s="29" t="str">
        <f t="shared" si="29"/>
        <v/>
      </c>
      <c r="V50" s="29" t="str">
        <f t="shared" si="34"/>
        <v/>
      </c>
      <c r="W50" s="29" t="str">
        <f t="shared" si="34"/>
        <v/>
      </c>
      <c r="X50" s="29" t="str">
        <f t="shared" si="34"/>
        <v/>
      </c>
      <c r="Y50" s="29" t="str">
        <f t="shared" si="34"/>
        <v/>
      </c>
      <c r="Z50" s="29" t="str">
        <f t="shared" si="34"/>
        <v/>
      </c>
      <c r="AA50" s="29" t="str">
        <f t="shared" si="34"/>
        <v/>
      </c>
      <c r="AB50" s="29" t="str">
        <f t="shared" si="34"/>
        <v/>
      </c>
      <c r="AC50" s="29" t="str">
        <f t="shared" si="34"/>
        <v/>
      </c>
      <c r="AD50" s="29" t="str">
        <f t="shared" si="34"/>
        <v/>
      </c>
      <c r="AE50" s="29" t="str">
        <f t="shared" si="34"/>
        <v/>
      </c>
      <c r="AF50" s="29" t="str">
        <f t="shared" si="34"/>
        <v/>
      </c>
      <c r="AG50" s="29" t="str">
        <f t="shared" si="34"/>
        <v/>
      </c>
      <c r="AH50" s="29" t="str">
        <f t="shared" si="34"/>
        <v/>
      </c>
      <c r="AI50" s="29" t="str">
        <f t="shared" si="34"/>
        <v/>
      </c>
      <c r="AJ50" s="29" t="str">
        <f t="shared" si="34"/>
        <v/>
      </c>
      <c r="AK50" s="29" t="str">
        <f t="shared" si="34"/>
        <v/>
      </c>
      <c r="AL50" s="29" t="str">
        <f t="shared" si="35"/>
        <v/>
      </c>
      <c r="AM50" s="29" t="str">
        <f t="shared" si="35"/>
        <v/>
      </c>
      <c r="AN50" s="29" t="str">
        <f t="shared" si="35"/>
        <v/>
      </c>
      <c r="AO50" s="29" t="str">
        <f t="shared" si="35"/>
        <v/>
      </c>
      <c r="AP50" s="29" t="str">
        <f t="shared" si="35"/>
        <v/>
      </c>
      <c r="AQ50" s="29" t="str">
        <f t="shared" si="35"/>
        <v/>
      </c>
      <c r="AR50" s="29" t="str">
        <f t="shared" si="35"/>
        <v/>
      </c>
      <c r="AS50" s="29" t="str">
        <f t="shared" si="35"/>
        <v/>
      </c>
      <c r="AT50" s="29" t="str">
        <f t="shared" si="35"/>
        <v/>
      </c>
      <c r="AU50" s="29" t="str">
        <f t="shared" si="35"/>
        <v/>
      </c>
      <c r="AV50" s="29" t="str">
        <f t="shared" si="35"/>
        <v/>
      </c>
      <c r="AW50" s="29" t="str">
        <f t="shared" si="35"/>
        <v/>
      </c>
      <c r="AX50" s="29" t="str">
        <f t="shared" si="35"/>
        <v/>
      </c>
      <c r="AY50" s="29" t="str">
        <f t="shared" si="35"/>
        <v/>
      </c>
      <c r="AZ50" s="29" t="str">
        <f t="shared" si="35"/>
        <v/>
      </c>
      <c r="BA50" s="29" t="str">
        <f t="shared" si="35"/>
        <v/>
      </c>
      <c r="BB50" s="29" t="str">
        <f t="shared" si="36"/>
        <v/>
      </c>
      <c r="BC50" s="29" t="str">
        <f t="shared" si="36"/>
        <v/>
      </c>
      <c r="BD50" s="29" t="str">
        <f t="shared" si="36"/>
        <v/>
      </c>
      <c r="BE50" s="29" t="str">
        <f t="shared" si="36"/>
        <v/>
      </c>
      <c r="BF50" s="29" t="str">
        <f t="shared" si="36"/>
        <v/>
      </c>
      <c r="BG50" s="29" t="str">
        <f t="shared" si="36"/>
        <v/>
      </c>
      <c r="BH50" s="29" t="str">
        <f t="shared" si="36"/>
        <v/>
      </c>
      <c r="BI50" s="29" t="str">
        <f t="shared" si="36"/>
        <v/>
      </c>
      <c r="BJ50" s="29" t="str">
        <f t="shared" si="36"/>
        <v/>
      </c>
      <c r="BK50" s="29" t="str">
        <f t="shared" si="36"/>
        <v/>
      </c>
      <c r="BL50" s="29" t="str">
        <f t="shared" si="36"/>
        <v/>
      </c>
      <c r="BM50" s="29" t="str">
        <f t="shared" si="41"/>
        <v/>
      </c>
      <c r="BN50" s="29" t="str">
        <f t="shared" si="41"/>
        <v/>
      </c>
      <c r="BO50" s="29" t="str">
        <f t="shared" si="41"/>
        <v/>
      </c>
      <c r="BP50" s="29" t="str">
        <f t="shared" si="41"/>
        <v/>
      </c>
      <c r="BQ50" s="29" t="str">
        <f t="shared" si="41"/>
        <v/>
      </c>
      <c r="BR50" s="29" t="str">
        <f t="shared" si="41"/>
        <v/>
      </c>
      <c r="BS50" s="29" t="str">
        <f t="shared" si="41"/>
        <v/>
      </c>
      <c r="BT50" s="29" t="str">
        <f t="shared" si="41"/>
        <v/>
      </c>
      <c r="BU50" s="29" t="str">
        <f t="shared" si="41"/>
        <v/>
      </c>
      <c r="BV50" s="29" t="str">
        <f t="shared" si="41"/>
        <v/>
      </c>
      <c r="BW50" s="29" t="str">
        <f t="shared" si="41"/>
        <v/>
      </c>
      <c r="BX50" s="29" t="str">
        <f t="shared" si="41"/>
        <v/>
      </c>
      <c r="BY50" s="29" t="str">
        <f t="shared" si="41"/>
        <v/>
      </c>
      <c r="BZ50" s="29" t="str">
        <f t="shared" si="41"/>
        <v/>
      </c>
      <c r="CA50" s="29" t="str">
        <f t="shared" si="41"/>
        <v/>
      </c>
      <c r="CB50" s="29" t="str">
        <f t="shared" si="41"/>
        <v/>
      </c>
      <c r="CC50" s="29" t="str">
        <f t="shared" si="41"/>
        <v/>
      </c>
      <c r="CD50" s="29" t="str">
        <f t="shared" si="41"/>
        <v/>
      </c>
      <c r="CE50" s="29" t="str">
        <f t="shared" si="41"/>
        <v/>
      </c>
      <c r="CF50" s="29" t="str">
        <f t="shared" si="41"/>
        <v/>
      </c>
      <c r="CG50" s="29" t="str">
        <f t="shared" si="41"/>
        <v/>
      </c>
      <c r="CH50" s="29" t="str">
        <f t="shared" si="41"/>
        <v/>
      </c>
      <c r="CI50" s="29" t="str">
        <f t="shared" si="41"/>
        <v/>
      </c>
      <c r="CJ50" s="29" t="str">
        <f t="shared" si="41"/>
        <v/>
      </c>
      <c r="CK50" s="29" t="str">
        <f t="shared" si="41"/>
        <v/>
      </c>
      <c r="CL50" s="29" t="str">
        <f t="shared" si="41"/>
        <v/>
      </c>
      <c r="CM50" s="29" t="str">
        <f t="shared" si="41"/>
        <v/>
      </c>
      <c r="CN50" s="29" t="str">
        <f t="shared" si="41"/>
        <v/>
      </c>
      <c r="CO50" s="29" t="str">
        <f t="shared" si="41"/>
        <v/>
      </c>
      <c r="CP50" s="29" t="str">
        <f t="shared" si="41"/>
        <v/>
      </c>
      <c r="CQ50" s="29" t="str">
        <f t="shared" si="41"/>
        <v/>
      </c>
      <c r="CR50" s="29" t="str">
        <f t="shared" si="41"/>
        <v/>
      </c>
      <c r="CS50" s="29" t="str">
        <f t="shared" si="41"/>
        <v/>
      </c>
      <c r="CT50" s="29" t="str">
        <f t="shared" si="41"/>
        <v/>
      </c>
      <c r="CU50" s="29" t="str">
        <f t="shared" si="41"/>
        <v/>
      </c>
      <c r="CV50" s="29" t="str">
        <f t="shared" si="41"/>
        <v/>
      </c>
      <c r="CW50" s="29" t="str">
        <f t="shared" si="38"/>
        <v/>
      </c>
      <c r="CX50" s="29" t="str">
        <f t="shared" si="32"/>
        <v/>
      </c>
      <c r="CY50" s="29" t="str">
        <f t="shared" si="32"/>
        <v/>
      </c>
      <c r="CZ50" s="29" t="str">
        <f t="shared" si="32"/>
        <v/>
      </c>
      <c r="DA50" s="29" t="str">
        <f t="shared" si="32"/>
        <v/>
      </c>
      <c r="DB50" s="29" t="str">
        <f t="shared" si="32"/>
        <v/>
      </c>
      <c r="DC50" s="29" t="str">
        <f t="shared" si="32"/>
        <v/>
      </c>
      <c r="DD50" s="29" t="str">
        <f t="shared" si="32"/>
        <v/>
      </c>
      <c r="DE50" s="29" t="str">
        <f t="shared" si="32"/>
        <v/>
      </c>
      <c r="DF50" s="29" t="str">
        <f t="shared" si="32"/>
        <v/>
      </c>
      <c r="DG50" s="29" t="str">
        <f t="shared" si="32"/>
        <v/>
      </c>
      <c r="DH50" s="29" t="str">
        <f t="shared" si="32"/>
        <v/>
      </c>
      <c r="DI50" s="29" t="str">
        <f t="shared" si="32"/>
        <v/>
      </c>
      <c r="DJ50" s="29" t="str">
        <f t="shared" si="32"/>
        <v/>
      </c>
      <c r="DK50" s="29" t="str">
        <f t="shared" si="32"/>
        <v/>
      </c>
      <c r="DL50" s="29" t="str">
        <f t="shared" si="32"/>
        <v/>
      </c>
      <c r="DM50" s="29" t="str">
        <f t="shared" si="32"/>
        <v/>
      </c>
      <c r="DN50" s="29" t="str">
        <f t="shared" si="32"/>
        <v/>
      </c>
      <c r="DO50" s="29" t="str">
        <f t="shared" si="32"/>
        <v/>
      </c>
      <c r="DP50" s="29" t="str">
        <f t="shared" si="32"/>
        <v/>
      </c>
      <c r="DQ50" s="29" t="str">
        <f t="shared" si="32"/>
        <v/>
      </c>
      <c r="DR50" s="29" t="str">
        <f t="shared" si="32"/>
        <v/>
      </c>
      <c r="DS50" s="29" t="str">
        <f t="shared" si="32"/>
        <v/>
      </c>
      <c r="DT50" s="29" t="str">
        <f t="shared" si="32"/>
        <v/>
      </c>
      <c r="DU50" s="29" t="str">
        <f t="shared" si="32"/>
        <v/>
      </c>
      <c r="DV50" s="29" t="str">
        <f t="shared" si="30"/>
        <v/>
      </c>
      <c r="DW50" s="29" t="str">
        <f t="shared" si="30"/>
        <v/>
      </c>
      <c r="DX50" s="29" t="str">
        <f t="shared" si="30"/>
        <v/>
      </c>
      <c r="DY50" s="29" t="str">
        <f t="shared" si="30"/>
        <v/>
      </c>
      <c r="DZ50" s="29" t="str">
        <f t="shared" si="30"/>
        <v/>
      </c>
      <c r="EA50" s="29" t="str">
        <f t="shared" si="30"/>
        <v/>
      </c>
      <c r="EB50" s="29" t="str">
        <f t="shared" si="30"/>
        <v/>
      </c>
      <c r="EC50" s="29" t="str">
        <f t="shared" si="30"/>
        <v/>
      </c>
      <c r="ED50" s="29" t="str">
        <f t="shared" si="30"/>
        <v/>
      </c>
      <c r="EE50" s="29" t="str">
        <f t="shared" si="30"/>
        <v/>
      </c>
      <c r="EF50" s="29" t="str">
        <f t="shared" si="30"/>
        <v/>
      </c>
      <c r="EG50" s="29" t="str">
        <f t="shared" si="30"/>
        <v/>
      </c>
      <c r="EH50" s="29" t="str">
        <f t="shared" si="30"/>
        <v/>
      </c>
      <c r="EI50" s="29" t="str">
        <f t="shared" si="30"/>
        <v/>
      </c>
      <c r="EJ50" s="29" t="str">
        <f t="shared" si="30"/>
        <v/>
      </c>
      <c r="EK50" s="29" t="str">
        <f t="shared" si="30"/>
        <v/>
      </c>
      <c r="EL50" s="29" t="str">
        <f t="shared" si="30"/>
        <v/>
      </c>
      <c r="EM50" s="29" t="str">
        <f t="shared" si="30"/>
        <v/>
      </c>
      <c r="EN50" s="29" t="str">
        <f t="shared" si="37"/>
        <v/>
      </c>
      <c r="EO50" s="29" t="str">
        <f t="shared" si="37"/>
        <v/>
      </c>
      <c r="EP50" s="29" t="str">
        <f t="shared" si="37"/>
        <v/>
      </c>
      <c r="EQ50" s="29" t="str">
        <f t="shared" si="37"/>
        <v/>
      </c>
      <c r="ER50" s="29" t="str">
        <f t="shared" si="37"/>
        <v/>
      </c>
      <c r="ES50" s="29" t="str">
        <f t="shared" si="37"/>
        <v/>
      </c>
      <c r="ET50" s="29" t="str">
        <f t="shared" si="37"/>
        <v/>
      </c>
    </row>
    <row r="51" spans="1:150" x14ac:dyDescent="0.2">
      <c r="A51" s="103" t="str">
        <f>TEXT('M&amp;V Tasks'!A52,"#")</f>
        <v>6</v>
      </c>
      <c r="B51" s="104" t="str">
        <f>TEXT('M&amp;V Tasks'!B52,"#")</f>
        <v>Calculate savings uncertainty</v>
      </c>
      <c r="C51" s="103">
        <f>'M&amp;V Tasks'!I52</f>
        <v>0</v>
      </c>
      <c r="D51" s="27"/>
      <c r="E51" s="27"/>
      <c r="F51" s="29" t="str">
        <f t="shared" si="29"/>
        <v/>
      </c>
      <c r="G51" s="29" t="str">
        <f t="shared" si="29"/>
        <v/>
      </c>
      <c r="H51" s="29" t="str">
        <f t="shared" si="29"/>
        <v/>
      </c>
      <c r="I51" s="29" t="str">
        <f t="shared" si="29"/>
        <v/>
      </c>
      <c r="J51" s="29" t="str">
        <f t="shared" si="29"/>
        <v/>
      </c>
      <c r="K51" s="29" t="str">
        <f t="shared" si="29"/>
        <v/>
      </c>
      <c r="L51" s="29" t="str">
        <f t="shared" si="29"/>
        <v/>
      </c>
      <c r="M51" s="29" t="str">
        <f t="shared" si="29"/>
        <v/>
      </c>
      <c r="N51" s="29" t="str">
        <f t="shared" si="29"/>
        <v/>
      </c>
      <c r="O51" s="29" t="str">
        <f t="shared" si="29"/>
        <v/>
      </c>
      <c r="P51" s="29" t="str">
        <f t="shared" si="29"/>
        <v/>
      </c>
      <c r="Q51" s="29" t="str">
        <f t="shared" si="29"/>
        <v/>
      </c>
      <c r="R51" s="29" t="str">
        <f t="shared" si="29"/>
        <v/>
      </c>
      <c r="S51" s="29" t="str">
        <f t="shared" si="29"/>
        <v/>
      </c>
      <c r="T51" s="29" t="str">
        <f t="shared" si="29"/>
        <v/>
      </c>
      <c r="U51" s="29" t="str">
        <f t="shared" si="29"/>
        <v/>
      </c>
      <c r="V51" s="29" t="str">
        <f t="shared" si="34"/>
        <v/>
      </c>
      <c r="W51" s="29" t="str">
        <f t="shared" si="34"/>
        <v/>
      </c>
      <c r="X51" s="29" t="str">
        <f t="shared" si="34"/>
        <v/>
      </c>
      <c r="Y51" s="29" t="str">
        <f t="shared" si="34"/>
        <v/>
      </c>
      <c r="Z51" s="29" t="str">
        <f t="shared" si="34"/>
        <v/>
      </c>
      <c r="AA51" s="29" t="str">
        <f t="shared" si="34"/>
        <v/>
      </c>
      <c r="AB51" s="29" t="str">
        <f t="shared" si="34"/>
        <v/>
      </c>
      <c r="AC51" s="29" t="str">
        <f t="shared" si="34"/>
        <v/>
      </c>
      <c r="AD51" s="29" t="str">
        <f t="shared" si="34"/>
        <v/>
      </c>
      <c r="AE51" s="29" t="str">
        <f t="shared" si="34"/>
        <v/>
      </c>
      <c r="AF51" s="29" t="str">
        <f t="shared" si="34"/>
        <v/>
      </c>
      <c r="AG51" s="29" t="str">
        <f t="shared" si="34"/>
        <v/>
      </c>
      <c r="AH51" s="29" t="str">
        <f t="shared" si="34"/>
        <v/>
      </c>
      <c r="AI51" s="29" t="str">
        <f t="shared" si="34"/>
        <v/>
      </c>
      <c r="AJ51" s="29" t="str">
        <f t="shared" si="34"/>
        <v/>
      </c>
      <c r="AK51" s="29" t="str">
        <f t="shared" si="34"/>
        <v/>
      </c>
      <c r="AL51" s="29" t="str">
        <f t="shared" si="35"/>
        <v/>
      </c>
      <c r="AM51" s="29" t="str">
        <f t="shared" si="35"/>
        <v/>
      </c>
      <c r="AN51" s="29" t="str">
        <f t="shared" si="35"/>
        <v/>
      </c>
      <c r="AO51" s="29" t="str">
        <f t="shared" si="35"/>
        <v/>
      </c>
      <c r="AP51" s="29" t="str">
        <f t="shared" si="35"/>
        <v/>
      </c>
      <c r="AQ51" s="29" t="str">
        <f t="shared" si="35"/>
        <v/>
      </c>
      <c r="AR51" s="29" t="str">
        <f t="shared" si="35"/>
        <v/>
      </c>
      <c r="AS51" s="29" t="str">
        <f t="shared" si="35"/>
        <v/>
      </c>
      <c r="AT51" s="29" t="str">
        <f t="shared" si="35"/>
        <v/>
      </c>
      <c r="AU51" s="29" t="str">
        <f t="shared" si="35"/>
        <v/>
      </c>
      <c r="AV51" s="29" t="str">
        <f t="shared" si="35"/>
        <v/>
      </c>
      <c r="AW51" s="29" t="str">
        <f t="shared" si="35"/>
        <v/>
      </c>
      <c r="AX51" s="29" t="str">
        <f t="shared" si="35"/>
        <v/>
      </c>
      <c r="AY51" s="29" t="str">
        <f t="shared" si="35"/>
        <v/>
      </c>
      <c r="AZ51" s="29" t="str">
        <f t="shared" si="35"/>
        <v/>
      </c>
      <c r="BA51" s="29" t="str">
        <f t="shared" si="35"/>
        <v/>
      </c>
      <c r="BB51" s="29" t="str">
        <f t="shared" si="36"/>
        <v/>
      </c>
      <c r="BC51" s="29" t="str">
        <f t="shared" si="36"/>
        <v/>
      </c>
      <c r="BD51" s="29" t="str">
        <f t="shared" si="36"/>
        <v/>
      </c>
      <c r="BE51" s="29" t="str">
        <f t="shared" si="36"/>
        <v/>
      </c>
      <c r="BF51" s="29" t="str">
        <f t="shared" si="36"/>
        <v/>
      </c>
      <c r="BG51" s="29" t="str">
        <f t="shared" si="36"/>
        <v/>
      </c>
      <c r="BH51" s="29" t="str">
        <f t="shared" si="36"/>
        <v/>
      </c>
      <c r="BI51" s="29" t="str">
        <f t="shared" si="36"/>
        <v/>
      </c>
      <c r="BJ51" s="29" t="str">
        <f t="shared" si="36"/>
        <v/>
      </c>
      <c r="BK51" s="29" t="str">
        <f t="shared" si="36"/>
        <v/>
      </c>
      <c r="BL51" s="29" t="str">
        <f t="shared" si="36"/>
        <v/>
      </c>
      <c r="BM51" s="29" t="str">
        <f t="shared" si="41"/>
        <v/>
      </c>
      <c r="BN51" s="29" t="str">
        <f t="shared" si="41"/>
        <v/>
      </c>
      <c r="BO51" s="29" t="str">
        <f t="shared" si="41"/>
        <v/>
      </c>
      <c r="BP51" s="29" t="str">
        <f t="shared" si="41"/>
        <v/>
      </c>
      <c r="BQ51" s="29" t="str">
        <f t="shared" si="41"/>
        <v/>
      </c>
      <c r="BR51" s="29" t="str">
        <f t="shared" si="41"/>
        <v/>
      </c>
      <c r="BS51" s="29" t="str">
        <f t="shared" si="41"/>
        <v/>
      </c>
      <c r="BT51" s="29" t="str">
        <f t="shared" si="41"/>
        <v/>
      </c>
      <c r="BU51" s="29" t="str">
        <f t="shared" si="41"/>
        <v/>
      </c>
      <c r="BV51" s="29" t="str">
        <f t="shared" si="41"/>
        <v/>
      </c>
      <c r="BW51" s="29" t="str">
        <f t="shared" si="41"/>
        <v/>
      </c>
      <c r="BX51" s="29" t="str">
        <f t="shared" si="41"/>
        <v/>
      </c>
      <c r="BY51" s="29" t="str">
        <f t="shared" si="41"/>
        <v/>
      </c>
      <c r="BZ51" s="29" t="str">
        <f t="shared" si="41"/>
        <v/>
      </c>
      <c r="CA51" s="29" t="str">
        <f t="shared" si="41"/>
        <v/>
      </c>
      <c r="CB51" s="29" t="str">
        <f t="shared" si="41"/>
        <v/>
      </c>
      <c r="CC51" s="29" t="str">
        <f t="shared" si="41"/>
        <v/>
      </c>
      <c r="CD51" s="29" t="str">
        <f t="shared" si="41"/>
        <v/>
      </c>
      <c r="CE51" s="29" t="str">
        <f t="shared" si="41"/>
        <v/>
      </c>
      <c r="CF51" s="29" t="str">
        <f t="shared" si="41"/>
        <v/>
      </c>
      <c r="CG51" s="29" t="str">
        <f t="shared" si="41"/>
        <v/>
      </c>
      <c r="CH51" s="29" t="str">
        <f t="shared" si="41"/>
        <v/>
      </c>
      <c r="CI51" s="29" t="str">
        <f t="shared" si="41"/>
        <v/>
      </c>
      <c r="CJ51" s="29" t="str">
        <f t="shared" si="41"/>
        <v/>
      </c>
      <c r="CK51" s="29" t="str">
        <f t="shared" si="41"/>
        <v/>
      </c>
      <c r="CL51" s="29" t="str">
        <f t="shared" si="41"/>
        <v/>
      </c>
      <c r="CM51" s="29" t="str">
        <f t="shared" si="41"/>
        <v/>
      </c>
      <c r="CN51" s="29" t="str">
        <f t="shared" si="41"/>
        <v/>
      </c>
      <c r="CO51" s="29" t="str">
        <f t="shared" si="41"/>
        <v/>
      </c>
      <c r="CP51" s="29" t="str">
        <f t="shared" si="41"/>
        <v/>
      </c>
      <c r="CQ51" s="29" t="str">
        <f t="shared" si="41"/>
        <v/>
      </c>
      <c r="CR51" s="29" t="str">
        <f t="shared" si="41"/>
        <v/>
      </c>
      <c r="CS51" s="29" t="str">
        <f t="shared" si="41"/>
        <v/>
      </c>
      <c r="CT51" s="29" t="str">
        <f t="shared" si="41"/>
        <v/>
      </c>
      <c r="CU51" s="29" t="str">
        <f t="shared" si="41"/>
        <v/>
      </c>
      <c r="CV51" s="29" t="str">
        <f t="shared" si="41"/>
        <v/>
      </c>
      <c r="CW51" s="29" t="str">
        <f t="shared" si="38"/>
        <v/>
      </c>
      <c r="CX51" s="29" t="str">
        <f t="shared" si="32"/>
        <v/>
      </c>
      <c r="CY51" s="29" t="str">
        <f t="shared" si="32"/>
        <v/>
      </c>
      <c r="CZ51" s="29" t="str">
        <f t="shared" si="32"/>
        <v/>
      </c>
      <c r="DA51" s="29" t="str">
        <f t="shared" si="32"/>
        <v/>
      </c>
      <c r="DB51" s="29" t="str">
        <f t="shared" si="32"/>
        <v/>
      </c>
      <c r="DC51" s="29" t="str">
        <f t="shared" si="32"/>
        <v/>
      </c>
      <c r="DD51" s="29" t="str">
        <f t="shared" si="32"/>
        <v/>
      </c>
      <c r="DE51" s="29" t="str">
        <f t="shared" si="32"/>
        <v/>
      </c>
      <c r="DF51" s="29" t="str">
        <f t="shared" si="32"/>
        <v/>
      </c>
      <c r="DG51" s="29" t="str">
        <f t="shared" si="32"/>
        <v/>
      </c>
      <c r="DH51" s="29" t="str">
        <f t="shared" si="32"/>
        <v/>
      </c>
      <c r="DI51" s="29" t="str">
        <f t="shared" si="32"/>
        <v/>
      </c>
      <c r="DJ51" s="29" t="str">
        <f t="shared" si="32"/>
        <v/>
      </c>
      <c r="DK51" s="29" t="str">
        <f t="shared" si="32"/>
        <v/>
      </c>
      <c r="DL51" s="29" t="str">
        <f t="shared" si="32"/>
        <v/>
      </c>
      <c r="DM51" s="29" t="str">
        <f t="shared" ref="DM51:EB65" si="42">IF(AND(DM$9&gt;=$D51,DM$9&lt;=$E51),1,"")</f>
        <v/>
      </c>
      <c r="DN51" s="29" t="str">
        <f t="shared" si="42"/>
        <v/>
      </c>
      <c r="DO51" s="29" t="str">
        <f t="shared" si="42"/>
        <v/>
      </c>
      <c r="DP51" s="29" t="str">
        <f t="shared" si="42"/>
        <v/>
      </c>
      <c r="DQ51" s="29" t="str">
        <f t="shared" si="42"/>
        <v/>
      </c>
      <c r="DR51" s="29" t="str">
        <f t="shared" si="42"/>
        <v/>
      </c>
      <c r="DS51" s="29" t="str">
        <f t="shared" si="42"/>
        <v/>
      </c>
      <c r="DT51" s="29" t="str">
        <f t="shared" si="42"/>
        <v/>
      </c>
      <c r="DU51" s="29" t="str">
        <f t="shared" si="42"/>
        <v/>
      </c>
      <c r="DV51" s="29" t="str">
        <f t="shared" si="30"/>
        <v/>
      </c>
      <c r="DW51" s="29" t="str">
        <f t="shared" si="30"/>
        <v/>
      </c>
      <c r="DX51" s="29" t="str">
        <f t="shared" si="30"/>
        <v/>
      </c>
      <c r="DY51" s="29" t="str">
        <f t="shared" si="30"/>
        <v/>
      </c>
      <c r="DZ51" s="29" t="str">
        <f t="shared" si="30"/>
        <v/>
      </c>
      <c r="EA51" s="29" t="str">
        <f t="shared" si="30"/>
        <v/>
      </c>
      <c r="EB51" s="29" t="str">
        <f t="shared" si="30"/>
        <v/>
      </c>
      <c r="EC51" s="29" t="str">
        <f t="shared" si="30"/>
        <v/>
      </c>
      <c r="ED51" s="29" t="str">
        <f t="shared" si="30"/>
        <v/>
      </c>
      <c r="EE51" s="29" t="str">
        <f t="shared" si="30"/>
        <v/>
      </c>
      <c r="EF51" s="29" t="str">
        <f t="shared" si="30"/>
        <v/>
      </c>
      <c r="EG51" s="29" t="str">
        <f t="shared" si="30"/>
        <v/>
      </c>
      <c r="EH51" s="29" t="str">
        <f t="shared" si="30"/>
        <v/>
      </c>
      <c r="EI51" s="29" t="str">
        <f t="shared" si="30"/>
        <v/>
      </c>
      <c r="EJ51" s="29" t="str">
        <f t="shared" si="30"/>
        <v/>
      </c>
      <c r="EK51" s="29" t="str">
        <f t="shared" si="30"/>
        <v/>
      </c>
      <c r="EL51" s="29" t="str">
        <f t="shared" si="30"/>
        <v/>
      </c>
      <c r="EM51" s="29" t="str">
        <f t="shared" si="30"/>
        <v/>
      </c>
      <c r="EN51" s="29" t="str">
        <f t="shared" si="37"/>
        <v/>
      </c>
      <c r="EO51" s="29" t="str">
        <f t="shared" si="37"/>
        <v/>
      </c>
      <c r="EP51" s="29" t="str">
        <f t="shared" si="37"/>
        <v/>
      </c>
      <c r="EQ51" s="29" t="str">
        <f t="shared" si="37"/>
        <v/>
      </c>
      <c r="ER51" s="29" t="str">
        <f t="shared" si="37"/>
        <v/>
      </c>
      <c r="ES51" s="29" t="str">
        <f t="shared" si="37"/>
        <v/>
      </c>
      <c r="ET51" s="29" t="str">
        <f t="shared" si="37"/>
        <v/>
      </c>
    </row>
    <row r="52" spans="1:150" x14ac:dyDescent="0.2">
      <c r="A52" s="103" t="str">
        <f>TEXT('M&amp;V Tasks'!A53,"#")</f>
        <v>7</v>
      </c>
      <c r="B52" s="104" t="str">
        <f>TEXT('M&amp;V Tasks'!B53,"#")</f>
        <v>Calculate cost and greenhouse savings</v>
      </c>
      <c r="C52" s="103">
        <f>'M&amp;V Tasks'!I53</f>
        <v>0</v>
      </c>
      <c r="D52" s="27"/>
      <c r="E52" s="27"/>
      <c r="F52" s="29" t="str">
        <f t="shared" si="29"/>
        <v/>
      </c>
      <c r="G52" s="29" t="str">
        <f t="shared" si="29"/>
        <v/>
      </c>
      <c r="H52" s="29" t="str">
        <f t="shared" si="29"/>
        <v/>
      </c>
      <c r="I52" s="29" t="str">
        <f t="shared" si="29"/>
        <v/>
      </c>
      <c r="J52" s="29" t="str">
        <f t="shared" si="29"/>
        <v/>
      </c>
      <c r="K52" s="29" t="str">
        <f t="shared" si="29"/>
        <v/>
      </c>
      <c r="L52" s="29" t="str">
        <f t="shared" si="29"/>
        <v/>
      </c>
      <c r="M52" s="29" t="str">
        <f t="shared" si="29"/>
        <v/>
      </c>
      <c r="N52" s="29" t="str">
        <f t="shared" si="29"/>
        <v/>
      </c>
      <c r="O52" s="29" t="str">
        <f t="shared" si="29"/>
        <v/>
      </c>
      <c r="P52" s="29" t="str">
        <f t="shared" si="29"/>
        <v/>
      </c>
      <c r="Q52" s="29" t="str">
        <f t="shared" si="29"/>
        <v/>
      </c>
      <c r="R52" s="29" t="str">
        <f t="shared" si="29"/>
        <v/>
      </c>
      <c r="S52" s="29" t="str">
        <f t="shared" si="29"/>
        <v/>
      </c>
      <c r="T52" s="29" t="str">
        <f t="shared" si="29"/>
        <v/>
      </c>
      <c r="U52" s="29" t="str">
        <f t="shared" si="29"/>
        <v/>
      </c>
      <c r="V52" s="29" t="str">
        <f t="shared" si="34"/>
        <v/>
      </c>
      <c r="W52" s="29" t="str">
        <f t="shared" si="34"/>
        <v/>
      </c>
      <c r="X52" s="29" t="str">
        <f t="shared" si="34"/>
        <v/>
      </c>
      <c r="Y52" s="29" t="str">
        <f t="shared" si="34"/>
        <v/>
      </c>
      <c r="Z52" s="29" t="str">
        <f t="shared" si="34"/>
        <v/>
      </c>
      <c r="AA52" s="29" t="str">
        <f t="shared" si="34"/>
        <v/>
      </c>
      <c r="AB52" s="29" t="str">
        <f t="shared" si="34"/>
        <v/>
      </c>
      <c r="AC52" s="29" t="str">
        <f t="shared" si="34"/>
        <v/>
      </c>
      <c r="AD52" s="29" t="str">
        <f t="shared" si="34"/>
        <v/>
      </c>
      <c r="AE52" s="29" t="str">
        <f t="shared" si="34"/>
        <v/>
      </c>
      <c r="AF52" s="29" t="str">
        <f t="shared" si="34"/>
        <v/>
      </c>
      <c r="AG52" s="29" t="str">
        <f t="shared" si="34"/>
        <v/>
      </c>
      <c r="AH52" s="29" t="str">
        <f t="shared" si="34"/>
        <v/>
      </c>
      <c r="AI52" s="29" t="str">
        <f t="shared" si="34"/>
        <v/>
      </c>
      <c r="AJ52" s="29" t="str">
        <f t="shared" si="34"/>
        <v/>
      </c>
      <c r="AK52" s="29" t="str">
        <f t="shared" si="34"/>
        <v/>
      </c>
      <c r="AL52" s="29" t="str">
        <f t="shared" si="35"/>
        <v/>
      </c>
      <c r="AM52" s="29" t="str">
        <f t="shared" si="35"/>
        <v/>
      </c>
      <c r="AN52" s="29" t="str">
        <f t="shared" si="35"/>
        <v/>
      </c>
      <c r="AO52" s="29" t="str">
        <f t="shared" si="35"/>
        <v/>
      </c>
      <c r="AP52" s="29" t="str">
        <f t="shared" si="35"/>
        <v/>
      </c>
      <c r="AQ52" s="29" t="str">
        <f t="shared" si="35"/>
        <v/>
      </c>
      <c r="AR52" s="29" t="str">
        <f t="shared" si="35"/>
        <v/>
      </c>
      <c r="AS52" s="29" t="str">
        <f t="shared" si="35"/>
        <v/>
      </c>
      <c r="AT52" s="29" t="str">
        <f t="shared" si="35"/>
        <v/>
      </c>
      <c r="AU52" s="29" t="str">
        <f t="shared" si="35"/>
        <v/>
      </c>
      <c r="AV52" s="29" t="str">
        <f t="shared" si="35"/>
        <v/>
      </c>
      <c r="AW52" s="29" t="str">
        <f t="shared" si="35"/>
        <v/>
      </c>
      <c r="AX52" s="29" t="str">
        <f t="shared" si="35"/>
        <v/>
      </c>
      <c r="AY52" s="29" t="str">
        <f t="shared" si="35"/>
        <v/>
      </c>
      <c r="AZ52" s="29" t="str">
        <f t="shared" si="35"/>
        <v/>
      </c>
      <c r="BA52" s="29" t="str">
        <f t="shared" si="35"/>
        <v/>
      </c>
      <c r="BB52" s="29" t="str">
        <f t="shared" si="36"/>
        <v/>
      </c>
      <c r="BC52" s="29" t="str">
        <f t="shared" si="36"/>
        <v/>
      </c>
      <c r="BD52" s="29" t="str">
        <f t="shared" si="36"/>
        <v/>
      </c>
      <c r="BE52" s="29" t="str">
        <f t="shared" si="36"/>
        <v/>
      </c>
      <c r="BF52" s="29" t="str">
        <f t="shared" si="36"/>
        <v/>
      </c>
      <c r="BG52" s="29" t="str">
        <f t="shared" si="36"/>
        <v/>
      </c>
      <c r="BH52" s="29" t="str">
        <f t="shared" si="36"/>
        <v/>
      </c>
      <c r="BI52" s="29" t="str">
        <f t="shared" si="36"/>
        <v/>
      </c>
      <c r="BJ52" s="29" t="str">
        <f t="shared" si="36"/>
        <v/>
      </c>
      <c r="BK52" s="29" t="str">
        <f t="shared" si="36"/>
        <v/>
      </c>
      <c r="BL52" s="29" t="str">
        <f t="shared" si="36"/>
        <v/>
      </c>
      <c r="BM52" s="29" t="str">
        <f t="shared" si="41"/>
        <v/>
      </c>
      <c r="BN52" s="29" t="str">
        <f t="shared" si="41"/>
        <v/>
      </c>
      <c r="BO52" s="29" t="str">
        <f t="shared" si="41"/>
        <v/>
      </c>
      <c r="BP52" s="29" t="str">
        <f t="shared" si="41"/>
        <v/>
      </c>
      <c r="BQ52" s="29" t="str">
        <f t="shared" si="41"/>
        <v/>
      </c>
      <c r="BR52" s="29" t="str">
        <f t="shared" si="41"/>
        <v/>
      </c>
      <c r="BS52" s="29" t="str">
        <f t="shared" si="41"/>
        <v/>
      </c>
      <c r="BT52" s="29" t="str">
        <f t="shared" si="41"/>
        <v/>
      </c>
      <c r="BU52" s="29" t="str">
        <f t="shared" si="41"/>
        <v/>
      </c>
      <c r="BV52" s="29" t="str">
        <f t="shared" si="41"/>
        <v/>
      </c>
      <c r="BW52" s="29" t="str">
        <f t="shared" si="41"/>
        <v/>
      </c>
      <c r="BX52" s="29" t="str">
        <f t="shared" si="41"/>
        <v/>
      </c>
      <c r="BY52" s="29" t="str">
        <f t="shared" si="41"/>
        <v/>
      </c>
      <c r="BZ52" s="29" t="str">
        <f t="shared" si="41"/>
        <v/>
      </c>
      <c r="CA52" s="29" t="str">
        <f t="shared" si="41"/>
        <v/>
      </c>
      <c r="CB52" s="29" t="str">
        <f t="shared" si="41"/>
        <v/>
      </c>
      <c r="CC52" s="29" t="str">
        <f t="shared" si="41"/>
        <v/>
      </c>
      <c r="CD52" s="29" t="str">
        <f t="shared" si="41"/>
        <v/>
      </c>
      <c r="CE52" s="29" t="str">
        <f t="shared" si="41"/>
        <v/>
      </c>
      <c r="CF52" s="29" t="str">
        <f t="shared" si="41"/>
        <v/>
      </c>
      <c r="CG52" s="29" t="str">
        <f t="shared" si="41"/>
        <v/>
      </c>
      <c r="CH52" s="29" t="str">
        <f t="shared" si="41"/>
        <v/>
      </c>
      <c r="CI52" s="29" t="str">
        <f t="shared" si="41"/>
        <v/>
      </c>
      <c r="CJ52" s="29" t="str">
        <f t="shared" si="41"/>
        <v/>
      </c>
      <c r="CK52" s="29" t="str">
        <f t="shared" si="41"/>
        <v/>
      </c>
      <c r="CL52" s="29" t="str">
        <f t="shared" si="41"/>
        <v/>
      </c>
      <c r="CM52" s="29" t="str">
        <f t="shared" si="41"/>
        <v/>
      </c>
      <c r="CN52" s="29" t="str">
        <f t="shared" si="41"/>
        <v/>
      </c>
      <c r="CO52" s="29" t="str">
        <f t="shared" si="41"/>
        <v/>
      </c>
      <c r="CP52" s="29" t="str">
        <f t="shared" si="41"/>
        <v/>
      </c>
      <c r="CQ52" s="29" t="str">
        <f t="shared" si="41"/>
        <v/>
      </c>
      <c r="CR52" s="29" t="str">
        <f t="shared" si="41"/>
        <v/>
      </c>
      <c r="CS52" s="29" t="str">
        <f t="shared" si="41"/>
        <v/>
      </c>
      <c r="CT52" s="29" t="str">
        <f t="shared" si="41"/>
        <v/>
      </c>
      <c r="CU52" s="29" t="str">
        <f t="shared" si="41"/>
        <v/>
      </c>
      <c r="CV52" s="29" t="str">
        <f t="shared" si="41"/>
        <v/>
      </c>
      <c r="CW52" s="29" t="str">
        <f t="shared" si="38"/>
        <v/>
      </c>
      <c r="CX52" s="29" t="str">
        <f t="shared" si="38"/>
        <v/>
      </c>
      <c r="CY52" s="29" t="str">
        <f t="shared" si="38"/>
        <v/>
      </c>
      <c r="CZ52" s="29" t="str">
        <f t="shared" si="38"/>
        <v/>
      </c>
      <c r="DA52" s="29" t="str">
        <f t="shared" si="38"/>
        <v/>
      </c>
      <c r="DB52" s="29" t="str">
        <f t="shared" si="38"/>
        <v/>
      </c>
      <c r="DC52" s="29" t="str">
        <f t="shared" si="38"/>
        <v/>
      </c>
      <c r="DD52" s="29" t="str">
        <f t="shared" si="38"/>
        <v/>
      </c>
      <c r="DE52" s="29" t="str">
        <f t="shared" si="38"/>
        <v/>
      </c>
      <c r="DF52" s="29" t="str">
        <f t="shared" si="38"/>
        <v/>
      </c>
      <c r="DG52" s="29" t="str">
        <f t="shared" si="38"/>
        <v/>
      </c>
      <c r="DH52" s="29" t="str">
        <f t="shared" si="38"/>
        <v/>
      </c>
      <c r="DI52" s="29" t="str">
        <f t="shared" si="38"/>
        <v/>
      </c>
      <c r="DJ52" s="29" t="str">
        <f t="shared" si="38"/>
        <v/>
      </c>
      <c r="DK52" s="29" t="str">
        <f t="shared" si="38"/>
        <v/>
      </c>
      <c r="DL52" s="29" t="str">
        <f t="shared" si="38"/>
        <v/>
      </c>
      <c r="DM52" s="29" t="str">
        <f t="shared" si="42"/>
        <v/>
      </c>
      <c r="DN52" s="29" t="str">
        <f t="shared" si="42"/>
        <v/>
      </c>
      <c r="DO52" s="29" t="str">
        <f t="shared" si="42"/>
        <v/>
      </c>
      <c r="DP52" s="29" t="str">
        <f t="shared" si="42"/>
        <v/>
      </c>
      <c r="DQ52" s="29" t="str">
        <f t="shared" si="42"/>
        <v/>
      </c>
      <c r="DR52" s="29" t="str">
        <f t="shared" si="42"/>
        <v/>
      </c>
      <c r="DS52" s="29" t="str">
        <f t="shared" si="42"/>
        <v/>
      </c>
      <c r="DT52" s="29" t="str">
        <f t="shared" si="42"/>
        <v/>
      </c>
      <c r="DU52" s="29" t="str">
        <f t="shared" si="42"/>
        <v/>
      </c>
      <c r="DV52" s="29" t="str">
        <f t="shared" si="30"/>
        <v/>
      </c>
      <c r="DW52" s="29" t="str">
        <f t="shared" si="30"/>
        <v/>
      </c>
      <c r="DX52" s="29" t="str">
        <f t="shared" si="30"/>
        <v/>
      </c>
      <c r="DY52" s="29" t="str">
        <f t="shared" si="30"/>
        <v/>
      </c>
      <c r="DZ52" s="29" t="str">
        <f t="shared" si="30"/>
        <v/>
      </c>
      <c r="EA52" s="29" t="str">
        <f t="shared" si="30"/>
        <v/>
      </c>
      <c r="EB52" s="29" t="str">
        <f t="shared" si="30"/>
        <v/>
      </c>
      <c r="EC52" s="29" t="str">
        <f t="shared" si="30"/>
        <v/>
      </c>
      <c r="ED52" s="29" t="str">
        <f t="shared" si="30"/>
        <v/>
      </c>
      <c r="EE52" s="29" t="str">
        <f t="shared" si="30"/>
        <v/>
      </c>
      <c r="EF52" s="29" t="str">
        <f t="shared" si="30"/>
        <v/>
      </c>
      <c r="EG52" s="29" t="str">
        <f t="shared" si="30"/>
        <v/>
      </c>
      <c r="EH52" s="29" t="str">
        <f t="shared" si="30"/>
        <v/>
      </c>
      <c r="EI52" s="29" t="str">
        <f t="shared" si="30"/>
        <v/>
      </c>
      <c r="EJ52" s="29" t="str">
        <f t="shared" si="30"/>
        <v/>
      </c>
      <c r="EK52" s="29" t="str">
        <f t="shared" si="30"/>
        <v/>
      </c>
      <c r="EL52" s="29" t="str">
        <f t="shared" si="30"/>
        <v/>
      </c>
      <c r="EM52" s="29" t="str">
        <f t="shared" si="30"/>
        <v/>
      </c>
      <c r="EN52" s="29" t="str">
        <f t="shared" si="37"/>
        <v/>
      </c>
      <c r="EO52" s="29" t="str">
        <f t="shared" si="37"/>
        <v/>
      </c>
      <c r="EP52" s="29" t="str">
        <f t="shared" si="37"/>
        <v/>
      </c>
      <c r="EQ52" s="29" t="str">
        <f t="shared" si="37"/>
        <v/>
      </c>
      <c r="ER52" s="29" t="str">
        <f t="shared" si="37"/>
        <v/>
      </c>
      <c r="ES52" s="29" t="str">
        <f t="shared" si="37"/>
        <v/>
      </c>
      <c r="ET52" s="29" t="str">
        <f t="shared" si="37"/>
        <v/>
      </c>
    </row>
    <row r="53" spans="1:150" x14ac:dyDescent="0.2">
      <c r="A53" s="103" t="str">
        <f>TEXT('M&amp;V Tasks'!A54,"#")</f>
        <v>8</v>
      </c>
      <c r="B53" s="104" t="str">
        <f>TEXT('M&amp;V Tasks'!B54,"#")</f>
        <v>Peer review</v>
      </c>
      <c r="C53" s="103">
        <f>'M&amp;V Tasks'!I54</f>
        <v>0</v>
      </c>
      <c r="D53" s="27"/>
      <c r="E53" s="27"/>
      <c r="F53" s="29" t="str">
        <f t="shared" si="29"/>
        <v/>
      </c>
      <c r="G53" s="29" t="str">
        <f t="shared" si="29"/>
        <v/>
      </c>
      <c r="H53" s="29" t="str">
        <f t="shared" si="29"/>
        <v/>
      </c>
      <c r="I53" s="29" t="str">
        <f t="shared" si="29"/>
        <v/>
      </c>
      <c r="J53" s="29" t="str">
        <f t="shared" si="29"/>
        <v/>
      </c>
      <c r="K53" s="29" t="str">
        <f t="shared" si="29"/>
        <v/>
      </c>
      <c r="L53" s="29" t="str">
        <f t="shared" si="29"/>
        <v/>
      </c>
      <c r="M53" s="29" t="str">
        <f t="shared" si="29"/>
        <v/>
      </c>
      <c r="N53" s="29" t="str">
        <f t="shared" si="29"/>
        <v/>
      </c>
      <c r="O53" s="29" t="str">
        <f t="shared" si="29"/>
        <v/>
      </c>
      <c r="P53" s="29" t="str">
        <f t="shared" si="29"/>
        <v/>
      </c>
      <c r="Q53" s="29" t="str">
        <f t="shared" si="29"/>
        <v/>
      </c>
      <c r="R53" s="29" t="str">
        <f t="shared" si="29"/>
        <v/>
      </c>
      <c r="S53" s="29" t="str">
        <f t="shared" si="29"/>
        <v/>
      </c>
      <c r="T53" s="29" t="str">
        <f t="shared" si="29"/>
        <v/>
      </c>
      <c r="U53" s="29" t="str">
        <f t="shared" si="29"/>
        <v/>
      </c>
      <c r="V53" s="29" t="str">
        <f t="shared" si="34"/>
        <v/>
      </c>
      <c r="W53" s="29" t="str">
        <f t="shared" si="34"/>
        <v/>
      </c>
      <c r="X53" s="29" t="str">
        <f t="shared" si="34"/>
        <v/>
      </c>
      <c r="Y53" s="29" t="str">
        <f t="shared" si="34"/>
        <v/>
      </c>
      <c r="Z53" s="29" t="str">
        <f t="shared" si="34"/>
        <v/>
      </c>
      <c r="AA53" s="29" t="str">
        <f t="shared" si="34"/>
        <v/>
      </c>
      <c r="AB53" s="29" t="str">
        <f t="shared" si="34"/>
        <v/>
      </c>
      <c r="AC53" s="29" t="str">
        <f t="shared" si="34"/>
        <v/>
      </c>
      <c r="AD53" s="29" t="str">
        <f t="shared" si="34"/>
        <v/>
      </c>
      <c r="AE53" s="29" t="str">
        <f t="shared" si="34"/>
        <v/>
      </c>
      <c r="AF53" s="29" t="str">
        <f t="shared" si="34"/>
        <v/>
      </c>
      <c r="AG53" s="29" t="str">
        <f t="shared" si="34"/>
        <v/>
      </c>
      <c r="AH53" s="29" t="str">
        <f t="shared" si="34"/>
        <v/>
      </c>
      <c r="AI53" s="29" t="str">
        <f t="shared" si="34"/>
        <v/>
      </c>
      <c r="AJ53" s="29" t="str">
        <f t="shared" si="34"/>
        <v/>
      </c>
      <c r="AK53" s="29" t="str">
        <f t="shared" si="34"/>
        <v/>
      </c>
      <c r="AL53" s="29" t="str">
        <f t="shared" si="35"/>
        <v/>
      </c>
      <c r="AM53" s="29" t="str">
        <f t="shared" si="35"/>
        <v/>
      </c>
      <c r="AN53" s="29" t="str">
        <f t="shared" si="35"/>
        <v/>
      </c>
      <c r="AO53" s="29" t="str">
        <f t="shared" si="35"/>
        <v/>
      </c>
      <c r="AP53" s="29" t="str">
        <f t="shared" si="35"/>
        <v/>
      </c>
      <c r="AQ53" s="29" t="str">
        <f t="shared" si="35"/>
        <v/>
      </c>
      <c r="AR53" s="29" t="str">
        <f t="shared" si="35"/>
        <v/>
      </c>
      <c r="AS53" s="29" t="str">
        <f t="shared" si="35"/>
        <v/>
      </c>
      <c r="AT53" s="29" t="str">
        <f t="shared" si="35"/>
        <v/>
      </c>
      <c r="AU53" s="29" t="str">
        <f t="shared" si="35"/>
        <v/>
      </c>
      <c r="AV53" s="29" t="str">
        <f t="shared" si="35"/>
        <v/>
      </c>
      <c r="AW53" s="29" t="str">
        <f t="shared" si="35"/>
        <v/>
      </c>
      <c r="AX53" s="29" t="str">
        <f t="shared" si="35"/>
        <v/>
      </c>
      <c r="AY53" s="29" t="str">
        <f t="shared" si="35"/>
        <v/>
      </c>
      <c r="AZ53" s="29" t="str">
        <f t="shared" si="35"/>
        <v/>
      </c>
      <c r="BA53" s="29" t="str">
        <f t="shared" si="35"/>
        <v/>
      </c>
      <c r="BB53" s="29" t="str">
        <f t="shared" si="36"/>
        <v/>
      </c>
      <c r="BC53" s="29" t="str">
        <f t="shared" si="36"/>
        <v/>
      </c>
      <c r="BD53" s="29" t="str">
        <f t="shared" si="36"/>
        <v/>
      </c>
      <c r="BE53" s="29" t="str">
        <f t="shared" si="36"/>
        <v/>
      </c>
      <c r="BF53" s="29" t="str">
        <f t="shared" si="36"/>
        <v/>
      </c>
      <c r="BG53" s="29" t="str">
        <f t="shared" si="36"/>
        <v/>
      </c>
      <c r="BH53" s="29" t="str">
        <f t="shared" si="36"/>
        <v/>
      </c>
      <c r="BI53" s="29" t="str">
        <f t="shared" si="36"/>
        <v/>
      </c>
      <c r="BJ53" s="29" t="str">
        <f t="shared" si="36"/>
        <v/>
      </c>
      <c r="BK53" s="29" t="str">
        <f t="shared" si="36"/>
        <v/>
      </c>
      <c r="BL53" s="29" t="str">
        <f t="shared" si="36"/>
        <v/>
      </c>
      <c r="BM53" s="29" t="str">
        <f t="shared" si="41"/>
        <v/>
      </c>
      <c r="BN53" s="29" t="str">
        <f t="shared" si="41"/>
        <v/>
      </c>
      <c r="BO53" s="29" t="str">
        <f t="shared" si="41"/>
        <v/>
      </c>
      <c r="BP53" s="29" t="str">
        <f t="shared" si="41"/>
        <v/>
      </c>
      <c r="BQ53" s="29" t="str">
        <f t="shared" si="41"/>
        <v/>
      </c>
      <c r="BR53" s="29" t="str">
        <f t="shared" si="41"/>
        <v/>
      </c>
      <c r="BS53" s="29" t="str">
        <f t="shared" si="41"/>
        <v/>
      </c>
      <c r="BT53" s="29" t="str">
        <f t="shared" si="41"/>
        <v/>
      </c>
      <c r="BU53" s="29" t="str">
        <f t="shared" si="41"/>
        <v/>
      </c>
      <c r="BV53" s="29" t="str">
        <f t="shared" si="41"/>
        <v/>
      </c>
      <c r="BW53" s="29" t="str">
        <f t="shared" si="41"/>
        <v/>
      </c>
      <c r="BX53" s="29" t="str">
        <f t="shared" si="41"/>
        <v/>
      </c>
      <c r="BY53" s="29" t="str">
        <f t="shared" si="41"/>
        <v/>
      </c>
      <c r="BZ53" s="29" t="str">
        <f t="shared" si="41"/>
        <v/>
      </c>
      <c r="CA53" s="29" t="str">
        <f t="shared" si="41"/>
        <v/>
      </c>
      <c r="CB53" s="29" t="str">
        <f t="shared" si="41"/>
        <v/>
      </c>
      <c r="CC53" s="29" t="str">
        <f t="shared" si="41"/>
        <v/>
      </c>
      <c r="CD53" s="29" t="str">
        <f t="shared" si="41"/>
        <v/>
      </c>
      <c r="CE53" s="29" t="str">
        <f t="shared" si="41"/>
        <v/>
      </c>
      <c r="CF53" s="29" t="str">
        <f t="shared" si="41"/>
        <v/>
      </c>
      <c r="CG53" s="29" t="str">
        <f t="shared" si="41"/>
        <v/>
      </c>
      <c r="CH53" s="29" t="str">
        <f t="shared" si="41"/>
        <v/>
      </c>
      <c r="CI53" s="29" t="str">
        <f t="shared" si="41"/>
        <v/>
      </c>
      <c r="CJ53" s="29" t="str">
        <f t="shared" si="41"/>
        <v/>
      </c>
      <c r="CK53" s="29" t="str">
        <f t="shared" si="41"/>
        <v/>
      </c>
      <c r="CL53" s="29" t="str">
        <f t="shared" si="41"/>
        <v/>
      </c>
      <c r="CM53" s="29" t="str">
        <f t="shared" si="41"/>
        <v/>
      </c>
      <c r="CN53" s="29" t="str">
        <f t="shared" si="41"/>
        <v/>
      </c>
      <c r="CO53" s="29" t="str">
        <f t="shared" si="41"/>
        <v/>
      </c>
      <c r="CP53" s="29" t="str">
        <f t="shared" si="41"/>
        <v/>
      </c>
      <c r="CQ53" s="29" t="str">
        <f t="shared" si="41"/>
        <v/>
      </c>
      <c r="CR53" s="29" t="str">
        <f t="shared" si="41"/>
        <v/>
      </c>
      <c r="CS53" s="29" t="str">
        <f t="shared" si="41"/>
        <v/>
      </c>
      <c r="CT53" s="29" t="str">
        <f t="shared" si="41"/>
        <v/>
      </c>
      <c r="CU53" s="29" t="str">
        <f t="shared" si="41"/>
        <v/>
      </c>
      <c r="CV53" s="29" t="str">
        <f t="shared" si="41"/>
        <v/>
      </c>
      <c r="CW53" s="29" t="str">
        <f t="shared" si="38"/>
        <v/>
      </c>
      <c r="CX53" s="29" t="str">
        <f t="shared" si="38"/>
        <v/>
      </c>
      <c r="CY53" s="29" t="str">
        <f t="shared" si="38"/>
        <v/>
      </c>
      <c r="CZ53" s="29" t="str">
        <f t="shared" si="38"/>
        <v/>
      </c>
      <c r="DA53" s="29" t="str">
        <f t="shared" si="38"/>
        <v/>
      </c>
      <c r="DB53" s="29" t="str">
        <f t="shared" si="38"/>
        <v/>
      </c>
      <c r="DC53" s="29" t="str">
        <f t="shared" si="38"/>
        <v/>
      </c>
      <c r="DD53" s="29" t="str">
        <f t="shared" si="38"/>
        <v/>
      </c>
      <c r="DE53" s="29" t="str">
        <f t="shared" si="38"/>
        <v/>
      </c>
      <c r="DF53" s="29" t="str">
        <f t="shared" si="38"/>
        <v/>
      </c>
      <c r="DG53" s="29" t="str">
        <f t="shared" si="38"/>
        <v/>
      </c>
      <c r="DH53" s="29" t="str">
        <f t="shared" si="38"/>
        <v/>
      </c>
      <c r="DI53" s="29" t="str">
        <f t="shared" si="38"/>
        <v/>
      </c>
      <c r="DJ53" s="29" t="str">
        <f t="shared" si="38"/>
        <v/>
      </c>
      <c r="DK53" s="29" t="str">
        <f t="shared" si="38"/>
        <v/>
      </c>
      <c r="DL53" s="29" t="str">
        <f t="shared" si="38"/>
        <v/>
      </c>
      <c r="DM53" s="29" t="str">
        <f t="shared" si="42"/>
        <v/>
      </c>
      <c r="DN53" s="29" t="str">
        <f t="shared" si="42"/>
        <v/>
      </c>
      <c r="DO53" s="29" t="str">
        <f t="shared" si="42"/>
        <v/>
      </c>
      <c r="DP53" s="29" t="str">
        <f t="shared" si="42"/>
        <v/>
      </c>
      <c r="DQ53" s="29" t="str">
        <f t="shared" si="42"/>
        <v/>
      </c>
      <c r="DR53" s="29" t="str">
        <f t="shared" si="42"/>
        <v/>
      </c>
      <c r="DS53" s="29" t="str">
        <f t="shared" si="42"/>
        <v/>
      </c>
      <c r="DT53" s="29" t="str">
        <f t="shared" si="42"/>
        <v/>
      </c>
      <c r="DU53" s="29" t="str">
        <f t="shared" si="42"/>
        <v/>
      </c>
      <c r="DV53" s="29" t="str">
        <f t="shared" si="30"/>
        <v/>
      </c>
      <c r="DW53" s="29" t="str">
        <f t="shared" si="30"/>
        <v/>
      </c>
      <c r="DX53" s="29" t="str">
        <f t="shared" si="30"/>
        <v/>
      </c>
      <c r="DY53" s="29" t="str">
        <f t="shared" si="30"/>
        <v/>
      </c>
      <c r="DZ53" s="29" t="str">
        <f t="shared" si="30"/>
        <v/>
      </c>
      <c r="EA53" s="29" t="str">
        <f t="shared" si="30"/>
        <v/>
      </c>
      <c r="EB53" s="29" t="str">
        <f t="shared" si="30"/>
        <v/>
      </c>
      <c r="EC53" s="29" t="str">
        <f t="shared" si="30"/>
        <v/>
      </c>
      <c r="ED53" s="29" t="str">
        <f t="shared" si="30"/>
        <v/>
      </c>
      <c r="EE53" s="29" t="str">
        <f t="shared" si="30"/>
        <v/>
      </c>
      <c r="EF53" s="29" t="str">
        <f t="shared" si="30"/>
        <v/>
      </c>
      <c r="EG53" s="29" t="str">
        <f t="shared" si="30"/>
        <v/>
      </c>
      <c r="EH53" s="29" t="str">
        <f t="shared" si="30"/>
        <v/>
      </c>
      <c r="EI53" s="29" t="str">
        <f t="shared" si="30"/>
        <v/>
      </c>
      <c r="EJ53" s="29" t="str">
        <f t="shared" si="30"/>
        <v/>
      </c>
      <c r="EK53" s="29" t="str">
        <f t="shared" si="30"/>
        <v/>
      </c>
      <c r="EL53" s="29" t="str">
        <f t="shared" si="30"/>
        <v/>
      </c>
      <c r="EM53" s="29" t="str">
        <f t="shared" si="30"/>
        <v/>
      </c>
      <c r="EN53" s="29" t="str">
        <f t="shared" si="37"/>
        <v/>
      </c>
      <c r="EO53" s="29" t="str">
        <f t="shared" si="37"/>
        <v/>
      </c>
      <c r="EP53" s="29" t="str">
        <f t="shared" si="37"/>
        <v/>
      </c>
      <c r="EQ53" s="29" t="str">
        <f t="shared" si="37"/>
        <v/>
      </c>
      <c r="ER53" s="29" t="str">
        <f t="shared" si="37"/>
        <v/>
      </c>
      <c r="ES53" s="29" t="str">
        <f t="shared" si="37"/>
        <v/>
      </c>
      <c r="ET53" s="29" t="str">
        <f t="shared" si="37"/>
        <v/>
      </c>
    </row>
    <row r="54" spans="1:150" x14ac:dyDescent="0.2">
      <c r="A54" s="103" t="str">
        <f>TEXT('M&amp;V Tasks'!A55,"#")</f>
        <v>9</v>
      </c>
      <c r="B54" s="104" t="str">
        <f>TEXT('M&amp;V Tasks'!B55,"#")</f>
        <v/>
      </c>
      <c r="C54" s="103">
        <f>'M&amp;V Tasks'!I55</f>
        <v>0</v>
      </c>
      <c r="D54" s="27"/>
      <c r="E54" s="27"/>
      <c r="F54" s="29" t="str">
        <f t="shared" si="29"/>
        <v/>
      </c>
      <c r="G54" s="29" t="str">
        <f t="shared" si="29"/>
        <v/>
      </c>
      <c r="H54" s="29" t="str">
        <f t="shared" si="29"/>
        <v/>
      </c>
      <c r="I54" s="29" t="str">
        <f t="shared" si="29"/>
        <v/>
      </c>
      <c r="J54" s="29" t="str">
        <f t="shared" si="29"/>
        <v/>
      </c>
      <c r="K54" s="29" t="str">
        <f t="shared" si="29"/>
        <v/>
      </c>
      <c r="L54" s="29" t="str">
        <f t="shared" si="29"/>
        <v/>
      </c>
      <c r="M54" s="29" t="str">
        <f t="shared" si="29"/>
        <v/>
      </c>
      <c r="N54" s="29" t="str">
        <f t="shared" si="29"/>
        <v/>
      </c>
      <c r="O54" s="29" t="str">
        <f t="shared" si="29"/>
        <v/>
      </c>
      <c r="P54" s="29" t="str">
        <f t="shared" si="29"/>
        <v/>
      </c>
      <c r="Q54" s="29" t="str">
        <f t="shared" si="29"/>
        <v/>
      </c>
      <c r="R54" s="29" t="str">
        <f t="shared" si="29"/>
        <v/>
      </c>
      <c r="S54" s="29" t="str">
        <f t="shared" si="29"/>
        <v/>
      </c>
      <c r="T54" s="29" t="str">
        <f t="shared" si="29"/>
        <v/>
      </c>
      <c r="U54" s="29" t="str">
        <f t="shared" si="29"/>
        <v/>
      </c>
      <c r="V54" s="29" t="str">
        <f t="shared" si="34"/>
        <v/>
      </c>
      <c r="W54" s="29" t="str">
        <f t="shared" si="34"/>
        <v/>
      </c>
      <c r="X54" s="29" t="str">
        <f t="shared" si="34"/>
        <v/>
      </c>
      <c r="Y54" s="29" t="str">
        <f t="shared" si="34"/>
        <v/>
      </c>
      <c r="Z54" s="29" t="str">
        <f t="shared" si="34"/>
        <v/>
      </c>
      <c r="AA54" s="29" t="str">
        <f t="shared" si="34"/>
        <v/>
      </c>
      <c r="AB54" s="29" t="str">
        <f t="shared" si="34"/>
        <v/>
      </c>
      <c r="AC54" s="29" t="str">
        <f t="shared" si="34"/>
        <v/>
      </c>
      <c r="AD54" s="29" t="str">
        <f t="shared" si="34"/>
        <v/>
      </c>
      <c r="AE54" s="29" t="str">
        <f t="shared" si="34"/>
        <v/>
      </c>
      <c r="AF54" s="29" t="str">
        <f t="shared" si="34"/>
        <v/>
      </c>
      <c r="AG54" s="29" t="str">
        <f t="shared" si="34"/>
        <v/>
      </c>
      <c r="AH54" s="29" t="str">
        <f t="shared" si="34"/>
        <v/>
      </c>
      <c r="AI54" s="29" t="str">
        <f t="shared" si="34"/>
        <v/>
      </c>
      <c r="AJ54" s="29" t="str">
        <f t="shared" si="34"/>
        <v/>
      </c>
      <c r="AK54" s="29" t="str">
        <f t="shared" si="34"/>
        <v/>
      </c>
      <c r="AL54" s="29" t="str">
        <f t="shared" si="35"/>
        <v/>
      </c>
      <c r="AM54" s="29" t="str">
        <f t="shared" si="35"/>
        <v/>
      </c>
      <c r="AN54" s="29" t="str">
        <f t="shared" si="35"/>
        <v/>
      </c>
      <c r="AO54" s="29" t="str">
        <f t="shared" si="35"/>
        <v/>
      </c>
      <c r="AP54" s="29" t="str">
        <f t="shared" si="35"/>
        <v/>
      </c>
      <c r="AQ54" s="29" t="str">
        <f t="shared" si="35"/>
        <v/>
      </c>
      <c r="AR54" s="29" t="str">
        <f t="shared" si="35"/>
        <v/>
      </c>
      <c r="AS54" s="29" t="str">
        <f t="shared" si="35"/>
        <v/>
      </c>
      <c r="AT54" s="29" t="str">
        <f t="shared" si="35"/>
        <v/>
      </c>
      <c r="AU54" s="29" t="str">
        <f t="shared" si="35"/>
        <v/>
      </c>
      <c r="AV54" s="29" t="str">
        <f t="shared" si="35"/>
        <v/>
      </c>
      <c r="AW54" s="29" t="str">
        <f t="shared" si="35"/>
        <v/>
      </c>
      <c r="AX54" s="29" t="str">
        <f t="shared" si="35"/>
        <v/>
      </c>
      <c r="AY54" s="29" t="str">
        <f t="shared" si="35"/>
        <v/>
      </c>
      <c r="AZ54" s="29" t="str">
        <f t="shared" si="35"/>
        <v/>
      </c>
      <c r="BA54" s="29" t="str">
        <f t="shared" si="35"/>
        <v/>
      </c>
      <c r="BB54" s="29" t="str">
        <f t="shared" si="36"/>
        <v/>
      </c>
      <c r="BC54" s="29" t="str">
        <f t="shared" si="36"/>
        <v/>
      </c>
      <c r="BD54" s="29" t="str">
        <f t="shared" si="36"/>
        <v/>
      </c>
      <c r="BE54" s="29" t="str">
        <f t="shared" si="36"/>
        <v/>
      </c>
      <c r="BF54" s="29" t="str">
        <f t="shared" si="36"/>
        <v/>
      </c>
      <c r="BG54" s="29" t="str">
        <f t="shared" si="36"/>
        <v/>
      </c>
      <c r="BH54" s="29" t="str">
        <f t="shared" si="36"/>
        <v/>
      </c>
      <c r="BI54" s="29" t="str">
        <f t="shared" si="36"/>
        <v/>
      </c>
      <c r="BJ54" s="29" t="str">
        <f t="shared" si="36"/>
        <v/>
      </c>
      <c r="BK54" s="29" t="str">
        <f t="shared" si="36"/>
        <v/>
      </c>
      <c r="BL54" s="29" t="str">
        <f t="shared" si="36"/>
        <v/>
      </c>
      <c r="BM54" s="29" t="str">
        <f t="shared" si="41"/>
        <v/>
      </c>
      <c r="BN54" s="29" t="str">
        <f t="shared" si="41"/>
        <v/>
      </c>
      <c r="BO54" s="29" t="str">
        <f t="shared" si="41"/>
        <v/>
      </c>
      <c r="BP54" s="29" t="str">
        <f t="shared" si="41"/>
        <v/>
      </c>
      <c r="BQ54" s="29" t="str">
        <f t="shared" si="41"/>
        <v/>
      </c>
      <c r="BR54" s="29" t="str">
        <f t="shared" si="41"/>
        <v/>
      </c>
      <c r="BS54" s="29" t="str">
        <f t="shared" si="41"/>
        <v/>
      </c>
      <c r="BT54" s="29" t="str">
        <f t="shared" si="41"/>
        <v/>
      </c>
      <c r="BU54" s="29" t="str">
        <f t="shared" si="41"/>
        <v/>
      </c>
      <c r="BV54" s="29" t="str">
        <f t="shared" si="41"/>
        <v/>
      </c>
      <c r="BW54" s="29" t="str">
        <f t="shared" si="41"/>
        <v/>
      </c>
      <c r="BX54" s="29" t="str">
        <f t="shared" si="41"/>
        <v/>
      </c>
      <c r="BY54" s="29" t="str">
        <f t="shared" si="41"/>
        <v/>
      </c>
      <c r="BZ54" s="29" t="str">
        <f t="shared" si="41"/>
        <v/>
      </c>
      <c r="CA54" s="29" t="str">
        <f t="shared" si="41"/>
        <v/>
      </c>
      <c r="CB54" s="29" t="str">
        <f t="shared" si="41"/>
        <v/>
      </c>
      <c r="CC54" s="29" t="str">
        <f t="shared" si="41"/>
        <v/>
      </c>
      <c r="CD54" s="29" t="str">
        <f t="shared" si="41"/>
        <v/>
      </c>
      <c r="CE54" s="29" t="str">
        <f t="shared" si="41"/>
        <v/>
      </c>
      <c r="CF54" s="29" t="str">
        <f t="shared" si="41"/>
        <v/>
      </c>
      <c r="CG54" s="29" t="str">
        <f t="shared" si="41"/>
        <v/>
      </c>
      <c r="CH54" s="29" t="str">
        <f t="shared" si="41"/>
        <v/>
      </c>
      <c r="CI54" s="29" t="str">
        <f t="shared" si="41"/>
        <v/>
      </c>
      <c r="CJ54" s="29" t="str">
        <f t="shared" si="41"/>
        <v/>
      </c>
      <c r="CK54" s="29" t="str">
        <f t="shared" si="41"/>
        <v/>
      </c>
      <c r="CL54" s="29" t="str">
        <f t="shared" si="41"/>
        <v/>
      </c>
      <c r="CM54" s="29" t="str">
        <f t="shared" si="41"/>
        <v/>
      </c>
      <c r="CN54" s="29" t="str">
        <f t="shared" si="41"/>
        <v/>
      </c>
      <c r="CO54" s="29" t="str">
        <f t="shared" si="41"/>
        <v/>
      </c>
      <c r="CP54" s="29" t="str">
        <f t="shared" si="41"/>
        <v/>
      </c>
      <c r="CQ54" s="29" t="str">
        <f t="shared" si="41"/>
        <v/>
      </c>
      <c r="CR54" s="29" t="str">
        <f t="shared" si="41"/>
        <v/>
      </c>
      <c r="CS54" s="29" t="str">
        <f t="shared" si="41"/>
        <v/>
      </c>
      <c r="CT54" s="29" t="str">
        <f t="shared" si="41"/>
        <v/>
      </c>
      <c r="CU54" s="29" t="str">
        <f t="shared" si="41"/>
        <v/>
      </c>
      <c r="CV54" s="29" t="str">
        <f t="shared" si="41"/>
        <v/>
      </c>
      <c r="CW54" s="29" t="str">
        <f t="shared" si="38"/>
        <v/>
      </c>
      <c r="CX54" s="29" t="str">
        <f t="shared" si="38"/>
        <v/>
      </c>
      <c r="CY54" s="29" t="str">
        <f t="shared" si="38"/>
        <v/>
      </c>
      <c r="CZ54" s="29" t="str">
        <f t="shared" si="38"/>
        <v/>
      </c>
      <c r="DA54" s="29" t="str">
        <f t="shared" si="38"/>
        <v/>
      </c>
      <c r="DB54" s="29" t="str">
        <f t="shared" si="38"/>
        <v/>
      </c>
      <c r="DC54" s="29" t="str">
        <f t="shared" si="38"/>
        <v/>
      </c>
      <c r="DD54" s="29" t="str">
        <f t="shared" si="38"/>
        <v/>
      </c>
      <c r="DE54" s="29" t="str">
        <f t="shared" si="38"/>
        <v/>
      </c>
      <c r="DF54" s="29" t="str">
        <f t="shared" si="38"/>
        <v/>
      </c>
      <c r="DG54" s="29" t="str">
        <f t="shared" si="38"/>
        <v/>
      </c>
      <c r="DH54" s="29" t="str">
        <f t="shared" si="38"/>
        <v/>
      </c>
      <c r="DI54" s="29" t="str">
        <f t="shared" si="38"/>
        <v/>
      </c>
      <c r="DJ54" s="29" t="str">
        <f t="shared" si="38"/>
        <v/>
      </c>
      <c r="DK54" s="29" t="str">
        <f t="shared" si="38"/>
        <v/>
      </c>
      <c r="DL54" s="29" t="str">
        <f t="shared" si="38"/>
        <v/>
      </c>
      <c r="DM54" s="29" t="str">
        <f t="shared" si="42"/>
        <v/>
      </c>
      <c r="DN54" s="29" t="str">
        <f t="shared" si="42"/>
        <v/>
      </c>
      <c r="DO54" s="29" t="str">
        <f t="shared" si="42"/>
        <v/>
      </c>
      <c r="DP54" s="29" t="str">
        <f t="shared" si="42"/>
        <v/>
      </c>
      <c r="DQ54" s="29" t="str">
        <f t="shared" si="42"/>
        <v/>
      </c>
      <c r="DR54" s="29" t="str">
        <f t="shared" si="42"/>
        <v/>
      </c>
      <c r="DS54" s="29" t="str">
        <f t="shared" si="42"/>
        <v/>
      </c>
      <c r="DT54" s="29" t="str">
        <f t="shared" si="42"/>
        <v/>
      </c>
      <c r="DU54" s="29" t="str">
        <f t="shared" si="42"/>
        <v/>
      </c>
      <c r="DV54" s="29" t="str">
        <f t="shared" si="42"/>
        <v/>
      </c>
      <c r="DW54" s="29" t="str">
        <f t="shared" si="42"/>
        <v/>
      </c>
      <c r="DX54" s="29" t="str">
        <f t="shared" si="42"/>
        <v/>
      </c>
      <c r="DY54" s="29" t="str">
        <f t="shared" si="42"/>
        <v/>
      </c>
      <c r="DZ54" s="29" t="str">
        <f t="shared" si="42"/>
        <v/>
      </c>
      <c r="EA54" s="29" t="str">
        <f t="shared" si="42"/>
        <v/>
      </c>
      <c r="EB54" s="29" t="str">
        <f t="shared" si="42"/>
        <v/>
      </c>
      <c r="EC54" s="29" t="str">
        <f t="shared" ref="EC54:ER65" si="43">IF(AND(EC$9&gt;=$D54,EC$9&lt;=$E54),1,"")</f>
        <v/>
      </c>
      <c r="ED54" s="29" t="str">
        <f t="shared" si="43"/>
        <v/>
      </c>
      <c r="EE54" s="29" t="str">
        <f t="shared" si="43"/>
        <v/>
      </c>
      <c r="EF54" s="29" t="str">
        <f t="shared" si="43"/>
        <v/>
      </c>
      <c r="EG54" s="29" t="str">
        <f t="shared" si="43"/>
        <v/>
      </c>
      <c r="EH54" s="29" t="str">
        <f t="shared" si="43"/>
        <v/>
      </c>
      <c r="EI54" s="29" t="str">
        <f t="shared" si="43"/>
        <v/>
      </c>
      <c r="EJ54" s="29" t="str">
        <f t="shared" si="43"/>
        <v/>
      </c>
      <c r="EK54" s="29" t="str">
        <f t="shared" si="43"/>
        <v/>
      </c>
      <c r="EL54" s="29" t="str">
        <f t="shared" si="43"/>
        <v/>
      </c>
      <c r="EM54" s="29" t="str">
        <f t="shared" si="43"/>
        <v/>
      </c>
      <c r="EN54" s="29" t="str">
        <f t="shared" si="37"/>
        <v/>
      </c>
      <c r="EO54" s="29" t="str">
        <f t="shared" si="37"/>
        <v/>
      </c>
      <c r="EP54" s="29" t="str">
        <f t="shared" si="37"/>
        <v/>
      </c>
      <c r="EQ54" s="29" t="str">
        <f t="shared" si="37"/>
        <v/>
      </c>
      <c r="ER54" s="29" t="str">
        <f t="shared" si="37"/>
        <v/>
      </c>
      <c r="ES54" s="29" t="str">
        <f t="shared" si="37"/>
        <v/>
      </c>
      <c r="ET54" s="29" t="str">
        <f t="shared" si="37"/>
        <v/>
      </c>
    </row>
    <row r="55" spans="1:150" x14ac:dyDescent="0.2">
      <c r="A55" s="103" t="str">
        <f>TEXT('M&amp;V Tasks'!A56,"#")</f>
        <v>10</v>
      </c>
      <c r="B55" s="104" t="str">
        <f>TEXT('M&amp;V Tasks'!B56,"#")</f>
        <v/>
      </c>
      <c r="C55" s="103">
        <f>'M&amp;V Tasks'!I56</f>
        <v>0</v>
      </c>
      <c r="D55" s="27"/>
      <c r="E55" s="27"/>
      <c r="F55" s="29" t="str">
        <f t="shared" si="29"/>
        <v/>
      </c>
      <c r="G55" s="29" t="str">
        <f t="shared" si="29"/>
        <v/>
      </c>
      <c r="H55" s="29" t="str">
        <f t="shared" si="29"/>
        <v/>
      </c>
      <c r="I55" s="29" t="str">
        <f t="shared" si="29"/>
        <v/>
      </c>
      <c r="J55" s="29" t="str">
        <f t="shared" si="29"/>
        <v/>
      </c>
      <c r="K55" s="29" t="str">
        <f t="shared" si="29"/>
        <v/>
      </c>
      <c r="L55" s="29" t="str">
        <f t="shared" si="29"/>
        <v/>
      </c>
      <c r="M55" s="29" t="str">
        <f t="shared" si="29"/>
        <v/>
      </c>
      <c r="N55" s="29" t="str">
        <f t="shared" si="29"/>
        <v/>
      </c>
      <c r="O55" s="29" t="str">
        <f t="shared" si="29"/>
        <v/>
      </c>
      <c r="P55" s="29" t="str">
        <f t="shared" si="29"/>
        <v/>
      </c>
      <c r="Q55" s="29" t="str">
        <f t="shared" si="29"/>
        <v/>
      </c>
      <c r="R55" s="29" t="str">
        <f t="shared" si="29"/>
        <v/>
      </c>
      <c r="S55" s="29" t="str">
        <f t="shared" si="29"/>
        <v/>
      </c>
      <c r="T55" s="29" t="str">
        <f t="shared" si="29"/>
        <v/>
      </c>
      <c r="U55" s="29" t="str">
        <f t="shared" ref="F55:U65" si="44">IF(AND(U$9&gt;=$D55,U$9&lt;=$E55),1,"")</f>
        <v/>
      </c>
      <c r="V55" s="29" t="str">
        <f t="shared" si="34"/>
        <v/>
      </c>
      <c r="W55" s="29" t="str">
        <f t="shared" si="34"/>
        <v/>
      </c>
      <c r="X55" s="29" t="str">
        <f t="shared" si="34"/>
        <v/>
      </c>
      <c r="Y55" s="29" t="str">
        <f t="shared" si="34"/>
        <v/>
      </c>
      <c r="Z55" s="29" t="str">
        <f t="shared" si="34"/>
        <v/>
      </c>
      <c r="AA55" s="29" t="str">
        <f t="shared" si="34"/>
        <v/>
      </c>
      <c r="AB55" s="29" t="str">
        <f t="shared" si="34"/>
        <v/>
      </c>
      <c r="AC55" s="29" t="str">
        <f t="shared" si="34"/>
        <v/>
      </c>
      <c r="AD55" s="29" t="str">
        <f t="shared" si="34"/>
        <v/>
      </c>
      <c r="AE55" s="29" t="str">
        <f t="shared" si="34"/>
        <v/>
      </c>
      <c r="AF55" s="29" t="str">
        <f t="shared" si="34"/>
        <v/>
      </c>
      <c r="AG55" s="29" t="str">
        <f t="shared" si="34"/>
        <v/>
      </c>
      <c r="AH55" s="29" t="str">
        <f t="shared" si="34"/>
        <v/>
      </c>
      <c r="AI55" s="29" t="str">
        <f t="shared" si="34"/>
        <v/>
      </c>
      <c r="AJ55" s="29" t="str">
        <f t="shared" si="34"/>
        <v/>
      </c>
      <c r="AK55" s="29" t="str">
        <f t="shared" si="34"/>
        <v/>
      </c>
      <c r="AL55" s="29" t="str">
        <f t="shared" si="35"/>
        <v/>
      </c>
      <c r="AM55" s="29" t="str">
        <f t="shared" si="35"/>
        <v/>
      </c>
      <c r="AN55" s="29" t="str">
        <f t="shared" si="35"/>
        <v/>
      </c>
      <c r="AO55" s="29" t="str">
        <f t="shared" si="35"/>
        <v/>
      </c>
      <c r="AP55" s="29" t="str">
        <f t="shared" si="35"/>
        <v/>
      </c>
      <c r="AQ55" s="29" t="str">
        <f t="shared" si="35"/>
        <v/>
      </c>
      <c r="AR55" s="29" t="str">
        <f t="shared" si="35"/>
        <v/>
      </c>
      <c r="AS55" s="29" t="str">
        <f t="shared" si="35"/>
        <v/>
      </c>
      <c r="AT55" s="29" t="str">
        <f t="shared" si="35"/>
        <v/>
      </c>
      <c r="AU55" s="29" t="str">
        <f t="shared" si="35"/>
        <v/>
      </c>
      <c r="AV55" s="29" t="str">
        <f t="shared" si="35"/>
        <v/>
      </c>
      <c r="AW55" s="29" t="str">
        <f t="shared" si="35"/>
        <v/>
      </c>
      <c r="AX55" s="29" t="str">
        <f t="shared" si="35"/>
        <v/>
      </c>
      <c r="AY55" s="29" t="str">
        <f t="shared" si="35"/>
        <v/>
      </c>
      <c r="AZ55" s="29" t="str">
        <f t="shared" si="35"/>
        <v/>
      </c>
      <c r="BA55" s="29" t="str">
        <f t="shared" si="35"/>
        <v/>
      </c>
      <c r="BB55" s="29" t="str">
        <f t="shared" si="36"/>
        <v/>
      </c>
      <c r="BC55" s="29" t="str">
        <f t="shared" si="36"/>
        <v/>
      </c>
      <c r="BD55" s="29" t="str">
        <f t="shared" si="36"/>
        <v/>
      </c>
      <c r="BE55" s="29" t="str">
        <f t="shared" si="36"/>
        <v/>
      </c>
      <c r="BF55" s="29" t="str">
        <f t="shared" si="36"/>
        <v/>
      </c>
      <c r="BG55" s="29" t="str">
        <f t="shared" si="36"/>
        <v/>
      </c>
      <c r="BH55" s="29" t="str">
        <f t="shared" si="36"/>
        <v/>
      </c>
      <c r="BI55" s="29" t="str">
        <f t="shared" si="36"/>
        <v/>
      </c>
      <c r="BJ55" s="29" t="str">
        <f t="shared" si="36"/>
        <v/>
      </c>
      <c r="BK55" s="29" t="str">
        <f t="shared" si="36"/>
        <v/>
      </c>
      <c r="BL55" s="29" t="str">
        <f t="shared" si="36"/>
        <v/>
      </c>
      <c r="BM55" s="29" t="str">
        <f t="shared" si="41"/>
        <v/>
      </c>
      <c r="BN55" s="29" t="str">
        <f t="shared" si="41"/>
        <v/>
      </c>
      <c r="BO55" s="29" t="str">
        <f t="shared" si="41"/>
        <v/>
      </c>
      <c r="BP55" s="29" t="str">
        <f t="shared" si="41"/>
        <v/>
      </c>
      <c r="BQ55" s="29" t="str">
        <f t="shared" si="41"/>
        <v/>
      </c>
      <c r="BR55" s="29" t="str">
        <f t="shared" si="41"/>
        <v/>
      </c>
      <c r="BS55" s="29" t="str">
        <f t="shared" si="41"/>
        <v/>
      </c>
      <c r="BT55" s="29" t="str">
        <f t="shared" si="41"/>
        <v/>
      </c>
      <c r="BU55" s="29" t="str">
        <f t="shared" si="41"/>
        <v/>
      </c>
      <c r="BV55" s="29" t="str">
        <f t="shared" si="41"/>
        <v/>
      </c>
      <c r="BW55" s="29" t="str">
        <f t="shared" si="41"/>
        <v/>
      </c>
      <c r="BX55" s="29" t="str">
        <f t="shared" si="41"/>
        <v/>
      </c>
      <c r="BY55" s="29" t="str">
        <f t="shared" si="41"/>
        <v/>
      </c>
      <c r="BZ55" s="29" t="str">
        <f t="shared" si="41"/>
        <v/>
      </c>
      <c r="CA55" s="29" t="str">
        <f t="shared" si="41"/>
        <v/>
      </c>
      <c r="CB55" s="29" t="str">
        <f t="shared" si="41"/>
        <v/>
      </c>
      <c r="CC55" s="29" t="str">
        <f t="shared" si="41"/>
        <v/>
      </c>
      <c r="CD55" s="29" t="str">
        <f t="shared" si="41"/>
        <v/>
      </c>
      <c r="CE55" s="29" t="str">
        <f t="shared" si="41"/>
        <v/>
      </c>
      <c r="CF55" s="29" t="str">
        <f t="shared" si="41"/>
        <v/>
      </c>
      <c r="CG55" s="29" t="str">
        <f t="shared" si="41"/>
        <v/>
      </c>
      <c r="CH55" s="29" t="str">
        <f t="shared" si="41"/>
        <v/>
      </c>
      <c r="CI55" s="29" t="str">
        <f t="shared" si="41"/>
        <v/>
      </c>
      <c r="CJ55" s="29" t="str">
        <f t="shared" si="41"/>
        <v/>
      </c>
      <c r="CK55" s="29" t="str">
        <f t="shared" si="41"/>
        <v/>
      </c>
      <c r="CL55" s="29" t="str">
        <f t="shared" si="41"/>
        <v/>
      </c>
      <c r="CM55" s="29" t="str">
        <f t="shared" si="41"/>
        <v/>
      </c>
      <c r="CN55" s="29" t="str">
        <f t="shared" si="41"/>
        <v/>
      </c>
      <c r="CO55" s="29" t="str">
        <f t="shared" si="41"/>
        <v/>
      </c>
      <c r="CP55" s="29" t="str">
        <f t="shared" si="41"/>
        <v/>
      </c>
      <c r="CQ55" s="29" t="str">
        <f t="shared" si="41"/>
        <v/>
      </c>
      <c r="CR55" s="29" t="str">
        <f t="shared" si="41"/>
        <v/>
      </c>
      <c r="CS55" s="29" t="str">
        <f t="shared" si="41"/>
        <v/>
      </c>
      <c r="CT55" s="29" t="str">
        <f t="shared" si="41"/>
        <v/>
      </c>
      <c r="CU55" s="29" t="str">
        <f t="shared" si="41"/>
        <v/>
      </c>
      <c r="CV55" s="29" t="str">
        <f t="shared" si="41"/>
        <v/>
      </c>
      <c r="CW55" s="29" t="str">
        <f t="shared" si="38"/>
        <v/>
      </c>
      <c r="CX55" s="29" t="str">
        <f t="shared" si="38"/>
        <v/>
      </c>
      <c r="CY55" s="29" t="str">
        <f t="shared" si="38"/>
        <v/>
      </c>
      <c r="CZ55" s="29" t="str">
        <f t="shared" si="38"/>
        <v/>
      </c>
      <c r="DA55" s="29" t="str">
        <f t="shared" si="38"/>
        <v/>
      </c>
      <c r="DB55" s="29" t="str">
        <f t="shared" si="38"/>
        <v/>
      </c>
      <c r="DC55" s="29" t="str">
        <f t="shared" si="38"/>
        <v/>
      </c>
      <c r="DD55" s="29" t="str">
        <f t="shared" si="38"/>
        <v/>
      </c>
      <c r="DE55" s="29" t="str">
        <f t="shared" si="38"/>
        <v/>
      </c>
      <c r="DF55" s="29" t="str">
        <f t="shared" si="38"/>
        <v/>
      </c>
      <c r="DG55" s="29" t="str">
        <f t="shared" si="38"/>
        <v/>
      </c>
      <c r="DH55" s="29" t="str">
        <f t="shared" si="38"/>
        <v/>
      </c>
      <c r="DI55" s="29" t="str">
        <f t="shared" si="38"/>
        <v/>
      </c>
      <c r="DJ55" s="29" t="str">
        <f t="shared" si="38"/>
        <v/>
      </c>
      <c r="DK55" s="29" t="str">
        <f t="shared" si="38"/>
        <v/>
      </c>
      <c r="DL55" s="29" t="str">
        <f t="shared" si="38"/>
        <v/>
      </c>
      <c r="DM55" s="29" t="str">
        <f t="shared" si="42"/>
        <v/>
      </c>
      <c r="DN55" s="29" t="str">
        <f t="shared" si="42"/>
        <v/>
      </c>
      <c r="DO55" s="29" t="str">
        <f t="shared" si="42"/>
        <v/>
      </c>
      <c r="DP55" s="29" t="str">
        <f t="shared" si="42"/>
        <v/>
      </c>
      <c r="DQ55" s="29" t="str">
        <f t="shared" si="42"/>
        <v/>
      </c>
      <c r="DR55" s="29" t="str">
        <f t="shared" si="42"/>
        <v/>
      </c>
      <c r="DS55" s="29" t="str">
        <f t="shared" si="42"/>
        <v/>
      </c>
      <c r="DT55" s="29" t="str">
        <f t="shared" si="42"/>
        <v/>
      </c>
      <c r="DU55" s="29" t="str">
        <f t="shared" si="42"/>
        <v/>
      </c>
      <c r="DV55" s="29" t="str">
        <f t="shared" si="42"/>
        <v/>
      </c>
      <c r="DW55" s="29" t="str">
        <f t="shared" si="42"/>
        <v/>
      </c>
      <c r="DX55" s="29" t="str">
        <f t="shared" si="42"/>
        <v/>
      </c>
      <c r="DY55" s="29" t="str">
        <f t="shared" si="42"/>
        <v/>
      </c>
      <c r="DZ55" s="29" t="str">
        <f t="shared" si="42"/>
        <v/>
      </c>
      <c r="EA55" s="29" t="str">
        <f t="shared" si="42"/>
        <v/>
      </c>
      <c r="EB55" s="29" t="str">
        <f t="shared" si="42"/>
        <v/>
      </c>
      <c r="EC55" s="29" t="str">
        <f t="shared" si="43"/>
        <v/>
      </c>
      <c r="ED55" s="29" t="str">
        <f t="shared" si="43"/>
        <v/>
      </c>
      <c r="EE55" s="29" t="str">
        <f t="shared" si="43"/>
        <v/>
      </c>
      <c r="EF55" s="29" t="str">
        <f t="shared" si="43"/>
        <v/>
      </c>
      <c r="EG55" s="29" t="str">
        <f t="shared" si="43"/>
        <v/>
      </c>
      <c r="EH55" s="29" t="str">
        <f t="shared" si="43"/>
        <v/>
      </c>
      <c r="EI55" s="29" t="str">
        <f t="shared" si="43"/>
        <v/>
      </c>
      <c r="EJ55" s="29" t="str">
        <f t="shared" si="43"/>
        <v/>
      </c>
      <c r="EK55" s="29" t="str">
        <f t="shared" si="43"/>
        <v/>
      </c>
      <c r="EL55" s="29" t="str">
        <f t="shared" si="43"/>
        <v/>
      </c>
      <c r="EM55" s="29" t="str">
        <f t="shared" si="43"/>
        <v/>
      </c>
      <c r="EN55" s="29" t="str">
        <f t="shared" si="37"/>
        <v/>
      </c>
      <c r="EO55" s="29" t="str">
        <f t="shared" si="37"/>
        <v/>
      </c>
      <c r="EP55" s="29" t="str">
        <f t="shared" si="37"/>
        <v/>
      </c>
      <c r="EQ55" s="29" t="str">
        <f t="shared" si="37"/>
        <v/>
      </c>
      <c r="ER55" s="29" t="str">
        <f t="shared" si="37"/>
        <v/>
      </c>
      <c r="ES55" s="29" t="str">
        <f t="shared" si="37"/>
        <v/>
      </c>
      <c r="ET55" s="29" t="str">
        <f t="shared" si="37"/>
        <v/>
      </c>
    </row>
    <row r="56" spans="1:150" x14ac:dyDescent="0.2">
      <c r="A56" s="88" t="str">
        <f>TEXT('M&amp;V Tasks'!A57,"#")</f>
        <v/>
      </c>
      <c r="B56" s="91" t="str">
        <f>TEXT('M&amp;V Tasks'!B57,"#")</f>
        <v>Report Outcomes</v>
      </c>
      <c r="C56" s="88">
        <f>'M&amp;V Tasks'!I57</f>
        <v>0</v>
      </c>
      <c r="D56" s="27"/>
      <c r="E56" s="27"/>
      <c r="F56" s="29" t="str">
        <f t="shared" si="44"/>
        <v/>
      </c>
      <c r="G56" s="29" t="str">
        <f t="shared" si="44"/>
        <v/>
      </c>
      <c r="H56" s="29" t="str">
        <f t="shared" si="44"/>
        <v/>
      </c>
      <c r="I56" s="29" t="str">
        <f t="shared" si="44"/>
        <v/>
      </c>
      <c r="J56" s="29" t="str">
        <f t="shared" si="44"/>
        <v/>
      </c>
      <c r="K56" s="29" t="str">
        <f t="shared" si="44"/>
        <v/>
      </c>
      <c r="L56" s="29" t="str">
        <f t="shared" si="44"/>
        <v/>
      </c>
      <c r="M56" s="29" t="str">
        <f t="shared" si="44"/>
        <v/>
      </c>
      <c r="N56" s="29" t="str">
        <f t="shared" si="44"/>
        <v/>
      </c>
      <c r="O56" s="29" t="str">
        <f t="shared" si="44"/>
        <v/>
      </c>
      <c r="P56" s="29" t="str">
        <f t="shared" si="44"/>
        <v/>
      </c>
      <c r="Q56" s="29" t="str">
        <f t="shared" si="44"/>
        <v/>
      </c>
      <c r="R56" s="29" t="str">
        <f t="shared" si="44"/>
        <v/>
      </c>
      <c r="S56" s="29" t="str">
        <f t="shared" si="44"/>
        <v/>
      </c>
      <c r="T56" s="29" t="str">
        <f t="shared" si="44"/>
        <v/>
      </c>
      <c r="U56" s="29" t="str">
        <f t="shared" si="44"/>
        <v/>
      </c>
      <c r="V56" s="29" t="str">
        <f t="shared" si="34"/>
        <v/>
      </c>
      <c r="W56" s="29" t="str">
        <f t="shared" si="34"/>
        <v/>
      </c>
      <c r="X56" s="29" t="str">
        <f t="shared" si="34"/>
        <v/>
      </c>
      <c r="Y56" s="29" t="str">
        <f t="shared" si="34"/>
        <v/>
      </c>
      <c r="Z56" s="29" t="str">
        <f t="shared" si="34"/>
        <v/>
      </c>
      <c r="AA56" s="29" t="str">
        <f t="shared" si="34"/>
        <v/>
      </c>
      <c r="AB56" s="29" t="str">
        <f t="shared" si="34"/>
        <v/>
      </c>
      <c r="AC56" s="29" t="str">
        <f t="shared" si="34"/>
        <v/>
      </c>
      <c r="AD56" s="29" t="str">
        <f t="shared" si="34"/>
        <v/>
      </c>
      <c r="AE56" s="29" t="str">
        <f t="shared" si="34"/>
        <v/>
      </c>
      <c r="AF56" s="29" t="str">
        <f t="shared" si="34"/>
        <v/>
      </c>
      <c r="AG56" s="29" t="str">
        <f t="shared" si="34"/>
        <v/>
      </c>
      <c r="AH56" s="29" t="str">
        <f t="shared" si="34"/>
        <v/>
      </c>
      <c r="AI56" s="29" t="str">
        <f t="shared" si="34"/>
        <v/>
      </c>
      <c r="AJ56" s="29" t="str">
        <f t="shared" si="34"/>
        <v/>
      </c>
      <c r="AK56" s="29" t="str">
        <f t="shared" si="34"/>
        <v/>
      </c>
      <c r="AL56" s="29" t="str">
        <f t="shared" si="35"/>
        <v/>
      </c>
      <c r="AM56" s="29" t="str">
        <f t="shared" si="35"/>
        <v/>
      </c>
      <c r="AN56" s="29" t="str">
        <f t="shared" si="35"/>
        <v/>
      </c>
      <c r="AO56" s="29" t="str">
        <f t="shared" si="35"/>
        <v/>
      </c>
      <c r="AP56" s="29" t="str">
        <f t="shared" si="35"/>
        <v/>
      </c>
      <c r="AQ56" s="29" t="str">
        <f t="shared" si="35"/>
        <v/>
      </c>
      <c r="AR56" s="29" t="str">
        <f t="shared" si="35"/>
        <v/>
      </c>
      <c r="AS56" s="29" t="str">
        <f t="shared" si="35"/>
        <v/>
      </c>
      <c r="AT56" s="29" t="str">
        <f t="shared" si="35"/>
        <v/>
      </c>
      <c r="AU56" s="29" t="str">
        <f t="shared" si="35"/>
        <v/>
      </c>
      <c r="AV56" s="29" t="str">
        <f t="shared" si="35"/>
        <v/>
      </c>
      <c r="AW56" s="29" t="str">
        <f t="shared" si="35"/>
        <v/>
      </c>
      <c r="AX56" s="29" t="str">
        <f t="shared" si="35"/>
        <v/>
      </c>
      <c r="AY56" s="29" t="str">
        <f t="shared" si="35"/>
        <v/>
      </c>
      <c r="AZ56" s="29" t="str">
        <f t="shared" si="35"/>
        <v/>
      </c>
      <c r="BA56" s="29" t="str">
        <f t="shared" si="35"/>
        <v/>
      </c>
      <c r="BB56" s="29" t="str">
        <f t="shared" si="36"/>
        <v/>
      </c>
      <c r="BC56" s="29" t="str">
        <f t="shared" si="36"/>
        <v/>
      </c>
      <c r="BD56" s="29" t="str">
        <f t="shared" si="36"/>
        <v/>
      </c>
      <c r="BE56" s="29" t="str">
        <f t="shared" si="36"/>
        <v/>
      </c>
      <c r="BF56" s="29" t="str">
        <f t="shared" si="36"/>
        <v/>
      </c>
      <c r="BG56" s="29" t="str">
        <f t="shared" si="36"/>
        <v/>
      </c>
      <c r="BH56" s="29" t="str">
        <f t="shared" si="36"/>
        <v/>
      </c>
      <c r="BI56" s="29" t="str">
        <f t="shared" si="36"/>
        <v/>
      </c>
      <c r="BJ56" s="29" t="str">
        <f t="shared" si="36"/>
        <v/>
      </c>
      <c r="BK56" s="29" t="str">
        <f t="shared" si="36"/>
        <v/>
      </c>
      <c r="BL56" s="29" t="str">
        <f t="shared" si="36"/>
        <v/>
      </c>
      <c r="BM56" s="29" t="str">
        <f t="shared" si="41"/>
        <v/>
      </c>
      <c r="BN56" s="29" t="str">
        <f t="shared" si="41"/>
        <v/>
      </c>
      <c r="BO56" s="29" t="str">
        <f t="shared" si="41"/>
        <v/>
      </c>
      <c r="BP56" s="29" t="str">
        <f t="shared" si="41"/>
        <v/>
      </c>
      <c r="BQ56" s="29" t="str">
        <f t="shared" si="41"/>
        <v/>
      </c>
      <c r="BR56" s="29" t="str">
        <f t="shared" si="41"/>
        <v/>
      </c>
      <c r="BS56" s="29" t="str">
        <f t="shared" si="41"/>
        <v/>
      </c>
      <c r="BT56" s="29" t="str">
        <f t="shared" si="41"/>
        <v/>
      </c>
      <c r="BU56" s="29" t="str">
        <f t="shared" si="41"/>
        <v/>
      </c>
      <c r="BV56" s="29" t="str">
        <f t="shared" si="41"/>
        <v/>
      </c>
      <c r="BW56" s="29" t="str">
        <f t="shared" si="41"/>
        <v/>
      </c>
      <c r="BX56" s="29" t="str">
        <f t="shared" si="41"/>
        <v/>
      </c>
      <c r="BY56" s="29" t="str">
        <f t="shared" si="41"/>
        <v/>
      </c>
      <c r="BZ56" s="29" t="str">
        <f t="shared" si="41"/>
        <v/>
      </c>
      <c r="CA56" s="29" t="str">
        <f t="shared" si="41"/>
        <v/>
      </c>
      <c r="CB56" s="29" t="str">
        <f t="shared" si="41"/>
        <v/>
      </c>
      <c r="CC56" s="29" t="str">
        <f t="shared" si="41"/>
        <v/>
      </c>
      <c r="CD56" s="29" t="str">
        <f t="shared" si="41"/>
        <v/>
      </c>
      <c r="CE56" s="29" t="str">
        <f t="shared" si="41"/>
        <v/>
      </c>
      <c r="CF56" s="29" t="str">
        <f t="shared" si="41"/>
        <v/>
      </c>
      <c r="CG56" s="29" t="str">
        <f t="shared" si="41"/>
        <v/>
      </c>
      <c r="CH56" s="29" t="str">
        <f t="shared" si="41"/>
        <v/>
      </c>
      <c r="CI56" s="29" t="str">
        <f t="shared" si="41"/>
        <v/>
      </c>
      <c r="CJ56" s="29" t="str">
        <f t="shared" si="41"/>
        <v/>
      </c>
      <c r="CK56" s="29" t="str">
        <f t="shared" si="41"/>
        <v/>
      </c>
      <c r="CL56" s="29" t="str">
        <f t="shared" si="41"/>
        <v/>
      </c>
      <c r="CM56" s="29" t="str">
        <f t="shared" si="41"/>
        <v/>
      </c>
      <c r="CN56" s="29" t="str">
        <f t="shared" si="41"/>
        <v/>
      </c>
      <c r="CO56" s="29" t="str">
        <f t="shared" si="41"/>
        <v/>
      </c>
      <c r="CP56" s="29" t="str">
        <f t="shared" si="41"/>
        <v/>
      </c>
      <c r="CQ56" s="29" t="str">
        <f t="shared" si="41"/>
        <v/>
      </c>
      <c r="CR56" s="29" t="str">
        <f t="shared" si="41"/>
        <v/>
      </c>
      <c r="CS56" s="29" t="str">
        <f t="shared" si="41"/>
        <v/>
      </c>
      <c r="CT56" s="29" t="str">
        <f t="shared" si="41"/>
        <v/>
      </c>
      <c r="CU56" s="29" t="str">
        <f t="shared" si="41"/>
        <v/>
      </c>
      <c r="CV56" s="29" t="str">
        <f t="shared" si="41"/>
        <v/>
      </c>
      <c r="CW56" s="29" t="str">
        <f t="shared" si="38"/>
        <v/>
      </c>
      <c r="CX56" s="29" t="str">
        <f t="shared" si="38"/>
        <v/>
      </c>
      <c r="CY56" s="29" t="str">
        <f t="shared" si="38"/>
        <v/>
      </c>
      <c r="CZ56" s="29" t="str">
        <f t="shared" si="38"/>
        <v/>
      </c>
      <c r="DA56" s="29" t="str">
        <f t="shared" si="38"/>
        <v/>
      </c>
      <c r="DB56" s="29" t="str">
        <f t="shared" si="38"/>
        <v/>
      </c>
      <c r="DC56" s="29" t="str">
        <f t="shared" si="38"/>
        <v/>
      </c>
      <c r="DD56" s="29" t="str">
        <f t="shared" si="38"/>
        <v/>
      </c>
      <c r="DE56" s="29" t="str">
        <f t="shared" si="38"/>
        <v/>
      </c>
      <c r="DF56" s="29" t="str">
        <f t="shared" si="38"/>
        <v/>
      </c>
      <c r="DG56" s="29" t="str">
        <f t="shared" si="38"/>
        <v/>
      </c>
      <c r="DH56" s="29" t="str">
        <f t="shared" si="38"/>
        <v/>
      </c>
      <c r="DI56" s="29" t="str">
        <f t="shared" si="38"/>
        <v/>
      </c>
      <c r="DJ56" s="29" t="str">
        <f t="shared" si="38"/>
        <v/>
      </c>
      <c r="DK56" s="29" t="str">
        <f t="shared" si="38"/>
        <v/>
      </c>
      <c r="DL56" s="29" t="str">
        <f t="shared" si="38"/>
        <v/>
      </c>
      <c r="DM56" s="29" t="str">
        <f t="shared" si="42"/>
        <v/>
      </c>
      <c r="DN56" s="29" t="str">
        <f t="shared" si="42"/>
        <v/>
      </c>
      <c r="DO56" s="29" t="str">
        <f t="shared" si="42"/>
        <v/>
      </c>
      <c r="DP56" s="29" t="str">
        <f t="shared" si="42"/>
        <v/>
      </c>
      <c r="DQ56" s="29" t="str">
        <f t="shared" si="42"/>
        <v/>
      </c>
      <c r="DR56" s="29" t="str">
        <f t="shared" si="42"/>
        <v/>
      </c>
      <c r="DS56" s="29" t="str">
        <f t="shared" si="42"/>
        <v/>
      </c>
      <c r="DT56" s="29" t="str">
        <f t="shared" si="42"/>
        <v/>
      </c>
      <c r="DU56" s="29" t="str">
        <f t="shared" si="42"/>
        <v/>
      </c>
      <c r="DV56" s="29" t="str">
        <f t="shared" si="42"/>
        <v/>
      </c>
      <c r="DW56" s="29" t="str">
        <f t="shared" si="42"/>
        <v/>
      </c>
      <c r="DX56" s="29" t="str">
        <f t="shared" si="42"/>
        <v/>
      </c>
      <c r="DY56" s="29" t="str">
        <f t="shared" si="42"/>
        <v/>
      </c>
      <c r="DZ56" s="29" t="str">
        <f t="shared" si="42"/>
        <v/>
      </c>
      <c r="EA56" s="29" t="str">
        <f t="shared" si="42"/>
        <v/>
      </c>
      <c r="EB56" s="29" t="str">
        <f t="shared" si="42"/>
        <v/>
      </c>
      <c r="EC56" s="29" t="str">
        <f t="shared" si="43"/>
        <v/>
      </c>
      <c r="ED56" s="29" t="str">
        <f t="shared" si="43"/>
        <v/>
      </c>
      <c r="EE56" s="29" t="str">
        <f t="shared" si="43"/>
        <v/>
      </c>
      <c r="EF56" s="29" t="str">
        <f t="shared" si="43"/>
        <v/>
      </c>
      <c r="EG56" s="29" t="str">
        <f t="shared" si="43"/>
        <v/>
      </c>
      <c r="EH56" s="29" t="str">
        <f t="shared" si="43"/>
        <v/>
      </c>
      <c r="EI56" s="29" t="str">
        <f t="shared" si="43"/>
        <v/>
      </c>
      <c r="EJ56" s="29" t="str">
        <f t="shared" si="43"/>
        <v/>
      </c>
      <c r="EK56" s="29" t="str">
        <f t="shared" si="43"/>
        <v/>
      </c>
      <c r="EL56" s="29" t="str">
        <f t="shared" si="43"/>
        <v/>
      </c>
      <c r="EM56" s="29" t="str">
        <f t="shared" si="43"/>
        <v/>
      </c>
      <c r="EN56" s="29" t="str">
        <f t="shared" si="37"/>
        <v/>
      </c>
      <c r="EO56" s="29" t="str">
        <f t="shared" si="37"/>
        <v/>
      </c>
      <c r="EP56" s="29" t="str">
        <f t="shared" si="37"/>
        <v/>
      </c>
      <c r="EQ56" s="29" t="str">
        <f t="shared" si="37"/>
        <v/>
      </c>
      <c r="ER56" s="29" t="str">
        <f t="shared" si="37"/>
        <v/>
      </c>
      <c r="ES56" s="29" t="str">
        <f t="shared" si="37"/>
        <v/>
      </c>
      <c r="ET56" s="29" t="str">
        <f t="shared" si="37"/>
        <v/>
      </c>
    </row>
    <row r="57" spans="1:150" x14ac:dyDescent="0.2">
      <c r="A57" s="103" t="str">
        <f>TEXT('M&amp;V Tasks'!A58,"#")</f>
        <v>1</v>
      </c>
      <c r="B57" s="104" t="str">
        <f>TEXT('M&amp;V Tasks'!B58,"#")</f>
        <v>Extrapolate measured savings from week across the year</v>
      </c>
      <c r="C57" s="103">
        <f>'M&amp;V Tasks'!I58</f>
        <v>0</v>
      </c>
      <c r="D57" s="27"/>
      <c r="E57" s="27"/>
      <c r="F57" s="29" t="str">
        <f t="shared" si="44"/>
        <v/>
      </c>
      <c r="G57" s="29" t="str">
        <f t="shared" si="44"/>
        <v/>
      </c>
      <c r="H57" s="29" t="str">
        <f t="shared" si="44"/>
        <v/>
      </c>
      <c r="I57" s="29" t="str">
        <f t="shared" si="44"/>
        <v/>
      </c>
      <c r="J57" s="29" t="str">
        <f t="shared" si="44"/>
        <v/>
      </c>
      <c r="K57" s="29" t="str">
        <f t="shared" si="44"/>
        <v/>
      </c>
      <c r="L57" s="29" t="str">
        <f t="shared" si="44"/>
        <v/>
      </c>
      <c r="M57" s="29" t="str">
        <f t="shared" si="44"/>
        <v/>
      </c>
      <c r="N57" s="29" t="str">
        <f t="shared" si="44"/>
        <v/>
      </c>
      <c r="O57" s="29" t="str">
        <f t="shared" si="44"/>
        <v/>
      </c>
      <c r="P57" s="29" t="str">
        <f t="shared" si="44"/>
        <v/>
      </c>
      <c r="Q57" s="29" t="str">
        <f t="shared" si="44"/>
        <v/>
      </c>
      <c r="R57" s="29" t="str">
        <f t="shared" si="44"/>
        <v/>
      </c>
      <c r="S57" s="29" t="str">
        <f t="shared" si="44"/>
        <v/>
      </c>
      <c r="T57" s="29" t="str">
        <f t="shared" si="44"/>
        <v/>
      </c>
      <c r="U57" s="29" t="str">
        <f t="shared" si="44"/>
        <v/>
      </c>
      <c r="V57" s="29" t="str">
        <f t="shared" si="34"/>
        <v/>
      </c>
      <c r="W57" s="29" t="str">
        <f t="shared" si="34"/>
        <v/>
      </c>
      <c r="X57" s="29" t="str">
        <f t="shared" si="34"/>
        <v/>
      </c>
      <c r="Y57" s="29" t="str">
        <f t="shared" si="34"/>
        <v/>
      </c>
      <c r="Z57" s="29" t="str">
        <f t="shared" si="34"/>
        <v/>
      </c>
      <c r="AA57" s="29" t="str">
        <f t="shared" si="34"/>
        <v/>
      </c>
      <c r="AB57" s="29" t="str">
        <f t="shared" si="34"/>
        <v/>
      </c>
      <c r="AC57" s="29" t="str">
        <f t="shared" si="34"/>
        <v/>
      </c>
      <c r="AD57" s="29" t="str">
        <f t="shared" si="34"/>
        <v/>
      </c>
      <c r="AE57" s="29" t="str">
        <f t="shared" si="34"/>
        <v/>
      </c>
      <c r="AF57" s="29" t="str">
        <f t="shared" si="34"/>
        <v/>
      </c>
      <c r="AG57" s="29" t="str">
        <f t="shared" si="34"/>
        <v/>
      </c>
      <c r="AH57" s="29" t="str">
        <f t="shared" si="34"/>
        <v/>
      </c>
      <c r="AI57" s="29" t="str">
        <f t="shared" si="34"/>
        <v/>
      </c>
      <c r="AJ57" s="29" t="str">
        <f t="shared" si="34"/>
        <v/>
      </c>
      <c r="AK57" s="29" t="str">
        <f t="shared" si="34"/>
        <v/>
      </c>
      <c r="AL57" s="29" t="str">
        <f t="shared" si="35"/>
        <v/>
      </c>
      <c r="AM57" s="29" t="str">
        <f t="shared" si="35"/>
        <v/>
      </c>
      <c r="AN57" s="29" t="str">
        <f t="shared" si="35"/>
        <v/>
      </c>
      <c r="AO57" s="29" t="str">
        <f t="shared" si="35"/>
        <v/>
      </c>
      <c r="AP57" s="29" t="str">
        <f t="shared" si="35"/>
        <v/>
      </c>
      <c r="AQ57" s="29" t="str">
        <f t="shared" si="35"/>
        <v/>
      </c>
      <c r="AR57" s="29" t="str">
        <f t="shared" si="35"/>
        <v/>
      </c>
      <c r="AS57" s="29" t="str">
        <f t="shared" si="35"/>
        <v/>
      </c>
      <c r="AT57" s="29" t="str">
        <f t="shared" si="35"/>
        <v/>
      </c>
      <c r="AU57" s="29" t="str">
        <f t="shared" si="35"/>
        <v/>
      </c>
      <c r="AV57" s="29" t="str">
        <f t="shared" si="35"/>
        <v/>
      </c>
      <c r="AW57" s="29" t="str">
        <f t="shared" si="35"/>
        <v/>
      </c>
      <c r="AX57" s="29" t="str">
        <f t="shared" si="35"/>
        <v/>
      </c>
      <c r="AY57" s="29" t="str">
        <f t="shared" si="35"/>
        <v/>
      </c>
      <c r="AZ57" s="29" t="str">
        <f t="shared" si="35"/>
        <v/>
      </c>
      <c r="BA57" s="29" t="str">
        <f t="shared" si="35"/>
        <v/>
      </c>
      <c r="BB57" s="29" t="str">
        <f t="shared" si="36"/>
        <v/>
      </c>
      <c r="BC57" s="29" t="str">
        <f t="shared" si="36"/>
        <v/>
      </c>
      <c r="BD57" s="29" t="str">
        <f t="shared" si="36"/>
        <v/>
      </c>
      <c r="BE57" s="29" t="str">
        <f t="shared" si="36"/>
        <v/>
      </c>
      <c r="BF57" s="29" t="str">
        <f t="shared" si="36"/>
        <v/>
      </c>
      <c r="BG57" s="29" t="str">
        <f t="shared" si="36"/>
        <v/>
      </c>
      <c r="BH57" s="29" t="str">
        <f t="shared" si="36"/>
        <v/>
      </c>
      <c r="BI57" s="29" t="str">
        <f t="shared" si="36"/>
        <v/>
      </c>
      <c r="BJ57" s="29" t="str">
        <f t="shared" si="36"/>
        <v/>
      </c>
      <c r="BK57" s="29" t="str">
        <f t="shared" si="36"/>
        <v/>
      </c>
      <c r="BL57" s="29" t="str">
        <f t="shared" si="36"/>
        <v/>
      </c>
      <c r="BM57" s="29" t="str">
        <f t="shared" si="41"/>
        <v/>
      </c>
      <c r="BN57" s="29" t="str">
        <f t="shared" si="41"/>
        <v/>
      </c>
      <c r="BO57" s="29" t="str">
        <f t="shared" ref="BO57:CV64" si="45">IF(AND(BO$9&gt;=$D57,BO$9&lt;=$E57),1,"")</f>
        <v/>
      </c>
      <c r="BP57" s="29" t="str">
        <f t="shared" si="45"/>
        <v/>
      </c>
      <c r="BQ57" s="29" t="str">
        <f t="shared" si="45"/>
        <v/>
      </c>
      <c r="BR57" s="29" t="str">
        <f t="shared" si="45"/>
        <v/>
      </c>
      <c r="BS57" s="29" t="str">
        <f t="shared" si="45"/>
        <v/>
      </c>
      <c r="BT57" s="29" t="str">
        <f t="shared" si="45"/>
        <v/>
      </c>
      <c r="BU57" s="29" t="str">
        <f t="shared" si="45"/>
        <v/>
      </c>
      <c r="BV57" s="29" t="str">
        <f t="shared" si="45"/>
        <v/>
      </c>
      <c r="BW57" s="29" t="str">
        <f t="shared" si="45"/>
        <v/>
      </c>
      <c r="BX57" s="29" t="str">
        <f t="shared" si="45"/>
        <v/>
      </c>
      <c r="BY57" s="29" t="str">
        <f t="shared" si="45"/>
        <v/>
      </c>
      <c r="BZ57" s="29" t="str">
        <f t="shared" si="45"/>
        <v/>
      </c>
      <c r="CA57" s="29" t="str">
        <f t="shared" si="45"/>
        <v/>
      </c>
      <c r="CB57" s="29" t="str">
        <f t="shared" si="45"/>
        <v/>
      </c>
      <c r="CC57" s="29" t="str">
        <f t="shared" si="45"/>
        <v/>
      </c>
      <c r="CD57" s="29" t="str">
        <f t="shared" si="45"/>
        <v/>
      </c>
      <c r="CE57" s="29" t="str">
        <f t="shared" si="45"/>
        <v/>
      </c>
      <c r="CF57" s="29" t="str">
        <f t="shared" si="45"/>
        <v/>
      </c>
      <c r="CG57" s="29" t="str">
        <f t="shared" si="45"/>
        <v/>
      </c>
      <c r="CH57" s="29" t="str">
        <f t="shared" si="45"/>
        <v/>
      </c>
      <c r="CI57" s="29" t="str">
        <f t="shared" si="45"/>
        <v/>
      </c>
      <c r="CJ57" s="29" t="str">
        <f t="shared" si="45"/>
        <v/>
      </c>
      <c r="CK57" s="29" t="str">
        <f t="shared" si="45"/>
        <v/>
      </c>
      <c r="CL57" s="29" t="str">
        <f t="shared" si="45"/>
        <v/>
      </c>
      <c r="CM57" s="29" t="str">
        <f t="shared" si="45"/>
        <v/>
      </c>
      <c r="CN57" s="29" t="str">
        <f t="shared" si="45"/>
        <v/>
      </c>
      <c r="CO57" s="29" t="str">
        <f t="shared" si="45"/>
        <v/>
      </c>
      <c r="CP57" s="29" t="str">
        <f t="shared" si="45"/>
        <v/>
      </c>
      <c r="CQ57" s="29" t="str">
        <f t="shared" si="45"/>
        <v/>
      </c>
      <c r="CR57" s="29" t="str">
        <f t="shared" si="45"/>
        <v/>
      </c>
      <c r="CS57" s="29" t="str">
        <f t="shared" si="45"/>
        <v/>
      </c>
      <c r="CT57" s="29" t="str">
        <f t="shared" si="45"/>
        <v/>
      </c>
      <c r="CU57" s="29" t="str">
        <f t="shared" si="45"/>
        <v/>
      </c>
      <c r="CV57" s="29" t="str">
        <f t="shared" si="45"/>
        <v/>
      </c>
      <c r="CW57" s="29" t="str">
        <f t="shared" si="38"/>
        <v/>
      </c>
      <c r="CX57" s="29" t="str">
        <f t="shared" si="38"/>
        <v/>
      </c>
      <c r="CY57" s="29" t="str">
        <f t="shared" si="38"/>
        <v/>
      </c>
      <c r="CZ57" s="29" t="str">
        <f t="shared" si="38"/>
        <v/>
      </c>
      <c r="DA57" s="29" t="str">
        <f t="shared" si="38"/>
        <v/>
      </c>
      <c r="DB57" s="29" t="str">
        <f t="shared" si="38"/>
        <v/>
      </c>
      <c r="DC57" s="29" t="str">
        <f t="shared" si="38"/>
        <v/>
      </c>
      <c r="DD57" s="29" t="str">
        <f t="shared" si="38"/>
        <v/>
      </c>
      <c r="DE57" s="29" t="str">
        <f t="shared" si="38"/>
        <v/>
      </c>
      <c r="DF57" s="29" t="str">
        <f t="shared" si="38"/>
        <v/>
      </c>
      <c r="DG57" s="29" t="str">
        <f t="shared" si="38"/>
        <v/>
      </c>
      <c r="DH57" s="29" t="str">
        <f t="shared" si="38"/>
        <v/>
      </c>
      <c r="DI57" s="29" t="str">
        <f t="shared" si="38"/>
        <v/>
      </c>
      <c r="DJ57" s="29" t="str">
        <f t="shared" si="38"/>
        <v/>
      </c>
      <c r="DK57" s="29" t="str">
        <f t="shared" si="38"/>
        <v/>
      </c>
      <c r="DL57" s="29" t="str">
        <f t="shared" si="38"/>
        <v/>
      </c>
      <c r="DM57" s="29" t="str">
        <f t="shared" si="42"/>
        <v/>
      </c>
      <c r="DN57" s="29" t="str">
        <f t="shared" si="42"/>
        <v/>
      </c>
      <c r="DO57" s="29" t="str">
        <f t="shared" si="42"/>
        <v/>
      </c>
      <c r="DP57" s="29" t="str">
        <f t="shared" si="42"/>
        <v/>
      </c>
      <c r="DQ57" s="29" t="str">
        <f t="shared" si="42"/>
        <v/>
      </c>
      <c r="DR57" s="29" t="str">
        <f t="shared" si="42"/>
        <v/>
      </c>
      <c r="DS57" s="29" t="str">
        <f t="shared" si="42"/>
        <v/>
      </c>
      <c r="DT57" s="29" t="str">
        <f t="shared" si="42"/>
        <v/>
      </c>
      <c r="DU57" s="29" t="str">
        <f t="shared" si="42"/>
        <v/>
      </c>
      <c r="DV57" s="29" t="str">
        <f t="shared" si="42"/>
        <v/>
      </c>
      <c r="DW57" s="29" t="str">
        <f t="shared" si="42"/>
        <v/>
      </c>
      <c r="DX57" s="29" t="str">
        <f t="shared" si="42"/>
        <v/>
      </c>
      <c r="DY57" s="29" t="str">
        <f t="shared" si="42"/>
        <v/>
      </c>
      <c r="DZ57" s="29" t="str">
        <f t="shared" si="42"/>
        <v/>
      </c>
      <c r="EA57" s="29" t="str">
        <f t="shared" si="42"/>
        <v/>
      </c>
      <c r="EB57" s="29" t="str">
        <f t="shared" si="42"/>
        <v/>
      </c>
      <c r="EC57" s="29" t="str">
        <f t="shared" si="43"/>
        <v/>
      </c>
      <c r="ED57" s="29" t="str">
        <f t="shared" si="43"/>
        <v/>
      </c>
      <c r="EE57" s="29" t="str">
        <f t="shared" si="43"/>
        <v/>
      </c>
      <c r="EF57" s="29" t="str">
        <f t="shared" si="43"/>
        <v/>
      </c>
      <c r="EG57" s="29" t="str">
        <f t="shared" si="43"/>
        <v/>
      </c>
      <c r="EH57" s="29" t="str">
        <f t="shared" si="43"/>
        <v/>
      </c>
      <c r="EI57" s="29" t="str">
        <f t="shared" si="43"/>
        <v/>
      </c>
      <c r="EJ57" s="29" t="str">
        <f t="shared" si="43"/>
        <v/>
      </c>
      <c r="EK57" s="29" t="str">
        <f t="shared" si="43"/>
        <v/>
      </c>
      <c r="EL57" s="29" t="str">
        <f t="shared" si="43"/>
        <v/>
      </c>
      <c r="EM57" s="29" t="str">
        <f t="shared" si="43"/>
        <v/>
      </c>
      <c r="EN57" s="29" t="str">
        <f t="shared" si="37"/>
        <v/>
      </c>
      <c r="EO57" s="29" t="str">
        <f t="shared" si="37"/>
        <v/>
      </c>
      <c r="EP57" s="29" t="str">
        <f t="shared" si="37"/>
        <v/>
      </c>
      <c r="EQ57" s="29" t="str">
        <f t="shared" si="37"/>
        <v/>
      </c>
      <c r="ER57" s="29" t="str">
        <f t="shared" si="37"/>
        <v/>
      </c>
      <c r="ES57" s="29" t="str">
        <f t="shared" si="37"/>
        <v/>
      </c>
      <c r="ET57" s="29" t="str">
        <f t="shared" si="37"/>
        <v/>
      </c>
    </row>
    <row r="58" spans="1:150" x14ac:dyDescent="0.2">
      <c r="A58" s="103" t="str">
        <f>TEXT('M&amp;V Tasks'!A59,"#")</f>
        <v>2</v>
      </c>
      <c r="B58" s="104" t="str">
        <f>TEXT('M&amp;V Tasks'!B59,"#")</f>
        <v>Prepare and distribute M&amp;V energy savings report</v>
      </c>
      <c r="C58" s="103">
        <f>'M&amp;V Tasks'!I59</f>
        <v>0</v>
      </c>
      <c r="D58" s="27"/>
      <c r="E58" s="27"/>
      <c r="F58" s="29" t="str">
        <f t="shared" si="44"/>
        <v/>
      </c>
      <c r="G58" s="29" t="str">
        <f t="shared" si="44"/>
        <v/>
      </c>
      <c r="H58" s="29" t="str">
        <f t="shared" si="44"/>
        <v/>
      </c>
      <c r="I58" s="29" t="str">
        <f t="shared" si="44"/>
        <v/>
      </c>
      <c r="J58" s="29" t="str">
        <f t="shared" si="44"/>
        <v/>
      </c>
      <c r="K58" s="29" t="str">
        <f t="shared" si="44"/>
        <v/>
      </c>
      <c r="L58" s="29" t="str">
        <f t="shared" si="44"/>
        <v/>
      </c>
      <c r="M58" s="29" t="str">
        <f t="shared" si="44"/>
        <v/>
      </c>
      <c r="N58" s="29" t="str">
        <f t="shared" si="44"/>
        <v/>
      </c>
      <c r="O58" s="29" t="str">
        <f t="shared" si="44"/>
        <v/>
      </c>
      <c r="P58" s="29" t="str">
        <f t="shared" si="44"/>
        <v/>
      </c>
      <c r="Q58" s="29" t="str">
        <f t="shared" si="44"/>
        <v/>
      </c>
      <c r="R58" s="29" t="str">
        <f t="shared" si="44"/>
        <v/>
      </c>
      <c r="S58" s="29" t="str">
        <f t="shared" si="44"/>
        <v/>
      </c>
      <c r="T58" s="29" t="str">
        <f t="shared" si="44"/>
        <v/>
      </c>
      <c r="U58" s="29" t="str">
        <f t="shared" si="44"/>
        <v/>
      </c>
      <c r="V58" s="29" t="str">
        <f t="shared" si="34"/>
        <v/>
      </c>
      <c r="W58" s="29" t="str">
        <f t="shared" si="34"/>
        <v/>
      </c>
      <c r="X58" s="29" t="str">
        <f t="shared" si="34"/>
        <v/>
      </c>
      <c r="Y58" s="29" t="str">
        <f t="shared" si="34"/>
        <v/>
      </c>
      <c r="Z58" s="29" t="str">
        <f t="shared" si="34"/>
        <v/>
      </c>
      <c r="AA58" s="29" t="str">
        <f t="shared" si="34"/>
        <v/>
      </c>
      <c r="AB58" s="29" t="str">
        <f t="shared" si="34"/>
        <v/>
      </c>
      <c r="AC58" s="29" t="str">
        <f t="shared" si="34"/>
        <v/>
      </c>
      <c r="AD58" s="29" t="str">
        <f t="shared" si="34"/>
        <v/>
      </c>
      <c r="AE58" s="29" t="str">
        <f t="shared" si="34"/>
        <v/>
      </c>
      <c r="AF58" s="29" t="str">
        <f t="shared" si="34"/>
        <v/>
      </c>
      <c r="AG58" s="29" t="str">
        <f t="shared" si="34"/>
        <v/>
      </c>
      <c r="AH58" s="29" t="str">
        <f t="shared" si="34"/>
        <v/>
      </c>
      <c r="AI58" s="29" t="str">
        <f t="shared" si="34"/>
        <v/>
      </c>
      <c r="AJ58" s="29" t="str">
        <f t="shared" si="34"/>
        <v/>
      </c>
      <c r="AK58" s="29" t="str">
        <f t="shared" ref="V58:AK65" si="46">IF(AND(AK$9&gt;=$D58,AK$9&lt;=$E58),1,"")</f>
        <v/>
      </c>
      <c r="AL58" s="29" t="str">
        <f t="shared" si="35"/>
        <v/>
      </c>
      <c r="AM58" s="29" t="str">
        <f t="shared" si="35"/>
        <v/>
      </c>
      <c r="AN58" s="29" t="str">
        <f t="shared" si="35"/>
        <v/>
      </c>
      <c r="AO58" s="29" t="str">
        <f t="shared" si="35"/>
        <v/>
      </c>
      <c r="AP58" s="29" t="str">
        <f t="shared" si="35"/>
        <v/>
      </c>
      <c r="AQ58" s="29" t="str">
        <f t="shared" si="35"/>
        <v/>
      </c>
      <c r="AR58" s="29" t="str">
        <f t="shared" si="35"/>
        <v/>
      </c>
      <c r="AS58" s="29" t="str">
        <f t="shared" si="35"/>
        <v/>
      </c>
      <c r="AT58" s="29" t="str">
        <f t="shared" si="35"/>
        <v/>
      </c>
      <c r="AU58" s="29" t="str">
        <f t="shared" si="35"/>
        <v/>
      </c>
      <c r="AV58" s="29" t="str">
        <f t="shared" si="35"/>
        <v/>
      </c>
      <c r="AW58" s="29" t="str">
        <f t="shared" si="35"/>
        <v/>
      </c>
      <c r="AX58" s="29" t="str">
        <f t="shared" si="35"/>
        <v/>
      </c>
      <c r="AY58" s="29" t="str">
        <f t="shared" si="35"/>
        <v/>
      </c>
      <c r="AZ58" s="29" t="str">
        <f t="shared" si="35"/>
        <v/>
      </c>
      <c r="BA58" s="29" t="str">
        <f t="shared" ref="AL58:BA65" si="47">IF(AND(BA$9&gt;=$D58,BA$9&lt;=$E58),1,"")</f>
        <v/>
      </c>
      <c r="BB58" s="29" t="str">
        <f t="shared" si="36"/>
        <v/>
      </c>
      <c r="BC58" s="29" t="str">
        <f t="shared" si="36"/>
        <v/>
      </c>
      <c r="BD58" s="29" t="str">
        <f t="shared" si="36"/>
        <v/>
      </c>
      <c r="BE58" s="29" t="str">
        <f t="shared" si="36"/>
        <v/>
      </c>
      <c r="BF58" s="29" t="str">
        <f t="shared" si="36"/>
        <v/>
      </c>
      <c r="BG58" s="29" t="str">
        <f t="shared" si="36"/>
        <v/>
      </c>
      <c r="BH58" s="29" t="str">
        <f t="shared" si="36"/>
        <v/>
      </c>
      <c r="BI58" s="29" t="str">
        <f t="shared" si="36"/>
        <v/>
      </c>
      <c r="BJ58" s="29" t="str">
        <f t="shared" si="36"/>
        <v/>
      </c>
      <c r="BK58" s="29" t="str">
        <f t="shared" si="36"/>
        <v/>
      </c>
      <c r="BL58" s="29" t="str">
        <f t="shared" si="36"/>
        <v/>
      </c>
      <c r="BM58" s="29" t="str">
        <f t="shared" si="36"/>
        <v/>
      </c>
      <c r="BN58" s="29" t="str">
        <f t="shared" si="36"/>
        <v/>
      </c>
      <c r="BO58" s="29" t="str">
        <f t="shared" si="45"/>
        <v/>
      </c>
      <c r="BP58" s="29" t="str">
        <f t="shared" si="45"/>
        <v/>
      </c>
      <c r="BQ58" s="29" t="str">
        <f t="shared" si="45"/>
        <v/>
      </c>
      <c r="BR58" s="29" t="str">
        <f t="shared" si="45"/>
        <v/>
      </c>
      <c r="BS58" s="29" t="str">
        <f t="shared" si="45"/>
        <v/>
      </c>
      <c r="BT58" s="29" t="str">
        <f t="shared" si="45"/>
        <v/>
      </c>
      <c r="BU58" s="29" t="str">
        <f t="shared" si="45"/>
        <v/>
      </c>
      <c r="BV58" s="29" t="str">
        <f t="shared" si="45"/>
        <v/>
      </c>
      <c r="BW58" s="29" t="str">
        <f t="shared" si="45"/>
        <v/>
      </c>
      <c r="BX58" s="29" t="str">
        <f t="shared" si="45"/>
        <v/>
      </c>
      <c r="BY58" s="29" t="str">
        <f t="shared" si="45"/>
        <v/>
      </c>
      <c r="BZ58" s="29" t="str">
        <f t="shared" si="45"/>
        <v/>
      </c>
      <c r="CA58" s="29" t="str">
        <f t="shared" si="45"/>
        <v/>
      </c>
      <c r="CB58" s="29" t="str">
        <f t="shared" si="45"/>
        <v/>
      </c>
      <c r="CC58" s="29" t="str">
        <f t="shared" si="45"/>
        <v/>
      </c>
      <c r="CD58" s="29" t="str">
        <f t="shared" si="45"/>
        <v/>
      </c>
      <c r="CE58" s="29" t="str">
        <f t="shared" si="45"/>
        <v/>
      </c>
      <c r="CF58" s="29" t="str">
        <f t="shared" si="45"/>
        <v/>
      </c>
      <c r="CG58" s="29" t="str">
        <f t="shared" si="45"/>
        <v/>
      </c>
      <c r="CH58" s="29" t="str">
        <f t="shared" si="45"/>
        <v/>
      </c>
      <c r="CI58" s="29" t="str">
        <f t="shared" si="45"/>
        <v/>
      </c>
      <c r="CJ58" s="29" t="str">
        <f t="shared" si="45"/>
        <v/>
      </c>
      <c r="CK58" s="29" t="str">
        <f t="shared" si="45"/>
        <v/>
      </c>
      <c r="CL58" s="29" t="str">
        <f t="shared" si="45"/>
        <v/>
      </c>
      <c r="CM58" s="29" t="str">
        <f t="shared" si="45"/>
        <v/>
      </c>
      <c r="CN58" s="29" t="str">
        <f t="shared" si="45"/>
        <v/>
      </c>
      <c r="CO58" s="29" t="str">
        <f t="shared" si="45"/>
        <v/>
      </c>
      <c r="CP58" s="29" t="str">
        <f t="shared" si="45"/>
        <v/>
      </c>
      <c r="CQ58" s="29" t="str">
        <f t="shared" si="45"/>
        <v/>
      </c>
      <c r="CR58" s="29" t="str">
        <f t="shared" si="45"/>
        <v/>
      </c>
      <c r="CS58" s="29" t="str">
        <f t="shared" si="45"/>
        <v/>
      </c>
      <c r="CT58" s="29" t="str">
        <f t="shared" si="45"/>
        <v/>
      </c>
      <c r="CU58" s="29" t="str">
        <f t="shared" si="45"/>
        <v/>
      </c>
      <c r="CV58" s="29" t="str">
        <f t="shared" si="45"/>
        <v/>
      </c>
      <c r="CW58" s="29" t="str">
        <f t="shared" si="38"/>
        <v/>
      </c>
      <c r="CX58" s="29" t="str">
        <f t="shared" si="38"/>
        <v/>
      </c>
      <c r="CY58" s="29" t="str">
        <f t="shared" si="38"/>
        <v/>
      </c>
      <c r="CZ58" s="29" t="str">
        <f t="shared" si="38"/>
        <v/>
      </c>
      <c r="DA58" s="29" t="str">
        <f t="shared" si="38"/>
        <v/>
      </c>
      <c r="DB58" s="29" t="str">
        <f t="shared" si="38"/>
        <v/>
      </c>
      <c r="DC58" s="29" t="str">
        <f t="shared" si="38"/>
        <v/>
      </c>
      <c r="DD58" s="29" t="str">
        <f t="shared" si="38"/>
        <v/>
      </c>
      <c r="DE58" s="29" t="str">
        <f t="shared" si="38"/>
        <v/>
      </c>
      <c r="DF58" s="29" t="str">
        <f t="shared" si="38"/>
        <v/>
      </c>
      <c r="DG58" s="29" t="str">
        <f t="shared" si="38"/>
        <v/>
      </c>
      <c r="DH58" s="29" t="str">
        <f t="shared" si="38"/>
        <v/>
      </c>
      <c r="DI58" s="29" t="str">
        <f t="shared" si="38"/>
        <v/>
      </c>
      <c r="DJ58" s="29" t="str">
        <f t="shared" si="38"/>
        <v/>
      </c>
      <c r="DK58" s="29" t="str">
        <f t="shared" si="38"/>
        <v/>
      </c>
      <c r="DL58" s="29" t="str">
        <f t="shared" si="38"/>
        <v/>
      </c>
      <c r="DM58" s="29" t="str">
        <f t="shared" si="42"/>
        <v/>
      </c>
      <c r="DN58" s="29" t="str">
        <f t="shared" si="42"/>
        <v/>
      </c>
      <c r="DO58" s="29" t="str">
        <f t="shared" si="42"/>
        <v/>
      </c>
      <c r="DP58" s="29" t="str">
        <f t="shared" si="42"/>
        <v/>
      </c>
      <c r="DQ58" s="29" t="str">
        <f t="shared" si="42"/>
        <v/>
      </c>
      <c r="DR58" s="29" t="str">
        <f t="shared" si="42"/>
        <v/>
      </c>
      <c r="DS58" s="29" t="str">
        <f t="shared" si="42"/>
        <v/>
      </c>
      <c r="DT58" s="29" t="str">
        <f t="shared" si="42"/>
        <v/>
      </c>
      <c r="DU58" s="29" t="str">
        <f t="shared" si="42"/>
        <v/>
      </c>
      <c r="DV58" s="29" t="str">
        <f t="shared" si="42"/>
        <v/>
      </c>
      <c r="DW58" s="29" t="str">
        <f t="shared" si="42"/>
        <v/>
      </c>
      <c r="DX58" s="29" t="str">
        <f t="shared" si="42"/>
        <v/>
      </c>
      <c r="DY58" s="29" t="str">
        <f t="shared" si="42"/>
        <v/>
      </c>
      <c r="DZ58" s="29" t="str">
        <f t="shared" si="42"/>
        <v/>
      </c>
      <c r="EA58" s="29" t="str">
        <f t="shared" si="42"/>
        <v/>
      </c>
      <c r="EB58" s="29" t="str">
        <f t="shared" si="42"/>
        <v/>
      </c>
      <c r="EC58" s="29" t="str">
        <f t="shared" si="43"/>
        <v/>
      </c>
      <c r="ED58" s="29" t="str">
        <f t="shared" si="43"/>
        <v/>
      </c>
      <c r="EE58" s="29" t="str">
        <f t="shared" si="43"/>
        <v/>
      </c>
      <c r="EF58" s="29" t="str">
        <f t="shared" si="43"/>
        <v/>
      </c>
      <c r="EG58" s="29" t="str">
        <f t="shared" si="43"/>
        <v/>
      </c>
      <c r="EH58" s="29" t="str">
        <f t="shared" si="43"/>
        <v/>
      </c>
      <c r="EI58" s="29" t="str">
        <f t="shared" si="43"/>
        <v/>
      </c>
      <c r="EJ58" s="29" t="str">
        <f t="shared" si="43"/>
        <v/>
      </c>
      <c r="EK58" s="29" t="str">
        <f t="shared" si="43"/>
        <v/>
      </c>
      <c r="EL58" s="29" t="str">
        <f t="shared" si="43"/>
        <v/>
      </c>
      <c r="EM58" s="29" t="str">
        <f t="shared" si="43"/>
        <v/>
      </c>
      <c r="EN58" s="29" t="str">
        <f t="shared" si="37"/>
        <v/>
      </c>
      <c r="EO58" s="29" t="str">
        <f t="shared" si="37"/>
        <v/>
      </c>
      <c r="EP58" s="29" t="str">
        <f t="shared" si="37"/>
        <v/>
      </c>
      <c r="EQ58" s="29" t="str">
        <f t="shared" si="37"/>
        <v/>
      </c>
      <c r="ER58" s="29" t="str">
        <f t="shared" si="37"/>
        <v/>
      </c>
      <c r="ES58" s="29" t="str">
        <f t="shared" si="37"/>
        <v/>
      </c>
      <c r="ET58" s="29" t="str">
        <f t="shared" si="37"/>
        <v/>
      </c>
    </row>
    <row r="59" spans="1:150" x14ac:dyDescent="0.2">
      <c r="A59" s="103" t="str">
        <f>TEXT('M&amp;V Tasks'!A60,"#")</f>
        <v>3</v>
      </c>
      <c r="B59" s="104" t="str">
        <f>TEXT('M&amp;V Tasks'!B60,"#")</f>
        <v>Present findings to site and division management</v>
      </c>
      <c r="C59" s="103">
        <f>'M&amp;V Tasks'!I60</f>
        <v>0</v>
      </c>
      <c r="D59" s="27"/>
      <c r="E59" s="27"/>
      <c r="F59" s="29" t="str">
        <f t="shared" si="44"/>
        <v/>
      </c>
      <c r="G59" s="29" t="str">
        <f t="shared" si="44"/>
        <v/>
      </c>
      <c r="H59" s="29" t="str">
        <f t="shared" si="44"/>
        <v/>
      </c>
      <c r="I59" s="29" t="str">
        <f t="shared" si="44"/>
        <v/>
      </c>
      <c r="J59" s="29" t="str">
        <f t="shared" si="44"/>
        <v/>
      </c>
      <c r="K59" s="29" t="str">
        <f t="shared" si="44"/>
        <v/>
      </c>
      <c r="L59" s="29" t="str">
        <f t="shared" si="44"/>
        <v/>
      </c>
      <c r="M59" s="29" t="str">
        <f t="shared" si="44"/>
        <v/>
      </c>
      <c r="N59" s="29" t="str">
        <f t="shared" si="44"/>
        <v/>
      </c>
      <c r="O59" s="29" t="str">
        <f t="shared" si="44"/>
        <v/>
      </c>
      <c r="P59" s="29" t="str">
        <f t="shared" si="44"/>
        <v/>
      </c>
      <c r="Q59" s="29" t="str">
        <f t="shared" si="44"/>
        <v/>
      </c>
      <c r="R59" s="29" t="str">
        <f t="shared" si="44"/>
        <v/>
      </c>
      <c r="S59" s="29" t="str">
        <f t="shared" si="44"/>
        <v/>
      </c>
      <c r="T59" s="29" t="str">
        <f t="shared" si="44"/>
        <v/>
      </c>
      <c r="U59" s="29" t="str">
        <f t="shared" si="44"/>
        <v/>
      </c>
      <c r="V59" s="29" t="str">
        <f t="shared" si="46"/>
        <v/>
      </c>
      <c r="W59" s="29" t="str">
        <f t="shared" si="46"/>
        <v/>
      </c>
      <c r="X59" s="29" t="str">
        <f t="shared" si="46"/>
        <v/>
      </c>
      <c r="Y59" s="29" t="str">
        <f t="shared" si="46"/>
        <v/>
      </c>
      <c r="Z59" s="29" t="str">
        <f t="shared" si="46"/>
        <v/>
      </c>
      <c r="AA59" s="29" t="str">
        <f t="shared" si="46"/>
        <v/>
      </c>
      <c r="AB59" s="29" t="str">
        <f t="shared" si="46"/>
        <v/>
      </c>
      <c r="AC59" s="29" t="str">
        <f t="shared" si="46"/>
        <v/>
      </c>
      <c r="AD59" s="29" t="str">
        <f t="shared" si="46"/>
        <v/>
      </c>
      <c r="AE59" s="29" t="str">
        <f t="shared" si="46"/>
        <v/>
      </c>
      <c r="AF59" s="29" t="str">
        <f t="shared" si="46"/>
        <v/>
      </c>
      <c r="AG59" s="29" t="str">
        <f t="shared" si="46"/>
        <v/>
      </c>
      <c r="AH59" s="29" t="str">
        <f t="shared" si="46"/>
        <v/>
      </c>
      <c r="AI59" s="29" t="str">
        <f t="shared" si="46"/>
        <v/>
      </c>
      <c r="AJ59" s="29" t="str">
        <f t="shared" si="46"/>
        <v/>
      </c>
      <c r="AK59" s="29" t="str">
        <f t="shared" si="46"/>
        <v/>
      </c>
      <c r="AL59" s="29" t="str">
        <f t="shared" si="47"/>
        <v/>
      </c>
      <c r="AM59" s="29" t="str">
        <f t="shared" si="47"/>
        <v/>
      </c>
      <c r="AN59" s="29" t="str">
        <f t="shared" si="47"/>
        <v/>
      </c>
      <c r="AO59" s="29" t="str">
        <f t="shared" si="47"/>
        <v/>
      </c>
      <c r="AP59" s="29" t="str">
        <f t="shared" si="47"/>
        <v/>
      </c>
      <c r="AQ59" s="29" t="str">
        <f t="shared" si="47"/>
        <v/>
      </c>
      <c r="AR59" s="29" t="str">
        <f t="shared" si="47"/>
        <v/>
      </c>
      <c r="AS59" s="29" t="str">
        <f t="shared" si="47"/>
        <v/>
      </c>
      <c r="AT59" s="29" t="str">
        <f t="shared" si="47"/>
        <v/>
      </c>
      <c r="AU59" s="29" t="str">
        <f t="shared" si="47"/>
        <v/>
      </c>
      <c r="AV59" s="29" t="str">
        <f t="shared" si="47"/>
        <v/>
      </c>
      <c r="AW59" s="29" t="str">
        <f t="shared" si="47"/>
        <v/>
      </c>
      <c r="AX59" s="29" t="str">
        <f t="shared" si="47"/>
        <v/>
      </c>
      <c r="AY59" s="29" t="str">
        <f t="shared" si="47"/>
        <v/>
      </c>
      <c r="AZ59" s="29" t="str">
        <f t="shared" si="47"/>
        <v/>
      </c>
      <c r="BA59" s="29" t="str">
        <f t="shared" si="47"/>
        <v/>
      </c>
      <c r="BB59" s="29" t="str">
        <f t="shared" ref="BB59:BN65" si="48">IF(AND(BB$9&gt;=$D59,BB$9&lt;=$E59),1,"")</f>
        <v/>
      </c>
      <c r="BC59" s="29" t="str">
        <f t="shared" si="48"/>
        <v/>
      </c>
      <c r="BD59" s="29" t="str">
        <f t="shared" si="48"/>
        <v/>
      </c>
      <c r="BE59" s="29" t="str">
        <f t="shared" si="48"/>
        <v/>
      </c>
      <c r="BF59" s="29" t="str">
        <f t="shared" si="48"/>
        <v/>
      </c>
      <c r="BG59" s="29" t="str">
        <f t="shared" si="48"/>
        <v/>
      </c>
      <c r="BH59" s="29" t="str">
        <f t="shared" si="48"/>
        <v/>
      </c>
      <c r="BI59" s="29" t="str">
        <f t="shared" si="48"/>
        <v/>
      </c>
      <c r="BJ59" s="29" t="str">
        <f t="shared" si="48"/>
        <v/>
      </c>
      <c r="BK59" s="29" t="str">
        <f t="shared" si="48"/>
        <v/>
      </c>
      <c r="BL59" s="29" t="str">
        <f t="shared" si="48"/>
        <v/>
      </c>
      <c r="BM59" s="29" t="str">
        <f t="shared" si="48"/>
        <v/>
      </c>
      <c r="BN59" s="29" t="str">
        <f t="shared" si="48"/>
        <v/>
      </c>
      <c r="BO59" s="29" t="str">
        <f t="shared" si="45"/>
        <v/>
      </c>
      <c r="BP59" s="29" t="str">
        <f t="shared" si="45"/>
        <v/>
      </c>
      <c r="BQ59" s="29" t="str">
        <f t="shared" si="45"/>
        <v/>
      </c>
      <c r="BR59" s="29" t="str">
        <f t="shared" si="45"/>
        <v/>
      </c>
      <c r="BS59" s="29" t="str">
        <f t="shared" si="45"/>
        <v/>
      </c>
      <c r="BT59" s="29" t="str">
        <f t="shared" si="45"/>
        <v/>
      </c>
      <c r="BU59" s="29" t="str">
        <f t="shared" si="45"/>
        <v/>
      </c>
      <c r="BV59" s="29" t="str">
        <f t="shared" si="45"/>
        <v/>
      </c>
      <c r="BW59" s="29" t="str">
        <f t="shared" si="45"/>
        <v/>
      </c>
      <c r="BX59" s="29" t="str">
        <f t="shared" si="45"/>
        <v/>
      </c>
      <c r="BY59" s="29" t="str">
        <f t="shared" si="45"/>
        <v/>
      </c>
      <c r="BZ59" s="29" t="str">
        <f t="shared" si="45"/>
        <v/>
      </c>
      <c r="CA59" s="29" t="str">
        <f t="shared" si="45"/>
        <v/>
      </c>
      <c r="CB59" s="29" t="str">
        <f t="shared" si="45"/>
        <v/>
      </c>
      <c r="CC59" s="29" t="str">
        <f t="shared" si="45"/>
        <v/>
      </c>
      <c r="CD59" s="29" t="str">
        <f t="shared" si="45"/>
        <v/>
      </c>
      <c r="CE59" s="29" t="str">
        <f t="shared" si="45"/>
        <v/>
      </c>
      <c r="CF59" s="29" t="str">
        <f t="shared" si="45"/>
        <v/>
      </c>
      <c r="CG59" s="29" t="str">
        <f t="shared" si="45"/>
        <v/>
      </c>
      <c r="CH59" s="29" t="str">
        <f t="shared" si="45"/>
        <v/>
      </c>
      <c r="CI59" s="29" t="str">
        <f t="shared" si="45"/>
        <v/>
      </c>
      <c r="CJ59" s="29" t="str">
        <f t="shared" si="45"/>
        <v/>
      </c>
      <c r="CK59" s="29" t="str">
        <f t="shared" si="45"/>
        <v/>
      </c>
      <c r="CL59" s="29" t="str">
        <f t="shared" si="45"/>
        <v/>
      </c>
      <c r="CM59" s="29" t="str">
        <f t="shared" si="45"/>
        <v/>
      </c>
      <c r="CN59" s="29" t="str">
        <f t="shared" si="45"/>
        <v/>
      </c>
      <c r="CO59" s="29" t="str">
        <f t="shared" si="45"/>
        <v/>
      </c>
      <c r="CP59" s="29" t="str">
        <f t="shared" si="45"/>
        <v/>
      </c>
      <c r="CQ59" s="29" t="str">
        <f t="shared" si="45"/>
        <v/>
      </c>
      <c r="CR59" s="29" t="str">
        <f t="shared" si="45"/>
        <v/>
      </c>
      <c r="CS59" s="29" t="str">
        <f t="shared" si="45"/>
        <v/>
      </c>
      <c r="CT59" s="29" t="str">
        <f t="shared" si="45"/>
        <v/>
      </c>
      <c r="CU59" s="29" t="str">
        <f t="shared" si="45"/>
        <v/>
      </c>
      <c r="CV59" s="29" t="str">
        <f t="shared" si="45"/>
        <v/>
      </c>
      <c r="CW59" s="29" t="str">
        <f t="shared" si="38"/>
        <v/>
      </c>
      <c r="CX59" s="29" t="str">
        <f t="shared" si="38"/>
        <v/>
      </c>
      <c r="CY59" s="29" t="str">
        <f t="shared" si="38"/>
        <v/>
      </c>
      <c r="CZ59" s="29" t="str">
        <f t="shared" si="38"/>
        <v/>
      </c>
      <c r="DA59" s="29" t="str">
        <f t="shared" si="38"/>
        <v/>
      </c>
      <c r="DB59" s="29" t="str">
        <f t="shared" si="38"/>
        <v/>
      </c>
      <c r="DC59" s="29" t="str">
        <f t="shared" si="38"/>
        <v/>
      </c>
      <c r="DD59" s="29" t="str">
        <f t="shared" si="38"/>
        <v/>
      </c>
      <c r="DE59" s="29" t="str">
        <f t="shared" si="38"/>
        <v/>
      </c>
      <c r="DF59" s="29" t="str">
        <f t="shared" si="38"/>
        <v/>
      </c>
      <c r="DG59" s="29" t="str">
        <f t="shared" si="38"/>
        <v/>
      </c>
      <c r="DH59" s="29" t="str">
        <f t="shared" si="38"/>
        <v/>
      </c>
      <c r="DI59" s="29" t="str">
        <f t="shared" si="38"/>
        <v/>
      </c>
      <c r="DJ59" s="29" t="str">
        <f t="shared" si="38"/>
        <v/>
      </c>
      <c r="DK59" s="29" t="str">
        <f t="shared" si="38"/>
        <v/>
      </c>
      <c r="DL59" s="29" t="str">
        <f t="shared" si="38"/>
        <v/>
      </c>
      <c r="DM59" s="29" t="str">
        <f t="shared" si="42"/>
        <v/>
      </c>
      <c r="DN59" s="29" t="str">
        <f t="shared" si="42"/>
        <v/>
      </c>
      <c r="DO59" s="29" t="str">
        <f t="shared" si="42"/>
        <v/>
      </c>
      <c r="DP59" s="29" t="str">
        <f t="shared" si="42"/>
        <v/>
      </c>
      <c r="DQ59" s="29" t="str">
        <f t="shared" si="42"/>
        <v/>
      </c>
      <c r="DR59" s="29" t="str">
        <f t="shared" si="42"/>
        <v/>
      </c>
      <c r="DS59" s="29" t="str">
        <f t="shared" si="42"/>
        <v/>
      </c>
      <c r="DT59" s="29" t="str">
        <f t="shared" si="42"/>
        <v/>
      </c>
      <c r="DU59" s="29" t="str">
        <f t="shared" si="42"/>
        <v/>
      </c>
      <c r="DV59" s="29" t="str">
        <f t="shared" si="42"/>
        <v/>
      </c>
      <c r="DW59" s="29" t="str">
        <f t="shared" si="42"/>
        <v/>
      </c>
      <c r="DX59" s="29" t="str">
        <f t="shared" si="42"/>
        <v/>
      </c>
      <c r="DY59" s="29" t="str">
        <f t="shared" si="42"/>
        <v/>
      </c>
      <c r="DZ59" s="29" t="str">
        <f t="shared" si="42"/>
        <v/>
      </c>
      <c r="EA59" s="29" t="str">
        <f t="shared" si="42"/>
        <v/>
      </c>
      <c r="EB59" s="29" t="str">
        <f t="shared" si="42"/>
        <v/>
      </c>
      <c r="EC59" s="29" t="str">
        <f t="shared" si="43"/>
        <v/>
      </c>
      <c r="ED59" s="29" t="str">
        <f t="shared" si="43"/>
        <v/>
      </c>
      <c r="EE59" s="29" t="str">
        <f t="shared" si="43"/>
        <v/>
      </c>
      <c r="EF59" s="29" t="str">
        <f t="shared" si="43"/>
        <v/>
      </c>
      <c r="EG59" s="29" t="str">
        <f t="shared" si="43"/>
        <v/>
      </c>
      <c r="EH59" s="29" t="str">
        <f t="shared" si="43"/>
        <v/>
      </c>
      <c r="EI59" s="29" t="str">
        <f t="shared" si="43"/>
        <v/>
      </c>
      <c r="EJ59" s="29" t="str">
        <f t="shared" si="43"/>
        <v/>
      </c>
      <c r="EK59" s="29" t="str">
        <f t="shared" si="43"/>
        <v/>
      </c>
      <c r="EL59" s="29" t="str">
        <f t="shared" si="43"/>
        <v/>
      </c>
      <c r="EM59" s="29" t="str">
        <f t="shared" si="43"/>
        <v/>
      </c>
      <c r="EN59" s="29" t="str">
        <f t="shared" si="43"/>
        <v/>
      </c>
      <c r="EO59" s="29" t="str">
        <f t="shared" si="43"/>
        <v/>
      </c>
      <c r="EP59" s="29" t="str">
        <f t="shared" si="43"/>
        <v/>
      </c>
      <c r="EQ59" s="29" t="str">
        <f t="shared" si="43"/>
        <v/>
      </c>
      <c r="ER59" s="29" t="str">
        <f t="shared" si="43"/>
        <v/>
      </c>
      <c r="ES59" s="29" t="str">
        <f t="shared" ref="EN59:ET65" si="49">IF(AND(ES$9&gt;=$D59,ES$9&lt;=$E59),1,"")</f>
        <v/>
      </c>
      <c r="ET59" s="29" t="str">
        <f t="shared" si="49"/>
        <v/>
      </c>
    </row>
    <row r="60" spans="1:150" x14ac:dyDescent="0.2">
      <c r="A60" s="103" t="str">
        <f>TEXT('M&amp;V Tasks'!A61,"#")</f>
        <v>4</v>
      </c>
      <c r="B60" s="104" t="str">
        <f>TEXT('M&amp;V Tasks'!B61,"#")</f>
        <v/>
      </c>
      <c r="C60" s="103">
        <f>'M&amp;V Tasks'!I61</f>
        <v>0</v>
      </c>
      <c r="D60" s="27"/>
      <c r="E60" s="27"/>
      <c r="F60" s="29" t="str">
        <f t="shared" si="44"/>
        <v/>
      </c>
      <c r="G60" s="29" t="str">
        <f t="shared" si="44"/>
        <v/>
      </c>
      <c r="H60" s="29" t="str">
        <f t="shared" si="44"/>
        <v/>
      </c>
      <c r="I60" s="29" t="str">
        <f t="shared" si="44"/>
        <v/>
      </c>
      <c r="J60" s="29" t="str">
        <f t="shared" si="44"/>
        <v/>
      </c>
      <c r="K60" s="29" t="str">
        <f t="shared" si="44"/>
        <v/>
      </c>
      <c r="L60" s="29" t="str">
        <f t="shared" si="44"/>
        <v/>
      </c>
      <c r="M60" s="29" t="str">
        <f t="shared" si="44"/>
        <v/>
      </c>
      <c r="N60" s="29" t="str">
        <f t="shared" si="44"/>
        <v/>
      </c>
      <c r="O60" s="29" t="str">
        <f t="shared" si="44"/>
        <v/>
      </c>
      <c r="P60" s="29" t="str">
        <f t="shared" si="44"/>
        <v/>
      </c>
      <c r="Q60" s="29" t="str">
        <f t="shared" si="44"/>
        <v/>
      </c>
      <c r="R60" s="29" t="str">
        <f t="shared" si="44"/>
        <v/>
      </c>
      <c r="S60" s="29" t="str">
        <f t="shared" si="44"/>
        <v/>
      </c>
      <c r="T60" s="29" t="str">
        <f t="shared" si="44"/>
        <v/>
      </c>
      <c r="U60" s="29" t="str">
        <f t="shared" si="44"/>
        <v/>
      </c>
      <c r="V60" s="29" t="str">
        <f t="shared" si="46"/>
        <v/>
      </c>
      <c r="W60" s="29" t="str">
        <f t="shared" si="46"/>
        <v/>
      </c>
      <c r="X60" s="29" t="str">
        <f t="shared" si="46"/>
        <v/>
      </c>
      <c r="Y60" s="29" t="str">
        <f t="shared" si="46"/>
        <v/>
      </c>
      <c r="Z60" s="29" t="str">
        <f t="shared" si="46"/>
        <v/>
      </c>
      <c r="AA60" s="29" t="str">
        <f t="shared" si="46"/>
        <v/>
      </c>
      <c r="AB60" s="29" t="str">
        <f t="shared" si="46"/>
        <v/>
      </c>
      <c r="AC60" s="29" t="str">
        <f t="shared" si="46"/>
        <v/>
      </c>
      <c r="AD60" s="29" t="str">
        <f t="shared" si="46"/>
        <v/>
      </c>
      <c r="AE60" s="29" t="str">
        <f t="shared" si="46"/>
        <v/>
      </c>
      <c r="AF60" s="29" t="str">
        <f t="shared" si="46"/>
        <v/>
      </c>
      <c r="AG60" s="29" t="str">
        <f t="shared" si="46"/>
        <v/>
      </c>
      <c r="AH60" s="29" t="str">
        <f t="shared" si="46"/>
        <v/>
      </c>
      <c r="AI60" s="29" t="str">
        <f t="shared" si="46"/>
        <v/>
      </c>
      <c r="AJ60" s="29" t="str">
        <f t="shared" si="46"/>
        <v/>
      </c>
      <c r="AK60" s="29" t="str">
        <f t="shared" si="46"/>
        <v/>
      </c>
      <c r="AL60" s="29" t="str">
        <f t="shared" si="47"/>
        <v/>
      </c>
      <c r="AM60" s="29" t="str">
        <f t="shared" si="47"/>
        <v/>
      </c>
      <c r="AN60" s="29" t="str">
        <f t="shared" si="47"/>
        <v/>
      </c>
      <c r="AO60" s="29" t="str">
        <f t="shared" si="47"/>
        <v/>
      </c>
      <c r="AP60" s="29" t="str">
        <f t="shared" si="47"/>
        <v/>
      </c>
      <c r="AQ60" s="29" t="str">
        <f t="shared" si="47"/>
        <v/>
      </c>
      <c r="AR60" s="29" t="str">
        <f t="shared" si="47"/>
        <v/>
      </c>
      <c r="AS60" s="29" t="str">
        <f t="shared" si="47"/>
        <v/>
      </c>
      <c r="AT60" s="29" t="str">
        <f t="shared" si="47"/>
        <v/>
      </c>
      <c r="AU60" s="29" t="str">
        <f t="shared" si="47"/>
        <v/>
      </c>
      <c r="AV60" s="29" t="str">
        <f t="shared" si="47"/>
        <v/>
      </c>
      <c r="AW60" s="29" t="str">
        <f t="shared" si="47"/>
        <v/>
      </c>
      <c r="AX60" s="29" t="str">
        <f t="shared" si="47"/>
        <v/>
      </c>
      <c r="AY60" s="29" t="str">
        <f t="shared" si="47"/>
        <v/>
      </c>
      <c r="AZ60" s="29" t="str">
        <f t="shared" si="47"/>
        <v/>
      </c>
      <c r="BA60" s="29" t="str">
        <f t="shared" si="47"/>
        <v/>
      </c>
      <c r="BB60" s="29" t="str">
        <f t="shared" si="48"/>
        <v/>
      </c>
      <c r="BC60" s="29" t="str">
        <f t="shared" si="48"/>
        <v/>
      </c>
      <c r="BD60" s="29" t="str">
        <f t="shared" si="48"/>
        <v/>
      </c>
      <c r="BE60" s="29" t="str">
        <f t="shared" si="48"/>
        <v/>
      </c>
      <c r="BF60" s="29" t="str">
        <f t="shared" si="48"/>
        <v/>
      </c>
      <c r="BG60" s="29" t="str">
        <f t="shared" si="48"/>
        <v/>
      </c>
      <c r="BH60" s="29" t="str">
        <f t="shared" si="48"/>
        <v/>
      </c>
      <c r="BI60" s="29" t="str">
        <f t="shared" si="48"/>
        <v/>
      </c>
      <c r="BJ60" s="29" t="str">
        <f t="shared" si="48"/>
        <v/>
      </c>
      <c r="BK60" s="29" t="str">
        <f t="shared" si="48"/>
        <v/>
      </c>
      <c r="BL60" s="29" t="str">
        <f t="shared" si="48"/>
        <v/>
      </c>
      <c r="BM60" s="29" t="str">
        <f t="shared" si="48"/>
        <v/>
      </c>
      <c r="BN60" s="29" t="str">
        <f t="shared" si="48"/>
        <v/>
      </c>
      <c r="BO60" s="29" t="str">
        <f t="shared" si="45"/>
        <v/>
      </c>
      <c r="BP60" s="29" t="str">
        <f t="shared" si="45"/>
        <v/>
      </c>
      <c r="BQ60" s="29" t="str">
        <f t="shared" si="45"/>
        <v/>
      </c>
      <c r="BR60" s="29" t="str">
        <f t="shared" si="45"/>
        <v/>
      </c>
      <c r="BS60" s="29" t="str">
        <f t="shared" si="45"/>
        <v/>
      </c>
      <c r="BT60" s="29" t="str">
        <f t="shared" si="45"/>
        <v/>
      </c>
      <c r="BU60" s="29" t="str">
        <f t="shared" si="45"/>
        <v/>
      </c>
      <c r="BV60" s="29" t="str">
        <f t="shared" si="45"/>
        <v/>
      </c>
      <c r="BW60" s="29" t="str">
        <f t="shared" si="45"/>
        <v/>
      </c>
      <c r="BX60" s="29" t="str">
        <f t="shared" si="45"/>
        <v/>
      </c>
      <c r="BY60" s="29" t="str">
        <f t="shared" si="45"/>
        <v/>
      </c>
      <c r="BZ60" s="29" t="str">
        <f t="shared" si="45"/>
        <v/>
      </c>
      <c r="CA60" s="29" t="str">
        <f t="shared" si="45"/>
        <v/>
      </c>
      <c r="CB60" s="29" t="str">
        <f t="shared" si="45"/>
        <v/>
      </c>
      <c r="CC60" s="29" t="str">
        <f t="shared" si="45"/>
        <v/>
      </c>
      <c r="CD60" s="29" t="str">
        <f t="shared" si="45"/>
        <v/>
      </c>
      <c r="CE60" s="29" t="str">
        <f t="shared" si="45"/>
        <v/>
      </c>
      <c r="CF60" s="29" t="str">
        <f t="shared" si="45"/>
        <v/>
      </c>
      <c r="CG60" s="29" t="str">
        <f t="shared" si="45"/>
        <v/>
      </c>
      <c r="CH60" s="29" t="str">
        <f t="shared" si="45"/>
        <v/>
      </c>
      <c r="CI60" s="29" t="str">
        <f t="shared" si="45"/>
        <v/>
      </c>
      <c r="CJ60" s="29" t="str">
        <f t="shared" si="45"/>
        <v/>
      </c>
      <c r="CK60" s="29" t="str">
        <f t="shared" si="45"/>
        <v/>
      </c>
      <c r="CL60" s="29" t="str">
        <f t="shared" si="45"/>
        <v/>
      </c>
      <c r="CM60" s="29" t="str">
        <f t="shared" si="45"/>
        <v/>
      </c>
      <c r="CN60" s="29" t="str">
        <f t="shared" si="45"/>
        <v/>
      </c>
      <c r="CO60" s="29" t="str">
        <f t="shared" si="45"/>
        <v/>
      </c>
      <c r="CP60" s="29" t="str">
        <f t="shared" si="45"/>
        <v/>
      </c>
      <c r="CQ60" s="29" t="str">
        <f t="shared" si="45"/>
        <v/>
      </c>
      <c r="CR60" s="29" t="str">
        <f t="shared" si="45"/>
        <v/>
      </c>
      <c r="CS60" s="29" t="str">
        <f t="shared" si="45"/>
        <v/>
      </c>
      <c r="CT60" s="29" t="str">
        <f t="shared" si="45"/>
        <v/>
      </c>
      <c r="CU60" s="29" t="str">
        <f t="shared" si="45"/>
        <v/>
      </c>
      <c r="CV60" s="29" t="str">
        <f t="shared" si="45"/>
        <v/>
      </c>
      <c r="CW60" s="29" t="str">
        <f t="shared" si="38"/>
        <v/>
      </c>
      <c r="CX60" s="29" t="str">
        <f t="shared" si="38"/>
        <v/>
      </c>
      <c r="CY60" s="29" t="str">
        <f t="shared" si="38"/>
        <v/>
      </c>
      <c r="CZ60" s="29" t="str">
        <f t="shared" si="38"/>
        <v/>
      </c>
      <c r="DA60" s="29" t="str">
        <f t="shared" si="38"/>
        <v/>
      </c>
      <c r="DB60" s="29" t="str">
        <f t="shared" si="38"/>
        <v/>
      </c>
      <c r="DC60" s="29" t="str">
        <f t="shared" si="38"/>
        <v/>
      </c>
      <c r="DD60" s="29" t="str">
        <f t="shared" si="38"/>
        <v/>
      </c>
      <c r="DE60" s="29" t="str">
        <f t="shared" si="38"/>
        <v/>
      </c>
      <c r="DF60" s="29" t="str">
        <f t="shared" si="38"/>
        <v/>
      </c>
      <c r="DG60" s="29" t="str">
        <f t="shared" si="38"/>
        <v/>
      </c>
      <c r="DH60" s="29" t="str">
        <f t="shared" si="38"/>
        <v/>
      </c>
      <c r="DI60" s="29" t="str">
        <f t="shared" si="38"/>
        <v/>
      </c>
      <c r="DJ60" s="29" t="str">
        <f t="shared" si="38"/>
        <v/>
      </c>
      <c r="DK60" s="29" t="str">
        <f t="shared" si="38"/>
        <v/>
      </c>
      <c r="DL60" s="29" t="str">
        <f t="shared" si="38"/>
        <v/>
      </c>
      <c r="DM60" s="29" t="str">
        <f t="shared" si="42"/>
        <v/>
      </c>
      <c r="DN60" s="29" t="str">
        <f t="shared" si="42"/>
        <v/>
      </c>
      <c r="DO60" s="29" t="str">
        <f t="shared" si="42"/>
        <v/>
      </c>
      <c r="DP60" s="29" t="str">
        <f t="shared" si="42"/>
        <v/>
      </c>
      <c r="DQ60" s="29" t="str">
        <f t="shared" si="42"/>
        <v/>
      </c>
      <c r="DR60" s="29" t="str">
        <f t="shared" si="42"/>
        <v/>
      </c>
      <c r="DS60" s="29" t="str">
        <f t="shared" si="42"/>
        <v/>
      </c>
      <c r="DT60" s="29" t="str">
        <f t="shared" si="42"/>
        <v/>
      </c>
      <c r="DU60" s="29" t="str">
        <f t="shared" si="42"/>
        <v/>
      </c>
      <c r="DV60" s="29" t="str">
        <f t="shared" si="42"/>
        <v/>
      </c>
      <c r="DW60" s="29" t="str">
        <f t="shared" si="42"/>
        <v/>
      </c>
      <c r="DX60" s="29" t="str">
        <f t="shared" si="42"/>
        <v/>
      </c>
      <c r="DY60" s="29" t="str">
        <f t="shared" si="42"/>
        <v/>
      </c>
      <c r="DZ60" s="29" t="str">
        <f t="shared" si="42"/>
        <v/>
      </c>
      <c r="EA60" s="29" t="str">
        <f t="shared" si="42"/>
        <v/>
      </c>
      <c r="EB60" s="29" t="str">
        <f t="shared" si="42"/>
        <v/>
      </c>
      <c r="EC60" s="29" t="str">
        <f t="shared" si="43"/>
        <v/>
      </c>
      <c r="ED60" s="29" t="str">
        <f t="shared" si="43"/>
        <v/>
      </c>
      <c r="EE60" s="29" t="str">
        <f t="shared" si="43"/>
        <v/>
      </c>
      <c r="EF60" s="29" t="str">
        <f t="shared" si="43"/>
        <v/>
      </c>
      <c r="EG60" s="29" t="str">
        <f t="shared" si="43"/>
        <v/>
      </c>
      <c r="EH60" s="29" t="str">
        <f t="shared" si="43"/>
        <v/>
      </c>
      <c r="EI60" s="29" t="str">
        <f t="shared" si="43"/>
        <v/>
      </c>
      <c r="EJ60" s="29" t="str">
        <f t="shared" si="43"/>
        <v/>
      </c>
      <c r="EK60" s="29" t="str">
        <f t="shared" si="43"/>
        <v/>
      </c>
      <c r="EL60" s="29" t="str">
        <f t="shared" si="43"/>
        <v/>
      </c>
      <c r="EM60" s="29" t="str">
        <f t="shared" si="43"/>
        <v/>
      </c>
      <c r="EN60" s="29" t="str">
        <f t="shared" si="49"/>
        <v/>
      </c>
      <c r="EO60" s="29" t="str">
        <f t="shared" si="49"/>
        <v/>
      </c>
      <c r="EP60" s="29" t="str">
        <f t="shared" si="49"/>
        <v/>
      </c>
      <c r="EQ60" s="29" t="str">
        <f t="shared" si="49"/>
        <v/>
      </c>
      <c r="ER60" s="29" t="str">
        <f t="shared" si="49"/>
        <v/>
      </c>
      <c r="ES60" s="29" t="str">
        <f t="shared" si="49"/>
        <v/>
      </c>
      <c r="ET60" s="29" t="str">
        <f t="shared" si="49"/>
        <v/>
      </c>
    </row>
    <row r="61" spans="1:150" x14ac:dyDescent="0.2">
      <c r="A61" s="103" t="str">
        <f>TEXT('M&amp;V Tasks'!A62,"#")</f>
        <v>5</v>
      </c>
      <c r="B61" s="104" t="str">
        <f>TEXT('M&amp;V Tasks'!B62,"#")</f>
        <v/>
      </c>
      <c r="C61" s="103">
        <f>'M&amp;V Tasks'!I62</f>
        <v>0</v>
      </c>
      <c r="D61" s="27"/>
      <c r="E61" s="27"/>
      <c r="F61" s="29" t="str">
        <f t="shared" si="44"/>
        <v/>
      </c>
      <c r="G61" s="29" t="str">
        <f t="shared" si="44"/>
        <v/>
      </c>
      <c r="H61" s="29" t="str">
        <f t="shared" si="44"/>
        <v/>
      </c>
      <c r="I61" s="29" t="str">
        <f t="shared" si="44"/>
        <v/>
      </c>
      <c r="J61" s="29" t="str">
        <f t="shared" si="44"/>
        <v/>
      </c>
      <c r="K61" s="29" t="str">
        <f t="shared" si="44"/>
        <v/>
      </c>
      <c r="L61" s="29" t="str">
        <f t="shared" si="44"/>
        <v/>
      </c>
      <c r="M61" s="29" t="str">
        <f t="shared" si="44"/>
        <v/>
      </c>
      <c r="N61" s="29" t="str">
        <f t="shared" si="44"/>
        <v/>
      </c>
      <c r="O61" s="29" t="str">
        <f t="shared" si="44"/>
        <v/>
      </c>
      <c r="P61" s="29" t="str">
        <f t="shared" si="44"/>
        <v/>
      </c>
      <c r="Q61" s="29" t="str">
        <f t="shared" si="44"/>
        <v/>
      </c>
      <c r="R61" s="29" t="str">
        <f t="shared" si="44"/>
        <v/>
      </c>
      <c r="S61" s="29" t="str">
        <f t="shared" si="44"/>
        <v/>
      </c>
      <c r="T61" s="29" t="str">
        <f t="shared" si="44"/>
        <v/>
      </c>
      <c r="U61" s="29" t="str">
        <f t="shared" si="44"/>
        <v/>
      </c>
      <c r="V61" s="29" t="str">
        <f t="shared" si="46"/>
        <v/>
      </c>
      <c r="W61" s="29" t="str">
        <f t="shared" si="46"/>
        <v/>
      </c>
      <c r="X61" s="29" t="str">
        <f t="shared" si="46"/>
        <v/>
      </c>
      <c r="Y61" s="29" t="str">
        <f t="shared" si="46"/>
        <v/>
      </c>
      <c r="Z61" s="29" t="str">
        <f t="shared" si="46"/>
        <v/>
      </c>
      <c r="AA61" s="29" t="str">
        <f t="shared" si="46"/>
        <v/>
      </c>
      <c r="AB61" s="29" t="str">
        <f t="shared" si="46"/>
        <v/>
      </c>
      <c r="AC61" s="29" t="str">
        <f t="shared" si="46"/>
        <v/>
      </c>
      <c r="AD61" s="29" t="str">
        <f t="shared" si="46"/>
        <v/>
      </c>
      <c r="AE61" s="29" t="str">
        <f t="shared" si="46"/>
        <v/>
      </c>
      <c r="AF61" s="29" t="str">
        <f t="shared" si="46"/>
        <v/>
      </c>
      <c r="AG61" s="29" t="str">
        <f t="shared" si="46"/>
        <v/>
      </c>
      <c r="AH61" s="29" t="str">
        <f t="shared" si="46"/>
        <v/>
      </c>
      <c r="AI61" s="29" t="str">
        <f t="shared" si="46"/>
        <v/>
      </c>
      <c r="AJ61" s="29" t="str">
        <f t="shared" si="46"/>
        <v/>
      </c>
      <c r="AK61" s="29" t="str">
        <f t="shared" si="46"/>
        <v/>
      </c>
      <c r="AL61" s="29" t="str">
        <f t="shared" si="47"/>
        <v/>
      </c>
      <c r="AM61" s="29" t="str">
        <f t="shared" si="47"/>
        <v/>
      </c>
      <c r="AN61" s="29" t="str">
        <f t="shared" si="47"/>
        <v/>
      </c>
      <c r="AO61" s="29" t="str">
        <f t="shared" si="47"/>
        <v/>
      </c>
      <c r="AP61" s="29" t="str">
        <f t="shared" si="47"/>
        <v/>
      </c>
      <c r="AQ61" s="29" t="str">
        <f t="shared" si="47"/>
        <v/>
      </c>
      <c r="AR61" s="29" t="str">
        <f t="shared" si="47"/>
        <v/>
      </c>
      <c r="AS61" s="29" t="str">
        <f t="shared" si="47"/>
        <v/>
      </c>
      <c r="AT61" s="29" t="str">
        <f t="shared" si="47"/>
        <v/>
      </c>
      <c r="AU61" s="29" t="str">
        <f t="shared" si="47"/>
        <v/>
      </c>
      <c r="AV61" s="29" t="str">
        <f t="shared" si="47"/>
        <v/>
      </c>
      <c r="AW61" s="29" t="str">
        <f t="shared" si="47"/>
        <v/>
      </c>
      <c r="AX61" s="29" t="str">
        <f t="shared" si="47"/>
        <v/>
      </c>
      <c r="AY61" s="29" t="str">
        <f t="shared" si="47"/>
        <v/>
      </c>
      <c r="AZ61" s="29" t="str">
        <f t="shared" si="47"/>
        <v/>
      </c>
      <c r="BA61" s="29" t="str">
        <f t="shared" si="47"/>
        <v/>
      </c>
      <c r="BB61" s="29" t="str">
        <f t="shared" si="48"/>
        <v/>
      </c>
      <c r="BC61" s="29" t="str">
        <f t="shared" si="48"/>
        <v/>
      </c>
      <c r="BD61" s="29" t="str">
        <f t="shared" si="48"/>
        <v/>
      </c>
      <c r="BE61" s="29" t="str">
        <f t="shared" si="48"/>
        <v/>
      </c>
      <c r="BF61" s="29" t="str">
        <f t="shared" si="48"/>
        <v/>
      </c>
      <c r="BG61" s="29" t="str">
        <f t="shared" si="48"/>
        <v/>
      </c>
      <c r="BH61" s="29" t="str">
        <f t="shared" si="48"/>
        <v/>
      </c>
      <c r="BI61" s="29" t="str">
        <f t="shared" si="48"/>
        <v/>
      </c>
      <c r="BJ61" s="29" t="str">
        <f t="shared" si="48"/>
        <v/>
      </c>
      <c r="BK61" s="29" t="str">
        <f t="shared" si="48"/>
        <v/>
      </c>
      <c r="BL61" s="29" t="str">
        <f t="shared" si="48"/>
        <v/>
      </c>
      <c r="BM61" s="29" t="str">
        <f t="shared" si="48"/>
        <v/>
      </c>
      <c r="BN61" s="29" t="str">
        <f t="shared" si="48"/>
        <v/>
      </c>
      <c r="BO61" s="29" t="str">
        <f t="shared" si="45"/>
        <v/>
      </c>
      <c r="BP61" s="29" t="str">
        <f t="shared" si="45"/>
        <v/>
      </c>
      <c r="BQ61" s="29" t="str">
        <f t="shared" si="45"/>
        <v/>
      </c>
      <c r="BR61" s="29" t="str">
        <f t="shared" si="45"/>
        <v/>
      </c>
      <c r="BS61" s="29" t="str">
        <f t="shared" si="45"/>
        <v/>
      </c>
      <c r="BT61" s="29" t="str">
        <f t="shared" si="45"/>
        <v/>
      </c>
      <c r="BU61" s="29" t="str">
        <f t="shared" si="45"/>
        <v/>
      </c>
      <c r="BV61" s="29" t="str">
        <f t="shared" si="45"/>
        <v/>
      </c>
      <c r="BW61" s="29" t="str">
        <f t="shared" si="45"/>
        <v/>
      </c>
      <c r="BX61" s="29" t="str">
        <f t="shared" si="45"/>
        <v/>
      </c>
      <c r="BY61" s="29" t="str">
        <f t="shared" si="45"/>
        <v/>
      </c>
      <c r="BZ61" s="29" t="str">
        <f t="shared" si="45"/>
        <v/>
      </c>
      <c r="CA61" s="29" t="str">
        <f t="shared" si="45"/>
        <v/>
      </c>
      <c r="CB61" s="29" t="str">
        <f t="shared" si="45"/>
        <v/>
      </c>
      <c r="CC61" s="29" t="str">
        <f t="shared" si="45"/>
        <v/>
      </c>
      <c r="CD61" s="29" t="str">
        <f t="shared" si="45"/>
        <v/>
      </c>
      <c r="CE61" s="29" t="str">
        <f t="shared" si="45"/>
        <v/>
      </c>
      <c r="CF61" s="29" t="str">
        <f t="shared" si="45"/>
        <v/>
      </c>
      <c r="CG61" s="29" t="str">
        <f t="shared" si="45"/>
        <v/>
      </c>
      <c r="CH61" s="29" t="str">
        <f t="shared" si="45"/>
        <v/>
      </c>
      <c r="CI61" s="29" t="str">
        <f t="shared" si="45"/>
        <v/>
      </c>
      <c r="CJ61" s="29" t="str">
        <f t="shared" si="45"/>
        <v/>
      </c>
      <c r="CK61" s="29" t="str">
        <f t="shared" si="45"/>
        <v/>
      </c>
      <c r="CL61" s="29" t="str">
        <f t="shared" si="45"/>
        <v/>
      </c>
      <c r="CM61" s="29" t="str">
        <f t="shared" si="45"/>
        <v/>
      </c>
      <c r="CN61" s="29" t="str">
        <f t="shared" si="45"/>
        <v/>
      </c>
      <c r="CO61" s="29" t="str">
        <f t="shared" si="45"/>
        <v/>
      </c>
      <c r="CP61" s="29" t="str">
        <f t="shared" si="45"/>
        <v/>
      </c>
      <c r="CQ61" s="29" t="str">
        <f t="shared" si="45"/>
        <v/>
      </c>
      <c r="CR61" s="29" t="str">
        <f t="shared" si="45"/>
        <v/>
      </c>
      <c r="CS61" s="29" t="str">
        <f t="shared" si="45"/>
        <v/>
      </c>
      <c r="CT61" s="29" t="str">
        <f t="shared" si="45"/>
        <v/>
      </c>
      <c r="CU61" s="29" t="str">
        <f t="shared" si="45"/>
        <v/>
      </c>
      <c r="CV61" s="29" t="str">
        <f t="shared" si="45"/>
        <v/>
      </c>
      <c r="CW61" s="29" t="str">
        <f t="shared" si="38"/>
        <v/>
      </c>
      <c r="CX61" s="29" t="str">
        <f t="shared" si="38"/>
        <v/>
      </c>
      <c r="CY61" s="29" t="str">
        <f t="shared" si="38"/>
        <v/>
      </c>
      <c r="CZ61" s="29" t="str">
        <f t="shared" si="38"/>
        <v/>
      </c>
      <c r="DA61" s="29" t="str">
        <f t="shared" si="38"/>
        <v/>
      </c>
      <c r="DB61" s="29" t="str">
        <f t="shared" si="38"/>
        <v/>
      </c>
      <c r="DC61" s="29" t="str">
        <f t="shared" si="38"/>
        <v/>
      </c>
      <c r="DD61" s="29" t="str">
        <f t="shared" si="38"/>
        <v/>
      </c>
      <c r="DE61" s="29" t="str">
        <f t="shared" si="38"/>
        <v/>
      </c>
      <c r="DF61" s="29" t="str">
        <f t="shared" si="38"/>
        <v/>
      </c>
      <c r="DG61" s="29" t="str">
        <f t="shared" si="38"/>
        <v/>
      </c>
      <c r="DH61" s="29" t="str">
        <f t="shared" si="38"/>
        <v/>
      </c>
      <c r="DI61" s="29" t="str">
        <f t="shared" si="38"/>
        <v/>
      </c>
      <c r="DJ61" s="29" t="str">
        <f t="shared" si="38"/>
        <v/>
      </c>
      <c r="DK61" s="29" t="str">
        <f t="shared" si="38"/>
        <v/>
      </c>
      <c r="DL61" s="29" t="str">
        <f t="shared" si="38"/>
        <v/>
      </c>
      <c r="DM61" s="29" t="str">
        <f t="shared" si="42"/>
        <v/>
      </c>
      <c r="DN61" s="29" t="str">
        <f t="shared" si="42"/>
        <v/>
      </c>
      <c r="DO61" s="29" t="str">
        <f t="shared" si="42"/>
        <v/>
      </c>
      <c r="DP61" s="29" t="str">
        <f t="shared" si="42"/>
        <v/>
      </c>
      <c r="DQ61" s="29" t="str">
        <f t="shared" si="42"/>
        <v/>
      </c>
      <c r="DR61" s="29" t="str">
        <f t="shared" si="42"/>
        <v/>
      </c>
      <c r="DS61" s="29" t="str">
        <f t="shared" si="42"/>
        <v/>
      </c>
      <c r="DT61" s="29" t="str">
        <f t="shared" si="42"/>
        <v/>
      </c>
      <c r="DU61" s="29" t="str">
        <f t="shared" si="42"/>
        <v/>
      </c>
      <c r="DV61" s="29" t="str">
        <f t="shared" si="42"/>
        <v/>
      </c>
      <c r="DW61" s="29" t="str">
        <f t="shared" si="42"/>
        <v/>
      </c>
      <c r="DX61" s="29" t="str">
        <f t="shared" si="42"/>
        <v/>
      </c>
      <c r="DY61" s="29" t="str">
        <f t="shared" si="42"/>
        <v/>
      </c>
      <c r="DZ61" s="29" t="str">
        <f t="shared" si="42"/>
        <v/>
      </c>
      <c r="EA61" s="29" t="str">
        <f t="shared" si="42"/>
        <v/>
      </c>
      <c r="EB61" s="29" t="str">
        <f t="shared" si="42"/>
        <v/>
      </c>
      <c r="EC61" s="29" t="str">
        <f t="shared" si="43"/>
        <v/>
      </c>
      <c r="ED61" s="29" t="str">
        <f t="shared" si="43"/>
        <v/>
      </c>
      <c r="EE61" s="29" t="str">
        <f t="shared" si="43"/>
        <v/>
      </c>
      <c r="EF61" s="29" t="str">
        <f t="shared" si="43"/>
        <v/>
      </c>
      <c r="EG61" s="29" t="str">
        <f t="shared" si="43"/>
        <v/>
      </c>
      <c r="EH61" s="29" t="str">
        <f t="shared" si="43"/>
        <v/>
      </c>
      <c r="EI61" s="29" t="str">
        <f t="shared" si="43"/>
        <v/>
      </c>
      <c r="EJ61" s="29" t="str">
        <f t="shared" si="43"/>
        <v/>
      </c>
      <c r="EK61" s="29" t="str">
        <f t="shared" si="43"/>
        <v/>
      </c>
      <c r="EL61" s="29" t="str">
        <f t="shared" si="43"/>
        <v/>
      </c>
      <c r="EM61" s="29" t="str">
        <f t="shared" si="43"/>
        <v/>
      </c>
      <c r="EN61" s="29" t="str">
        <f t="shared" si="49"/>
        <v/>
      </c>
      <c r="EO61" s="29" t="str">
        <f t="shared" si="49"/>
        <v/>
      </c>
      <c r="EP61" s="29" t="str">
        <f t="shared" si="49"/>
        <v/>
      </c>
      <c r="EQ61" s="29" t="str">
        <f t="shared" si="49"/>
        <v/>
      </c>
      <c r="ER61" s="29" t="str">
        <f t="shared" si="49"/>
        <v/>
      </c>
      <c r="ES61" s="29" t="str">
        <f t="shared" si="49"/>
        <v/>
      </c>
      <c r="ET61" s="29" t="str">
        <f t="shared" si="49"/>
        <v/>
      </c>
    </row>
    <row r="62" spans="1:150" x14ac:dyDescent="0.2">
      <c r="A62" s="103" t="str">
        <f>TEXT('M&amp;V Tasks'!A63,"#")</f>
        <v>6</v>
      </c>
      <c r="B62" s="104" t="str">
        <f>TEXT('M&amp;V Tasks'!B63,"#")</f>
        <v/>
      </c>
      <c r="C62" s="103">
        <f>'M&amp;V Tasks'!I63</f>
        <v>0</v>
      </c>
      <c r="D62" s="27"/>
      <c r="E62" s="27"/>
      <c r="F62" s="29" t="str">
        <f t="shared" si="44"/>
        <v/>
      </c>
      <c r="G62" s="29" t="str">
        <f t="shared" si="44"/>
        <v/>
      </c>
      <c r="H62" s="29" t="str">
        <f t="shared" si="44"/>
        <v/>
      </c>
      <c r="I62" s="29" t="str">
        <f t="shared" si="44"/>
        <v/>
      </c>
      <c r="J62" s="29" t="str">
        <f t="shared" si="44"/>
        <v/>
      </c>
      <c r="K62" s="29" t="str">
        <f t="shared" si="44"/>
        <v/>
      </c>
      <c r="L62" s="29" t="str">
        <f t="shared" si="44"/>
        <v/>
      </c>
      <c r="M62" s="29" t="str">
        <f t="shared" si="44"/>
        <v/>
      </c>
      <c r="N62" s="29" t="str">
        <f t="shared" si="44"/>
        <v/>
      </c>
      <c r="O62" s="29" t="str">
        <f t="shared" si="44"/>
        <v/>
      </c>
      <c r="P62" s="29" t="str">
        <f t="shared" si="44"/>
        <v/>
      </c>
      <c r="Q62" s="29" t="str">
        <f t="shared" si="44"/>
        <v/>
      </c>
      <c r="R62" s="29" t="str">
        <f t="shared" si="44"/>
        <v/>
      </c>
      <c r="S62" s="29" t="str">
        <f t="shared" si="44"/>
        <v/>
      </c>
      <c r="T62" s="29" t="str">
        <f t="shared" si="44"/>
        <v/>
      </c>
      <c r="U62" s="29" t="str">
        <f t="shared" si="44"/>
        <v/>
      </c>
      <c r="V62" s="29" t="str">
        <f t="shared" si="46"/>
        <v/>
      </c>
      <c r="W62" s="29" t="str">
        <f t="shared" si="46"/>
        <v/>
      </c>
      <c r="X62" s="29" t="str">
        <f t="shared" si="46"/>
        <v/>
      </c>
      <c r="Y62" s="29" t="str">
        <f t="shared" si="46"/>
        <v/>
      </c>
      <c r="Z62" s="29" t="str">
        <f t="shared" si="46"/>
        <v/>
      </c>
      <c r="AA62" s="29" t="str">
        <f t="shared" si="46"/>
        <v/>
      </c>
      <c r="AB62" s="29" t="str">
        <f t="shared" si="46"/>
        <v/>
      </c>
      <c r="AC62" s="29" t="str">
        <f t="shared" si="46"/>
        <v/>
      </c>
      <c r="AD62" s="29" t="str">
        <f t="shared" si="46"/>
        <v/>
      </c>
      <c r="AE62" s="29" t="str">
        <f t="shared" si="46"/>
        <v/>
      </c>
      <c r="AF62" s="29" t="str">
        <f t="shared" si="46"/>
        <v/>
      </c>
      <c r="AG62" s="29" t="str">
        <f t="shared" si="46"/>
        <v/>
      </c>
      <c r="AH62" s="29" t="str">
        <f t="shared" si="46"/>
        <v/>
      </c>
      <c r="AI62" s="29" t="str">
        <f t="shared" si="46"/>
        <v/>
      </c>
      <c r="AJ62" s="29" t="str">
        <f t="shared" si="46"/>
        <v/>
      </c>
      <c r="AK62" s="29" t="str">
        <f t="shared" si="46"/>
        <v/>
      </c>
      <c r="AL62" s="29" t="str">
        <f t="shared" si="47"/>
        <v/>
      </c>
      <c r="AM62" s="29" t="str">
        <f t="shared" si="47"/>
        <v/>
      </c>
      <c r="AN62" s="29" t="str">
        <f t="shared" si="47"/>
        <v/>
      </c>
      <c r="AO62" s="29" t="str">
        <f t="shared" si="47"/>
        <v/>
      </c>
      <c r="AP62" s="29" t="str">
        <f t="shared" si="47"/>
        <v/>
      </c>
      <c r="AQ62" s="29" t="str">
        <f t="shared" si="47"/>
        <v/>
      </c>
      <c r="AR62" s="29" t="str">
        <f t="shared" si="47"/>
        <v/>
      </c>
      <c r="AS62" s="29" t="str">
        <f t="shared" si="47"/>
        <v/>
      </c>
      <c r="AT62" s="29" t="str">
        <f t="shared" si="47"/>
        <v/>
      </c>
      <c r="AU62" s="29" t="str">
        <f t="shared" si="47"/>
        <v/>
      </c>
      <c r="AV62" s="29" t="str">
        <f t="shared" si="47"/>
        <v/>
      </c>
      <c r="AW62" s="29" t="str">
        <f t="shared" si="47"/>
        <v/>
      </c>
      <c r="AX62" s="29" t="str">
        <f t="shared" si="47"/>
        <v/>
      </c>
      <c r="AY62" s="29" t="str">
        <f t="shared" si="47"/>
        <v/>
      </c>
      <c r="AZ62" s="29" t="str">
        <f t="shared" si="47"/>
        <v/>
      </c>
      <c r="BA62" s="29" t="str">
        <f t="shared" si="47"/>
        <v/>
      </c>
      <c r="BB62" s="29" t="str">
        <f t="shared" si="48"/>
        <v/>
      </c>
      <c r="BC62" s="29" t="str">
        <f t="shared" si="48"/>
        <v/>
      </c>
      <c r="BD62" s="29" t="str">
        <f t="shared" si="48"/>
        <v/>
      </c>
      <c r="BE62" s="29" t="str">
        <f t="shared" si="48"/>
        <v/>
      </c>
      <c r="BF62" s="29" t="str">
        <f t="shared" si="48"/>
        <v/>
      </c>
      <c r="BG62" s="29" t="str">
        <f t="shared" si="48"/>
        <v/>
      </c>
      <c r="BH62" s="29" t="str">
        <f t="shared" si="48"/>
        <v/>
      </c>
      <c r="BI62" s="29" t="str">
        <f t="shared" si="48"/>
        <v/>
      </c>
      <c r="BJ62" s="29" t="str">
        <f t="shared" si="48"/>
        <v/>
      </c>
      <c r="BK62" s="29" t="str">
        <f t="shared" si="48"/>
        <v/>
      </c>
      <c r="BL62" s="29" t="str">
        <f t="shared" si="48"/>
        <v/>
      </c>
      <c r="BM62" s="29" t="str">
        <f t="shared" si="48"/>
        <v/>
      </c>
      <c r="BN62" s="29" t="str">
        <f t="shared" si="48"/>
        <v/>
      </c>
      <c r="BO62" s="29" t="str">
        <f t="shared" si="45"/>
        <v/>
      </c>
      <c r="BP62" s="29" t="str">
        <f t="shared" si="45"/>
        <v/>
      </c>
      <c r="BQ62" s="29" t="str">
        <f t="shared" si="45"/>
        <v/>
      </c>
      <c r="BR62" s="29" t="str">
        <f t="shared" si="45"/>
        <v/>
      </c>
      <c r="BS62" s="29" t="str">
        <f t="shared" si="45"/>
        <v/>
      </c>
      <c r="BT62" s="29" t="str">
        <f t="shared" si="45"/>
        <v/>
      </c>
      <c r="BU62" s="29" t="str">
        <f t="shared" si="45"/>
        <v/>
      </c>
      <c r="BV62" s="29" t="str">
        <f t="shared" si="45"/>
        <v/>
      </c>
      <c r="BW62" s="29" t="str">
        <f t="shared" si="45"/>
        <v/>
      </c>
      <c r="BX62" s="29" t="str">
        <f t="shared" si="45"/>
        <v/>
      </c>
      <c r="BY62" s="29" t="str">
        <f t="shared" si="45"/>
        <v/>
      </c>
      <c r="BZ62" s="29" t="str">
        <f t="shared" si="45"/>
        <v/>
      </c>
      <c r="CA62" s="29" t="str">
        <f t="shared" si="45"/>
        <v/>
      </c>
      <c r="CB62" s="29" t="str">
        <f t="shared" si="45"/>
        <v/>
      </c>
      <c r="CC62" s="29" t="str">
        <f t="shared" si="45"/>
        <v/>
      </c>
      <c r="CD62" s="29" t="str">
        <f t="shared" si="45"/>
        <v/>
      </c>
      <c r="CE62" s="29" t="str">
        <f t="shared" si="45"/>
        <v/>
      </c>
      <c r="CF62" s="29" t="str">
        <f t="shared" si="45"/>
        <v/>
      </c>
      <c r="CG62" s="29" t="str">
        <f t="shared" si="45"/>
        <v/>
      </c>
      <c r="CH62" s="29" t="str">
        <f t="shared" si="45"/>
        <v/>
      </c>
      <c r="CI62" s="29" t="str">
        <f t="shared" si="45"/>
        <v/>
      </c>
      <c r="CJ62" s="29" t="str">
        <f t="shared" si="45"/>
        <v/>
      </c>
      <c r="CK62" s="29" t="str">
        <f t="shared" si="45"/>
        <v/>
      </c>
      <c r="CL62" s="29" t="str">
        <f t="shared" si="45"/>
        <v/>
      </c>
      <c r="CM62" s="29" t="str">
        <f t="shared" si="45"/>
        <v/>
      </c>
      <c r="CN62" s="29" t="str">
        <f t="shared" si="45"/>
        <v/>
      </c>
      <c r="CO62" s="29" t="str">
        <f t="shared" si="45"/>
        <v/>
      </c>
      <c r="CP62" s="29" t="str">
        <f t="shared" si="45"/>
        <v/>
      </c>
      <c r="CQ62" s="29" t="str">
        <f t="shared" si="45"/>
        <v/>
      </c>
      <c r="CR62" s="29" t="str">
        <f t="shared" si="45"/>
        <v/>
      </c>
      <c r="CS62" s="29" t="str">
        <f t="shared" si="45"/>
        <v/>
      </c>
      <c r="CT62" s="29" t="str">
        <f t="shared" si="45"/>
        <v/>
      </c>
      <c r="CU62" s="29" t="str">
        <f t="shared" si="45"/>
        <v/>
      </c>
      <c r="CV62" s="29" t="str">
        <f t="shared" si="45"/>
        <v/>
      </c>
      <c r="CW62" s="29" t="str">
        <f t="shared" ref="CW62:DL65" si="50">IF(AND(CW$9&gt;=$D62,CW$9&lt;=$E62),1,"")</f>
        <v/>
      </c>
      <c r="CX62" s="29" t="str">
        <f t="shared" si="50"/>
        <v/>
      </c>
      <c r="CY62" s="29" t="str">
        <f t="shared" si="50"/>
        <v/>
      </c>
      <c r="CZ62" s="29" t="str">
        <f t="shared" si="50"/>
        <v/>
      </c>
      <c r="DA62" s="29" t="str">
        <f t="shared" si="50"/>
        <v/>
      </c>
      <c r="DB62" s="29" t="str">
        <f t="shared" si="50"/>
        <v/>
      </c>
      <c r="DC62" s="29" t="str">
        <f t="shared" si="50"/>
        <v/>
      </c>
      <c r="DD62" s="29" t="str">
        <f t="shared" si="50"/>
        <v/>
      </c>
      <c r="DE62" s="29" t="str">
        <f t="shared" si="50"/>
        <v/>
      </c>
      <c r="DF62" s="29" t="str">
        <f t="shared" si="50"/>
        <v/>
      </c>
      <c r="DG62" s="29" t="str">
        <f t="shared" si="50"/>
        <v/>
      </c>
      <c r="DH62" s="29" t="str">
        <f t="shared" si="50"/>
        <v/>
      </c>
      <c r="DI62" s="29" t="str">
        <f t="shared" si="50"/>
        <v/>
      </c>
      <c r="DJ62" s="29" t="str">
        <f t="shared" si="50"/>
        <v/>
      </c>
      <c r="DK62" s="29" t="str">
        <f t="shared" si="50"/>
        <v/>
      </c>
      <c r="DL62" s="29" t="str">
        <f t="shared" si="50"/>
        <v/>
      </c>
      <c r="DM62" s="29" t="str">
        <f t="shared" si="42"/>
        <v/>
      </c>
      <c r="DN62" s="29" t="str">
        <f t="shared" si="42"/>
        <v/>
      </c>
      <c r="DO62" s="29" t="str">
        <f t="shared" si="42"/>
        <v/>
      </c>
      <c r="DP62" s="29" t="str">
        <f t="shared" si="42"/>
        <v/>
      </c>
      <c r="DQ62" s="29" t="str">
        <f t="shared" si="42"/>
        <v/>
      </c>
      <c r="DR62" s="29" t="str">
        <f t="shared" si="42"/>
        <v/>
      </c>
      <c r="DS62" s="29" t="str">
        <f t="shared" si="42"/>
        <v/>
      </c>
      <c r="DT62" s="29" t="str">
        <f t="shared" si="42"/>
        <v/>
      </c>
      <c r="DU62" s="29" t="str">
        <f t="shared" si="42"/>
        <v/>
      </c>
      <c r="DV62" s="29" t="str">
        <f t="shared" si="42"/>
        <v/>
      </c>
      <c r="DW62" s="29" t="str">
        <f t="shared" si="42"/>
        <v/>
      </c>
      <c r="DX62" s="29" t="str">
        <f t="shared" si="42"/>
        <v/>
      </c>
      <c r="DY62" s="29" t="str">
        <f t="shared" si="42"/>
        <v/>
      </c>
      <c r="DZ62" s="29" t="str">
        <f t="shared" si="42"/>
        <v/>
      </c>
      <c r="EA62" s="29" t="str">
        <f t="shared" si="42"/>
        <v/>
      </c>
      <c r="EB62" s="29" t="str">
        <f t="shared" si="42"/>
        <v/>
      </c>
      <c r="EC62" s="29" t="str">
        <f t="shared" si="43"/>
        <v/>
      </c>
      <c r="ED62" s="29" t="str">
        <f t="shared" si="43"/>
        <v/>
      </c>
      <c r="EE62" s="29" t="str">
        <f t="shared" si="43"/>
        <v/>
      </c>
      <c r="EF62" s="29" t="str">
        <f t="shared" si="43"/>
        <v/>
      </c>
      <c r="EG62" s="29" t="str">
        <f t="shared" si="43"/>
        <v/>
      </c>
      <c r="EH62" s="29" t="str">
        <f t="shared" si="43"/>
        <v/>
      </c>
      <c r="EI62" s="29" t="str">
        <f t="shared" si="43"/>
        <v/>
      </c>
      <c r="EJ62" s="29" t="str">
        <f t="shared" si="43"/>
        <v/>
      </c>
      <c r="EK62" s="29" t="str">
        <f t="shared" si="43"/>
        <v/>
      </c>
      <c r="EL62" s="29" t="str">
        <f t="shared" si="43"/>
        <v/>
      </c>
      <c r="EM62" s="29" t="str">
        <f t="shared" si="43"/>
        <v/>
      </c>
      <c r="EN62" s="29" t="str">
        <f t="shared" si="49"/>
        <v/>
      </c>
      <c r="EO62" s="29" t="str">
        <f t="shared" si="49"/>
        <v/>
      </c>
      <c r="EP62" s="29" t="str">
        <f t="shared" si="49"/>
        <v/>
      </c>
      <c r="EQ62" s="29" t="str">
        <f t="shared" si="49"/>
        <v/>
      </c>
      <c r="ER62" s="29" t="str">
        <f t="shared" si="49"/>
        <v/>
      </c>
      <c r="ES62" s="29" t="str">
        <f t="shared" si="49"/>
        <v/>
      </c>
      <c r="ET62" s="29" t="str">
        <f t="shared" si="49"/>
        <v/>
      </c>
    </row>
    <row r="63" spans="1:150" x14ac:dyDescent="0.2">
      <c r="A63" s="103" t="str">
        <f>TEXT('M&amp;V Tasks'!A64,"#")</f>
        <v/>
      </c>
      <c r="B63" s="104" t="str">
        <f>TEXT('M&amp;V Tasks'!B64,"#")</f>
        <v/>
      </c>
      <c r="C63" s="103">
        <f>'M&amp;V Tasks'!I64</f>
        <v>0</v>
      </c>
      <c r="D63" s="27"/>
      <c r="E63" s="27"/>
      <c r="F63" s="29" t="str">
        <f t="shared" si="44"/>
        <v/>
      </c>
      <c r="G63" s="29" t="str">
        <f t="shared" si="44"/>
        <v/>
      </c>
      <c r="H63" s="29" t="str">
        <f t="shared" si="44"/>
        <v/>
      </c>
      <c r="I63" s="29" t="str">
        <f t="shared" si="44"/>
        <v/>
      </c>
      <c r="J63" s="29" t="str">
        <f t="shared" si="44"/>
        <v/>
      </c>
      <c r="K63" s="29" t="str">
        <f t="shared" si="44"/>
        <v/>
      </c>
      <c r="L63" s="29" t="str">
        <f t="shared" si="44"/>
        <v/>
      </c>
      <c r="M63" s="29" t="str">
        <f t="shared" si="44"/>
        <v/>
      </c>
      <c r="N63" s="29" t="str">
        <f t="shared" si="44"/>
        <v/>
      </c>
      <c r="O63" s="29" t="str">
        <f t="shared" si="44"/>
        <v/>
      </c>
      <c r="P63" s="29" t="str">
        <f t="shared" si="44"/>
        <v/>
      </c>
      <c r="Q63" s="29" t="str">
        <f t="shared" si="44"/>
        <v/>
      </c>
      <c r="R63" s="29" t="str">
        <f t="shared" si="44"/>
        <v/>
      </c>
      <c r="S63" s="29" t="str">
        <f t="shared" si="44"/>
        <v/>
      </c>
      <c r="T63" s="29" t="str">
        <f t="shared" si="44"/>
        <v/>
      </c>
      <c r="U63" s="29" t="str">
        <f t="shared" si="44"/>
        <v/>
      </c>
      <c r="V63" s="29" t="str">
        <f t="shared" si="46"/>
        <v/>
      </c>
      <c r="W63" s="29" t="str">
        <f t="shared" si="46"/>
        <v/>
      </c>
      <c r="X63" s="29" t="str">
        <f t="shared" si="46"/>
        <v/>
      </c>
      <c r="Y63" s="29" t="str">
        <f t="shared" si="46"/>
        <v/>
      </c>
      <c r="Z63" s="29" t="str">
        <f t="shared" si="46"/>
        <v/>
      </c>
      <c r="AA63" s="29" t="str">
        <f t="shared" si="46"/>
        <v/>
      </c>
      <c r="AB63" s="29" t="str">
        <f t="shared" si="46"/>
        <v/>
      </c>
      <c r="AC63" s="29" t="str">
        <f t="shared" si="46"/>
        <v/>
      </c>
      <c r="AD63" s="29" t="str">
        <f t="shared" si="46"/>
        <v/>
      </c>
      <c r="AE63" s="29" t="str">
        <f t="shared" si="46"/>
        <v/>
      </c>
      <c r="AF63" s="29" t="str">
        <f t="shared" si="46"/>
        <v/>
      </c>
      <c r="AG63" s="29" t="str">
        <f t="shared" si="46"/>
        <v/>
      </c>
      <c r="AH63" s="29" t="str">
        <f t="shared" si="46"/>
        <v/>
      </c>
      <c r="AI63" s="29" t="str">
        <f t="shared" si="46"/>
        <v/>
      </c>
      <c r="AJ63" s="29" t="str">
        <f t="shared" si="46"/>
        <v/>
      </c>
      <c r="AK63" s="29" t="str">
        <f t="shared" si="46"/>
        <v/>
      </c>
      <c r="AL63" s="29" t="str">
        <f t="shared" si="47"/>
        <v/>
      </c>
      <c r="AM63" s="29" t="str">
        <f t="shared" si="47"/>
        <v/>
      </c>
      <c r="AN63" s="29" t="str">
        <f t="shared" si="47"/>
        <v/>
      </c>
      <c r="AO63" s="29" t="str">
        <f t="shared" si="47"/>
        <v/>
      </c>
      <c r="AP63" s="29" t="str">
        <f t="shared" si="47"/>
        <v/>
      </c>
      <c r="AQ63" s="29" t="str">
        <f t="shared" si="47"/>
        <v/>
      </c>
      <c r="AR63" s="29" t="str">
        <f t="shared" si="47"/>
        <v/>
      </c>
      <c r="AS63" s="29" t="str">
        <f t="shared" si="47"/>
        <v/>
      </c>
      <c r="AT63" s="29" t="str">
        <f t="shared" si="47"/>
        <v/>
      </c>
      <c r="AU63" s="29" t="str">
        <f t="shared" si="47"/>
        <v/>
      </c>
      <c r="AV63" s="29" t="str">
        <f t="shared" si="47"/>
        <v/>
      </c>
      <c r="AW63" s="29" t="str">
        <f t="shared" si="47"/>
        <v/>
      </c>
      <c r="AX63" s="29" t="str">
        <f t="shared" si="47"/>
        <v/>
      </c>
      <c r="AY63" s="29" t="str">
        <f t="shared" si="47"/>
        <v/>
      </c>
      <c r="AZ63" s="29" t="str">
        <f t="shared" si="47"/>
        <v/>
      </c>
      <c r="BA63" s="29" t="str">
        <f t="shared" si="47"/>
        <v/>
      </c>
      <c r="BB63" s="29" t="str">
        <f t="shared" si="48"/>
        <v/>
      </c>
      <c r="BC63" s="29" t="str">
        <f t="shared" si="48"/>
        <v/>
      </c>
      <c r="BD63" s="29" t="str">
        <f t="shared" si="48"/>
        <v/>
      </c>
      <c r="BE63" s="29" t="str">
        <f t="shared" si="48"/>
        <v/>
      </c>
      <c r="BF63" s="29" t="str">
        <f t="shared" si="48"/>
        <v/>
      </c>
      <c r="BG63" s="29" t="str">
        <f t="shared" si="48"/>
        <v/>
      </c>
      <c r="BH63" s="29" t="str">
        <f t="shared" si="48"/>
        <v/>
      </c>
      <c r="BI63" s="29" t="str">
        <f t="shared" si="48"/>
        <v/>
      </c>
      <c r="BJ63" s="29" t="str">
        <f t="shared" si="48"/>
        <v/>
      </c>
      <c r="BK63" s="29" t="str">
        <f t="shared" si="48"/>
        <v/>
      </c>
      <c r="BL63" s="29" t="str">
        <f t="shared" si="48"/>
        <v/>
      </c>
      <c r="BM63" s="29" t="str">
        <f t="shared" si="48"/>
        <v/>
      </c>
      <c r="BN63" s="29" t="str">
        <f t="shared" si="48"/>
        <v/>
      </c>
      <c r="BO63" s="29" t="str">
        <f t="shared" si="45"/>
        <v/>
      </c>
      <c r="BP63" s="29" t="str">
        <f t="shared" si="45"/>
        <v/>
      </c>
      <c r="BQ63" s="29" t="str">
        <f t="shared" si="45"/>
        <v/>
      </c>
      <c r="BR63" s="29" t="str">
        <f t="shared" si="45"/>
        <v/>
      </c>
      <c r="BS63" s="29" t="str">
        <f t="shared" si="45"/>
        <v/>
      </c>
      <c r="BT63" s="29" t="str">
        <f t="shared" si="45"/>
        <v/>
      </c>
      <c r="BU63" s="29" t="str">
        <f t="shared" si="45"/>
        <v/>
      </c>
      <c r="BV63" s="29" t="str">
        <f t="shared" si="45"/>
        <v/>
      </c>
      <c r="BW63" s="29" t="str">
        <f t="shared" si="45"/>
        <v/>
      </c>
      <c r="BX63" s="29" t="str">
        <f t="shared" si="45"/>
        <v/>
      </c>
      <c r="BY63" s="29" t="str">
        <f t="shared" si="45"/>
        <v/>
      </c>
      <c r="BZ63" s="29" t="str">
        <f t="shared" si="45"/>
        <v/>
      </c>
      <c r="CA63" s="29" t="str">
        <f t="shared" si="45"/>
        <v/>
      </c>
      <c r="CB63" s="29" t="str">
        <f t="shared" si="45"/>
        <v/>
      </c>
      <c r="CC63" s="29" t="str">
        <f t="shared" si="45"/>
        <v/>
      </c>
      <c r="CD63" s="29" t="str">
        <f t="shared" si="45"/>
        <v/>
      </c>
      <c r="CE63" s="29" t="str">
        <f t="shared" si="45"/>
        <v/>
      </c>
      <c r="CF63" s="29" t="str">
        <f t="shared" si="45"/>
        <v/>
      </c>
      <c r="CG63" s="29" t="str">
        <f t="shared" si="45"/>
        <v/>
      </c>
      <c r="CH63" s="29" t="str">
        <f t="shared" si="45"/>
        <v/>
      </c>
      <c r="CI63" s="29" t="str">
        <f t="shared" si="45"/>
        <v/>
      </c>
      <c r="CJ63" s="29" t="str">
        <f t="shared" si="45"/>
        <v/>
      </c>
      <c r="CK63" s="29" t="str">
        <f t="shared" si="45"/>
        <v/>
      </c>
      <c r="CL63" s="29" t="str">
        <f t="shared" si="45"/>
        <v/>
      </c>
      <c r="CM63" s="29" t="str">
        <f t="shared" si="45"/>
        <v/>
      </c>
      <c r="CN63" s="29" t="str">
        <f t="shared" si="45"/>
        <v/>
      </c>
      <c r="CO63" s="29" t="str">
        <f t="shared" si="45"/>
        <v/>
      </c>
      <c r="CP63" s="29" t="str">
        <f t="shared" si="45"/>
        <v/>
      </c>
      <c r="CQ63" s="29" t="str">
        <f t="shared" si="45"/>
        <v/>
      </c>
      <c r="CR63" s="29" t="str">
        <f t="shared" si="45"/>
        <v/>
      </c>
      <c r="CS63" s="29" t="str">
        <f t="shared" si="45"/>
        <v/>
      </c>
      <c r="CT63" s="29" t="str">
        <f t="shared" si="45"/>
        <v/>
      </c>
      <c r="CU63" s="29" t="str">
        <f t="shared" si="45"/>
        <v/>
      </c>
      <c r="CV63" s="29" t="str">
        <f t="shared" si="45"/>
        <v/>
      </c>
      <c r="CW63" s="29" t="str">
        <f t="shared" si="50"/>
        <v/>
      </c>
      <c r="CX63" s="29" t="str">
        <f t="shared" si="50"/>
        <v/>
      </c>
      <c r="CY63" s="29" t="str">
        <f t="shared" si="50"/>
        <v/>
      </c>
      <c r="CZ63" s="29" t="str">
        <f t="shared" si="50"/>
        <v/>
      </c>
      <c r="DA63" s="29" t="str">
        <f t="shared" si="50"/>
        <v/>
      </c>
      <c r="DB63" s="29" t="str">
        <f t="shared" si="50"/>
        <v/>
      </c>
      <c r="DC63" s="29" t="str">
        <f t="shared" si="50"/>
        <v/>
      </c>
      <c r="DD63" s="29" t="str">
        <f t="shared" si="50"/>
        <v/>
      </c>
      <c r="DE63" s="29" t="str">
        <f t="shared" si="50"/>
        <v/>
      </c>
      <c r="DF63" s="29" t="str">
        <f t="shared" si="50"/>
        <v/>
      </c>
      <c r="DG63" s="29" t="str">
        <f t="shared" si="50"/>
        <v/>
      </c>
      <c r="DH63" s="29" t="str">
        <f t="shared" si="50"/>
        <v/>
      </c>
      <c r="DI63" s="29" t="str">
        <f t="shared" si="50"/>
        <v/>
      </c>
      <c r="DJ63" s="29" t="str">
        <f t="shared" si="50"/>
        <v/>
      </c>
      <c r="DK63" s="29" t="str">
        <f t="shared" si="50"/>
        <v/>
      </c>
      <c r="DL63" s="29" t="str">
        <f t="shared" si="50"/>
        <v/>
      </c>
      <c r="DM63" s="29" t="str">
        <f t="shared" si="42"/>
        <v/>
      </c>
      <c r="DN63" s="29" t="str">
        <f t="shared" si="42"/>
        <v/>
      </c>
      <c r="DO63" s="29" t="str">
        <f t="shared" si="42"/>
        <v/>
      </c>
      <c r="DP63" s="29" t="str">
        <f t="shared" si="42"/>
        <v/>
      </c>
      <c r="DQ63" s="29" t="str">
        <f t="shared" si="42"/>
        <v/>
      </c>
      <c r="DR63" s="29" t="str">
        <f t="shared" si="42"/>
        <v/>
      </c>
      <c r="DS63" s="29" t="str">
        <f t="shared" si="42"/>
        <v/>
      </c>
      <c r="DT63" s="29" t="str">
        <f t="shared" si="42"/>
        <v/>
      </c>
      <c r="DU63" s="29" t="str">
        <f t="shared" si="42"/>
        <v/>
      </c>
      <c r="DV63" s="29" t="str">
        <f t="shared" si="42"/>
        <v/>
      </c>
      <c r="DW63" s="29" t="str">
        <f t="shared" si="42"/>
        <v/>
      </c>
      <c r="DX63" s="29" t="str">
        <f t="shared" si="42"/>
        <v/>
      </c>
      <c r="DY63" s="29" t="str">
        <f t="shared" si="42"/>
        <v/>
      </c>
      <c r="DZ63" s="29" t="str">
        <f t="shared" si="42"/>
        <v/>
      </c>
      <c r="EA63" s="29" t="str">
        <f t="shared" si="42"/>
        <v/>
      </c>
      <c r="EB63" s="29" t="str">
        <f t="shared" si="42"/>
        <v/>
      </c>
      <c r="EC63" s="29" t="str">
        <f t="shared" si="43"/>
        <v/>
      </c>
      <c r="ED63" s="29" t="str">
        <f t="shared" si="43"/>
        <v/>
      </c>
      <c r="EE63" s="29" t="str">
        <f t="shared" si="43"/>
        <v/>
      </c>
      <c r="EF63" s="29" t="str">
        <f t="shared" si="43"/>
        <v/>
      </c>
      <c r="EG63" s="29" t="str">
        <f t="shared" si="43"/>
        <v/>
      </c>
      <c r="EH63" s="29" t="str">
        <f t="shared" si="43"/>
        <v/>
      </c>
      <c r="EI63" s="29" t="str">
        <f t="shared" si="43"/>
        <v/>
      </c>
      <c r="EJ63" s="29" t="str">
        <f t="shared" si="43"/>
        <v/>
      </c>
      <c r="EK63" s="29" t="str">
        <f t="shared" si="43"/>
        <v/>
      </c>
      <c r="EL63" s="29" t="str">
        <f t="shared" si="43"/>
        <v/>
      </c>
      <c r="EM63" s="29" t="str">
        <f t="shared" si="43"/>
        <v/>
      </c>
      <c r="EN63" s="29" t="str">
        <f t="shared" si="49"/>
        <v/>
      </c>
      <c r="EO63" s="29" t="str">
        <f t="shared" si="49"/>
        <v/>
      </c>
      <c r="EP63" s="29" t="str">
        <f t="shared" si="49"/>
        <v/>
      </c>
      <c r="EQ63" s="29" t="str">
        <f t="shared" si="49"/>
        <v/>
      </c>
      <c r="ER63" s="29" t="str">
        <f t="shared" si="49"/>
        <v/>
      </c>
      <c r="ES63" s="29" t="str">
        <f t="shared" si="49"/>
        <v/>
      </c>
      <c r="ET63" s="29" t="str">
        <f t="shared" si="49"/>
        <v/>
      </c>
    </row>
    <row r="64" spans="1:150" x14ac:dyDescent="0.2">
      <c r="A64" s="103" t="str">
        <f>TEXT('M&amp;V Tasks'!A65,"#")</f>
        <v/>
      </c>
      <c r="B64" s="104" t="str">
        <f>TEXT('M&amp;V Tasks'!B65,"#")</f>
        <v/>
      </c>
      <c r="C64" s="103">
        <f>'M&amp;V Tasks'!I65</f>
        <v>0</v>
      </c>
      <c r="D64" s="27"/>
      <c r="E64" s="27"/>
      <c r="F64" s="29" t="str">
        <f t="shared" si="44"/>
        <v/>
      </c>
      <c r="G64" s="29" t="str">
        <f t="shared" si="44"/>
        <v/>
      </c>
      <c r="H64" s="29" t="str">
        <f t="shared" si="44"/>
        <v/>
      </c>
      <c r="I64" s="29" t="str">
        <f t="shared" si="44"/>
        <v/>
      </c>
      <c r="J64" s="29" t="str">
        <f t="shared" si="44"/>
        <v/>
      </c>
      <c r="K64" s="29" t="str">
        <f t="shared" si="44"/>
        <v/>
      </c>
      <c r="L64" s="29" t="str">
        <f t="shared" si="44"/>
        <v/>
      </c>
      <c r="M64" s="29" t="str">
        <f t="shared" si="44"/>
        <v/>
      </c>
      <c r="N64" s="29" t="str">
        <f t="shared" si="44"/>
        <v/>
      </c>
      <c r="O64" s="29" t="str">
        <f t="shared" si="44"/>
        <v/>
      </c>
      <c r="P64" s="29" t="str">
        <f t="shared" si="44"/>
        <v/>
      </c>
      <c r="Q64" s="29" t="str">
        <f t="shared" si="44"/>
        <v/>
      </c>
      <c r="R64" s="29" t="str">
        <f t="shared" si="44"/>
        <v/>
      </c>
      <c r="S64" s="29" t="str">
        <f t="shared" si="44"/>
        <v/>
      </c>
      <c r="T64" s="29" t="str">
        <f t="shared" si="44"/>
        <v/>
      </c>
      <c r="U64" s="29" t="str">
        <f t="shared" si="44"/>
        <v/>
      </c>
      <c r="V64" s="29" t="str">
        <f t="shared" si="46"/>
        <v/>
      </c>
      <c r="W64" s="29" t="str">
        <f t="shared" si="46"/>
        <v/>
      </c>
      <c r="X64" s="29" t="str">
        <f t="shared" si="46"/>
        <v/>
      </c>
      <c r="Y64" s="29" t="str">
        <f t="shared" si="46"/>
        <v/>
      </c>
      <c r="Z64" s="29" t="str">
        <f t="shared" si="46"/>
        <v/>
      </c>
      <c r="AA64" s="29" t="str">
        <f t="shared" si="46"/>
        <v/>
      </c>
      <c r="AB64" s="29" t="str">
        <f t="shared" si="46"/>
        <v/>
      </c>
      <c r="AC64" s="29" t="str">
        <f t="shared" si="46"/>
        <v/>
      </c>
      <c r="AD64" s="29" t="str">
        <f t="shared" si="46"/>
        <v/>
      </c>
      <c r="AE64" s="29" t="str">
        <f t="shared" si="46"/>
        <v/>
      </c>
      <c r="AF64" s="29" t="str">
        <f t="shared" si="46"/>
        <v/>
      </c>
      <c r="AG64" s="29" t="str">
        <f t="shared" si="46"/>
        <v/>
      </c>
      <c r="AH64" s="29" t="str">
        <f t="shared" si="46"/>
        <v/>
      </c>
      <c r="AI64" s="29" t="str">
        <f t="shared" si="46"/>
        <v/>
      </c>
      <c r="AJ64" s="29" t="str">
        <f t="shared" si="46"/>
        <v/>
      </c>
      <c r="AK64" s="29" t="str">
        <f t="shared" si="46"/>
        <v/>
      </c>
      <c r="AL64" s="29" t="str">
        <f t="shared" si="47"/>
        <v/>
      </c>
      <c r="AM64" s="29" t="str">
        <f t="shared" si="47"/>
        <v/>
      </c>
      <c r="AN64" s="29" t="str">
        <f t="shared" si="47"/>
        <v/>
      </c>
      <c r="AO64" s="29" t="str">
        <f t="shared" si="47"/>
        <v/>
      </c>
      <c r="AP64" s="29" t="str">
        <f t="shared" si="47"/>
        <v/>
      </c>
      <c r="AQ64" s="29" t="str">
        <f t="shared" si="47"/>
        <v/>
      </c>
      <c r="AR64" s="29" t="str">
        <f t="shared" si="47"/>
        <v/>
      </c>
      <c r="AS64" s="29" t="str">
        <f t="shared" si="47"/>
        <v/>
      </c>
      <c r="AT64" s="29" t="str">
        <f t="shared" si="47"/>
        <v/>
      </c>
      <c r="AU64" s="29" t="str">
        <f t="shared" si="47"/>
        <v/>
      </c>
      <c r="AV64" s="29" t="str">
        <f t="shared" si="47"/>
        <v/>
      </c>
      <c r="AW64" s="29" t="str">
        <f t="shared" si="47"/>
        <v/>
      </c>
      <c r="AX64" s="29" t="str">
        <f t="shared" si="47"/>
        <v/>
      </c>
      <c r="AY64" s="29" t="str">
        <f t="shared" si="47"/>
        <v/>
      </c>
      <c r="AZ64" s="29" t="str">
        <f t="shared" si="47"/>
        <v/>
      </c>
      <c r="BA64" s="29" t="str">
        <f t="shared" si="47"/>
        <v/>
      </c>
      <c r="BB64" s="29" t="str">
        <f t="shared" si="48"/>
        <v/>
      </c>
      <c r="BC64" s="29" t="str">
        <f t="shared" si="48"/>
        <v/>
      </c>
      <c r="BD64" s="29" t="str">
        <f t="shared" si="48"/>
        <v/>
      </c>
      <c r="BE64" s="29" t="str">
        <f t="shared" si="48"/>
        <v/>
      </c>
      <c r="BF64" s="29" t="str">
        <f t="shared" si="48"/>
        <v/>
      </c>
      <c r="BG64" s="29" t="str">
        <f t="shared" si="48"/>
        <v/>
      </c>
      <c r="BH64" s="29" t="str">
        <f t="shared" si="48"/>
        <v/>
      </c>
      <c r="BI64" s="29" t="str">
        <f t="shared" si="48"/>
        <v/>
      </c>
      <c r="BJ64" s="29" t="str">
        <f t="shared" si="48"/>
        <v/>
      </c>
      <c r="BK64" s="29" t="str">
        <f t="shared" si="48"/>
        <v/>
      </c>
      <c r="BL64" s="29" t="str">
        <f t="shared" si="48"/>
        <v/>
      </c>
      <c r="BM64" s="29" t="str">
        <f t="shared" si="48"/>
        <v/>
      </c>
      <c r="BN64" s="29" t="str">
        <f t="shared" si="48"/>
        <v/>
      </c>
      <c r="BO64" s="29" t="str">
        <f t="shared" si="45"/>
        <v/>
      </c>
      <c r="BP64" s="29" t="str">
        <f t="shared" si="45"/>
        <v/>
      </c>
      <c r="BQ64" s="29" t="str">
        <f t="shared" si="45"/>
        <v/>
      </c>
      <c r="BR64" s="29" t="str">
        <f t="shared" si="45"/>
        <v/>
      </c>
      <c r="BS64" s="29" t="str">
        <f t="shared" si="45"/>
        <v/>
      </c>
      <c r="BT64" s="29" t="str">
        <f t="shared" si="45"/>
        <v/>
      </c>
      <c r="BU64" s="29" t="str">
        <f t="shared" si="45"/>
        <v/>
      </c>
      <c r="BV64" s="29" t="str">
        <f t="shared" si="45"/>
        <v/>
      </c>
      <c r="BW64" s="29" t="str">
        <f t="shared" si="45"/>
        <v/>
      </c>
      <c r="BX64" s="29" t="str">
        <f t="shared" si="45"/>
        <v/>
      </c>
      <c r="BY64" s="29" t="str">
        <f t="shared" si="45"/>
        <v/>
      </c>
      <c r="BZ64" s="29" t="str">
        <f t="shared" si="45"/>
        <v/>
      </c>
      <c r="CA64" s="29" t="str">
        <f t="shared" si="45"/>
        <v/>
      </c>
      <c r="CB64" s="29" t="str">
        <f t="shared" si="45"/>
        <v/>
      </c>
      <c r="CC64" s="29" t="str">
        <f t="shared" si="45"/>
        <v/>
      </c>
      <c r="CD64" s="29" t="str">
        <f t="shared" si="45"/>
        <v/>
      </c>
      <c r="CE64" s="29" t="str">
        <f t="shared" si="45"/>
        <v/>
      </c>
      <c r="CF64" s="29" t="str">
        <f t="shared" ref="CF64:CU64" si="51">IF(AND(CF$9&gt;=$D64,CF$9&lt;=$E64),1,"")</f>
        <v/>
      </c>
      <c r="CG64" s="29" t="str">
        <f t="shared" si="51"/>
        <v/>
      </c>
      <c r="CH64" s="29" t="str">
        <f t="shared" si="51"/>
        <v/>
      </c>
      <c r="CI64" s="29" t="str">
        <f t="shared" si="51"/>
        <v/>
      </c>
      <c r="CJ64" s="29" t="str">
        <f t="shared" si="51"/>
        <v/>
      </c>
      <c r="CK64" s="29" t="str">
        <f t="shared" si="51"/>
        <v/>
      </c>
      <c r="CL64" s="29" t="str">
        <f t="shared" si="51"/>
        <v/>
      </c>
      <c r="CM64" s="29" t="str">
        <f t="shared" si="51"/>
        <v/>
      </c>
      <c r="CN64" s="29" t="str">
        <f t="shared" si="51"/>
        <v/>
      </c>
      <c r="CO64" s="29" t="str">
        <f t="shared" si="51"/>
        <v/>
      </c>
      <c r="CP64" s="29" t="str">
        <f t="shared" si="51"/>
        <v/>
      </c>
      <c r="CQ64" s="29" t="str">
        <f t="shared" si="51"/>
        <v/>
      </c>
      <c r="CR64" s="29" t="str">
        <f t="shared" si="51"/>
        <v/>
      </c>
      <c r="CS64" s="29" t="str">
        <f t="shared" si="51"/>
        <v/>
      </c>
      <c r="CT64" s="29" t="str">
        <f t="shared" si="51"/>
        <v/>
      </c>
      <c r="CU64" s="29" t="str">
        <f t="shared" si="51"/>
        <v/>
      </c>
      <c r="CV64" s="29" t="str">
        <f t="shared" ref="BO64:CV65" si="52">IF(AND(CV$9&gt;=$D64,CV$9&lt;=$E64),1,"")</f>
        <v/>
      </c>
      <c r="CW64" s="29" t="str">
        <f t="shared" si="50"/>
        <v/>
      </c>
      <c r="CX64" s="29" t="str">
        <f t="shared" si="50"/>
        <v/>
      </c>
      <c r="CY64" s="29" t="str">
        <f t="shared" si="50"/>
        <v/>
      </c>
      <c r="CZ64" s="29" t="str">
        <f t="shared" si="50"/>
        <v/>
      </c>
      <c r="DA64" s="29" t="str">
        <f t="shared" si="50"/>
        <v/>
      </c>
      <c r="DB64" s="29" t="str">
        <f t="shared" si="50"/>
        <v/>
      </c>
      <c r="DC64" s="29" t="str">
        <f t="shared" si="50"/>
        <v/>
      </c>
      <c r="DD64" s="29" t="str">
        <f t="shared" si="50"/>
        <v/>
      </c>
      <c r="DE64" s="29" t="str">
        <f t="shared" si="50"/>
        <v/>
      </c>
      <c r="DF64" s="29" t="str">
        <f t="shared" si="50"/>
        <v/>
      </c>
      <c r="DG64" s="29" t="str">
        <f t="shared" si="50"/>
        <v/>
      </c>
      <c r="DH64" s="29" t="str">
        <f t="shared" si="50"/>
        <v/>
      </c>
      <c r="DI64" s="29" t="str">
        <f t="shared" si="50"/>
        <v/>
      </c>
      <c r="DJ64" s="29" t="str">
        <f t="shared" si="50"/>
        <v/>
      </c>
      <c r="DK64" s="29" t="str">
        <f t="shared" si="50"/>
        <v/>
      </c>
      <c r="DL64" s="29" t="str">
        <f t="shared" si="50"/>
        <v/>
      </c>
      <c r="DM64" s="29" t="str">
        <f t="shared" si="42"/>
        <v/>
      </c>
      <c r="DN64" s="29" t="str">
        <f t="shared" si="42"/>
        <v/>
      </c>
      <c r="DO64" s="29" t="str">
        <f t="shared" si="42"/>
        <v/>
      </c>
      <c r="DP64" s="29" t="str">
        <f t="shared" si="42"/>
        <v/>
      </c>
      <c r="DQ64" s="29" t="str">
        <f t="shared" si="42"/>
        <v/>
      </c>
      <c r="DR64" s="29" t="str">
        <f t="shared" si="42"/>
        <v/>
      </c>
      <c r="DS64" s="29" t="str">
        <f t="shared" si="42"/>
        <v/>
      </c>
      <c r="DT64" s="29" t="str">
        <f t="shared" si="42"/>
        <v/>
      </c>
      <c r="DU64" s="29" t="str">
        <f t="shared" si="42"/>
        <v/>
      </c>
      <c r="DV64" s="29" t="str">
        <f t="shared" si="42"/>
        <v/>
      </c>
      <c r="DW64" s="29" t="str">
        <f t="shared" si="42"/>
        <v/>
      </c>
      <c r="DX64" s="29" t="str">
        <f t="shared" si="42"/>
        <v/>
      </c>
      <c r="DY64" s="29" t="str">
        <f t="shared" si="42"/>
        <v/>
      </c>
      <c r="DZ64" s="29" t="str">
        <f t="shared" si="42"/>
        <v/>
      </c>
      <c r="EA64" s="29" t="str">
        <f t="shared" si="42"/>
        <v/>
      </c>
      <c r="EB64" s="29" t="str">
        <f t="shared" si="42"/>
        <v/>
      </c>
      <c r="EC64" s="29" t="str">
        <f t="shared" si="43"/>
        <v/>
      </c>
      <c r="ED64" s="29" t="str">
        <f t="shared" si="43"/>
        <v/>
      </c>
      <c r="EE64" s="29" t="str">
        <f t="shared" si="43"/>
        <v/>
      </c>
      <c r="EF64" s="29" t="str">
        <f t="shared" si="43"/>
        <v/>
      </c>
      <c r="EG64" s="29" t="str">
        <f t="shared" si="43"/>
        <v/>
      </c>
      <c r="EH64" s="29" t="str">
        <f t="shared" si="43"/>
        <v/>
      </c>
      <c r="EI64" s="29" t="str">
        <f t="shared" si="43"/>
        <v/>
      </c>
      <c r="EJ64" s="29" t="str">
        <f t="shared" si="43"/>
        <v/>
      </c>
      <c r="EK64" s="29" t="str">
        <f t="shared" si="43"/>
        <v/>
      </c>
      <c r="EL64" s="29" t="str">
        <f t="shared" si="43"/>
        <v/>
      </c>
      <c r="EM64" s="29" t="str">
        <f t="shared" si="43"/>
        <v/>
      </c>
      <c r="EN64" s="29" t="str">
        <f t="shared" si="49"/>
        <v/>
      </c>
      <c r="EO64" s="29" t="str">
        <f t="shared" si="49"/>
        <v/>
      </c>
      <c r="EP64" s="29" t="str">
        <f t="shared" si="49"/>
        <v/>
      </c>
      <c r="EQ64" s="29" t="str">
        <f t="shared" si="49"/>
        <v/>
      </c>
      <c r="ER64" s="29" t="str">
        <f t="shared" si="49"/>
        <v/>
      </c>
      <c r="ES64" s="29" t="str">
        <f t="shared" si="49"/>
        <v/>
      </c>
      <c r="ET64" s="29" t="str">
        <f t="shared" si="49"/>
        <v/>
      </c>
    </row>
    <row r="65" spans="1:150" x14ac:dyDescent="0.2">
      <c r="A65" s="103" t="str">
        <f>TEXT('M&amp;V Tasks'!A66,"#")</f>
        <v/>
      </c>
      <c r="B65" s="104" t="str">
        <f>TEXT('M&amp;V Tasks'!B66,"#")</f>
        <v/>
      </c>
      <c r="C65" s="103">
        <f>'M&amp;V Tasks'!I66</f>
        <v>0</v>
      </c>
      <c r="D65" s="27"/>
      <c r="E65" s="27"/>
      <c r="F65" s="29" t="str">
        <f t="shared" si="44"/>
        <v/>
      </c>
      <c r="G65" s="29" t="str">
        <f t="shared" si="44"/>
        <v/>
      </c>
      <c r="H65" s="29" t="str">
        <f t="shared" si="44"/>
        <v/>
      </c>
      <c r="I65" s="29" t="str">
        <f t="shared" si="44"/>
        <v/>
      </c>
      <c r="J65" s="29" t="str">
        <f t="shared" si="44"/>
        <v/>
      </c>
      <c r="K65" s="29" t="str">
        <f t="shared" si="44"/>
        <v/>
      </c>
      <c r="L65" s="29" t="str">
        <f t="shared" si="44"/>
        <v/>
      </c>
      <c r="M65" s="29" t="str">
        <f t="shared" si="44"/>
        <v/>
      </c>
      <c r="N65" s="29" t="str">
        <f t="shared" si="44"/>
        <v/>
      </c>
      <c r="O65" s="29" t="str">
        <f t="shared" si="44"/>
        <v/>
      </c>
      <c r="P65" s="29" t="str">
        <f t="shared" si="44"/>
        <v/>
      </c>
      <c r="Q65" s="29" t="str">
        <f t="shared" si="44"/>
        <v/>
      </c>
      <c r="R65" s="29" t="str">
        <f t="shared" si="44"/>
        <v/>
      </c>
      <c r="S65" s="29" t="str">
        <f t="shared" si="44"/>
        <v/>
      </c>
      <c r="T65" s="29" t="str">
        <f t="shared" si="44"/>
        <v/>
      </c>
      <c r="U65" s="29" t="str">
        <f t="shared" si="44"/>
        <v/>
      </c>
      <c r="V65" s="29" t="str">
        <f t="shared" si="46"/>
        <v/>
      </c>
      <c r="W65" s="29" t="str">
        <f t="shared" si="46"/>
        <v/>
      </c>
      <c r="X65" s="29" t="str">
        <f t="shared" si="46"/>
        <v/>
      </c>
      <c r="Y65" s="29" t="str">
        <f t="shared" si="46"/>
        <v/>
      </c>
      <c r="Z65" s="29" t="str">
        <f t="shared" si="46"/>
        <v/>
      </c>
      <c r="AA65" s="29" t="str">
        <f t="shared" si="46"/>
        <v/>
      </c>
      <c r="AB65" s="29" t="str">
        <f t="shared" si="46"/>
        <v/>
      </c>
      <c r="AC65" s="29" t="str">
        <f t="shared" si="46"/>
        <v/>
      </c>
      <c r="AD65" s="29" t="str">
        <f t="shared" si="46"/>
        <v/>
      </c>
      <c r="AE65" s="29" t="str">
        <f t="shared" si="46"/>
        <v/>
      </c>
      <c r="AF65" s="29" t="str">
        <f t="shared" si="46"/>
        <v/>
      </c>
      <c r="AG65" s="29" t="str">
        <f t="shared" si="46"/>
        <v/>
      </c>
      <c r="AH65" s="29" t="str">
        <f t="shared" si="46"/>
        <v/>
      </c>
      <c r="AI65" s="29" t="str">
        <f t="shared" si="46"/>
        <v/>
      </c>
      <c r="AJ65" s="29" t="str">
        <f t="shared" si="46"/>
        <v/>
      </c>
      <c r="AK65" s="29" t="str">
        <f t="shared" si="46"/>
        <v/>
      </c>
      <c r="AL65" s="29" t="str">
        <f t="shared" si="47"/>
        <v/>
      </c>
      <c r="AM65" s="29" t="str">
        <f t="shared" si="47"/>
        <v/>
      </c>
      <c r="AN65" s="29" t="str">
        <f t="shared" si="47"/>
        <v/>
      </c>
      <c r="AO65" s="29" t="str">
        <f t="shared" si="47"/>
        <v/>
      </c>
      <c r="AP65" s="29" t="str">
        <f t="shared" si="47"/>
        <v/>
      </c>
      <c r="AQ65" s="29" t="str">
        <f t="shared" si="47"/>
        <v/>
      </c>
      <c r="AR65" s="29" t="str">
        <f t="shared" si="47"/>
        <v/>
      </c>
      <c r="AS65" s="29" t="str">
        <f t="shared" si="47"/>
        <v/>
      </c>
      <c r="AT65" s="29" t="str">
        <f t="shared" si="47"/>
        <v/>
      </c>
      <c r="AU65" s="29" t="str">
        <f t="shared" si="47"/>
        <v/>
      </c>
      <c r="AV65" s="29" t="str">
        <f t="shared" si="47"/>
        <v/>
      </c>
      <c r="AW65" s="29" t="str">
        <f t="shared" si="47"/>
        <v/>
      </c>
      <c r="AX65" s="29" t="str">
        <f t="shared" si="47"/>
        <v/>
      </c>
      <c r="AY65" s="29" t="str">
        <f t="shared" si="47"/>
        <v/>
      </c>
      <c r="AZ65" s="29" t="str">
        <f t="shared" si="47"/>
        <v/>
      </c>
      <c r="BA65" s="29" t="str">
        <f t="shared" si="47"/>
        <v/>
      </c>
      <c r="BB65" s="29" t="str">
        <f t="shared" si="48"/>
        <v/>
      </c>
      <c r="BC65" s="29" t="str">
        <f t="shared" si="48"/>
        <v/>
      </c>
      <c r="BD65" s="29" t="str">
        <f t="shared" si="48"/>
        <v/>
      </c>
      <c r="BE65" s="29" t="str">
        <f t="shared" si="48"/>
        <v/>
      </c>
      <c r="BF65" s="29" t="str">
        <f t="shared" si="48"/>
        <v/>
      </c>
      <c r="BG65" s="29" t="str">
        <f t="shared" si="48"/>
        <v/>
      </c>
      <c r="BH65" s="29" t="str">
        <f t="shared" si="48"/>
        <v/>
      </c>
      <c r="BI65" s="29" t="str">
        <f t="shared" si="48"/>
        <v/>
      </c>
      <c r="BJ65" s="29" t="str">
        <f t="shared" si="48"/>
        <v/>
      </c>
      <c r="BK65" s="29" t="str">
        <f t="shared" si="48"/>
        <v/>
      </c>
      <c r="BL65" s="29" t="str">
        <f t="shared" si="48"/>
        <v/>
      </c>
      <c r="BM65" s="29" t="str">
        <f t="shared" si="48"/>
        <v/>
      </c>
      <c r="BN65" s="29" t="str">
        <f t="shared" si="48"/>
        <v/>
      </c>
      <c r="BO65" s="29" t="str">
        <f t="shared" si="52"/>
        <v/>
      </c>
      <c r="BP65" s="29" t="str">
        <f t="shared" si="52"/>
        <v/>
      </c>
      <c r="BQ65" s="29" t="str">
        <f t="shared" si="52"/>
        <v/>
      </c>
      <c r="BR65" s="29" t="str">
        <f t="shared" si="52"/>
        <v/>
      </c>
      <c r="BS65" s="29" t="str">
        <f t="shared" si="52"/>
        <v/>
      </c>
      <c r="BT65" s="29" t="str">
        <f t="shared" si="52"/>
        <v/>
      </c>
      <c r="BU65" s="29" t="str">
        <f t="shared" si="52"/>
        <v/>
      </c>
      <c r="BV65" s="29" t="str">
        <f t="shared" si="52"/>
        <v/>
      </c>
      <c r="BW65" s="29" t="str">
        <f t="shared" si="52"/>
        <v/>
      </c>
      <c r="BX65" s="29" t="str">
        <f t="shared" si="52"/>
        <v/>
      </c>
      <c r="BY65" s="29" t="str">
        <f t="shared" si="52"/>
        <v/>
      </c>
      <c r="BZ65" s="29" t="str">
        <f t="shared" si="52"/>
        <v/>
      </c>
      <c r="CA65" s="29" t="str">
        <f t="shared" si="52"/>
        <v/>
      </c>
      <c r="CB65" s="29" t="str">
        <f t="shared" si="52"/>
        <v/>
      </c>
      <c r="CC65" s="29" t="str">
        <f t="shared" si="52"/>
        <v/>
      </c>
      <c r="CD65" s="29" t="str">
        <f t="shared" si="52"/>
        <v/>
      </c>
      <c r="CE65" s="29" t="str">
        <f t="shared" si="52"/>
        <v/>
      </c>
      <c r="CF65" s="29" t="str">
        <f t="shared" si="52"/>
        <v/>
      </c>
      <c r="CG65" s="29" t="str">
        <f t="shared" si="52"/>
        <v/>
      </c>
      <c r="CH65" s="29" t="str">
        <f t="shared" si="52"/>
        <v/>
      </c>
      <c r="CI65" s="29" t="str">
        <f t="shared" si="52"/>
        <v/>
      </c>
      <c r="CJ65" s="29" t="str">
        <f t="shared" si="52"/>
        <v/>
      </c>
      <c r="CK65" s="29" t="str">
        <f t="shared" si="52"/>
        <v/>
      </c>
      <c r="CL65" s="29" t="str">
        <f t="shared" si="52"/>
        <v/>
      </c>
      <c r="CM65" s="29" t="str">
        <f t="shared" si="52"/>
        <v/>
      </c>
      <c r="CN65" s="29" t="str">
        <f t="shared" si="52"/>
        <v/>
      </c>
      <c r="CO65" s="29" t="str">
        <f t="shared" si="52"/>
        <v/>
      </c>
      <c r="CP65" s="29" t="str">
        <f t="shared" si="52"/>
        <v/>
      </c>
      <c r="CQ65" s="29" t="str">
        <f t="shared" si="52"/>
        <v/>
      </c>
      <c r="CR65" s="29" t="str">
        <f t="shared" si="52"/>
        <v/>
      </c>
      <c r="CS65" s="29" t="str">
        <f t="shared" si="52"/>
        <v/>
      </c>
      <c r="CT65" s="29" t="str">
        <f t="shared" si="52"/>
        <v/>
      </c>
      <c r="CU65" s="29" t="str">
        <f t="shared" si="52"/>
        <v/>
      </c>
      <c r="CV65" s="29" t="str">
        <f t="shared" si="52"/>
        <v/>
      </c>
      <c r="CW65" s="29" t="str">
        <f t="shared" si="50"/>
        <v/>
      </c>
      <c r="CX65" s="29" t="str">
        <f t="shared" si="50"/>
        <v/>
      </c>
      <c r="CY65" s="29" t="str">
        <f t="shared" si="50"/>
        <v/>
      </c>
      <c r="CZ65" s="29" t="str">
        <f t="shared" si="50"/>
        <v/>
      </c>
      <c r="DA65" s="29" t="str">
        <f t="shared" si="50"/>
        <v/>
      </c>
      <c r="DB65" s="29" t="str">
        <f t="shared" si="50"/>
        <v/>
      </c>
      <c r="DC65" s="29" t="str">
        <f t="shared" si="50"/>
        <v/>
      </c>
      <c r="DD65" s="29" t="str">
        <f t="shared" si="50"/>
        <v/>
      </c>
      <c r="DE65" s="29" t="str">
        <f t="shared" si="50"/>
        <v/>
      </c>
      <c r="DF65" s="29" t="str">
        <f t="shared" si="50"/>
        <v/>
      </c>
      <c r="DG65" s="29" t="str">
        <f t="shared" si="50"/>
        <v/>
      </c>
      <c r="DH65" s="29" t="str">
        <f t="shared" si="50"/>
        <v/>
      </c>
      <c r="DI65" s="29" t="str">
        <f t="shared" si="50"/>
        <v/>
      </c>
      <c r="DJ65" s="29" t="str">
        <f t="shared" si="50"/>
        <v/>
      </c>
      <c r="DK65" s="29" t="str">
        <f t="shared" si="50"/>
        <v/>
      </c>
      <c r="DL65" s="29" t="str">
        <f t="shared" si="50"/>
        <v/>
      </c>
      <c r="DM65" s="29" t="str">
        <f t="shared" si="42"/>
        <v/>
      </c>
      <c r="DN65" s="29" t="str">
        <f t="shared" si="42"/>
        <v/>
      </c>
      <c r="DO65" s="29" t="str">
        <f t="shared" si="42"/>
        <v/>
      </c>
      <c r="DP65" s="29" t="str">
        <f t="shared" si="42"/>
        <v/>
      </c>
      <c r="DQ65" s="29" t="str">
        <f t="shared" si="42"/>
        <v/>
      </c>
      <c r="DR65" s="29" t="str">
        <f t="shared" si="42"/>
        <v/>
      </c>
      <c r="DS65" s="29" t="str">
        <f t="shared" si="42"/>
        <v/>
      </c>
      <c r="DT65" s="29" t="str">
        <f t="shared" si="42"/>
        <v/>
      </c>
      <c r="DU65" s="29" t="str">
        <f t="shared" si="42"/>
        <v/>
      </c>
      <c r="DV65" s="29" t="str">
        <f t="shared" si="42"/>
        <v/>
      </c>
      <c r="DW65" s="29" t="str">
        <f t="shared" si="42"/>
        <v/>
      </c>
      <c r="DX65" s="29" t="str">
        <f t="shared" si="42"/>
        <v/>
      </c>
      <c r="DY65" s="29" t="str">
        <f t="shared" si="42"/>
        <v/>
      </c>
      <c r="DZ65" s="29" t="str">
        <f t="shared" si="42"/>
        <v/>
      </c>
      <c r="EA65" s="29" t="str">
        <f t="shared" si="42"/>
        <v/>
      </c>
      <c r="EB65" s="29" t="str">
        <f t="shared" si="42"/>
        <v/>
      </c>
      <c r="EC65" s="29" t="str">
        <f t="shared" si="43"/>
        <v/>
      </c>
      <c r="ED65" s="29" t="str">
        <f t="shared" si="43"/>
        <v/>
      </c>
      <c r="EE65" s="29" t="str">
        <f t="shared" si="43"/>
        <v/>
      </c>
      <c r="EF65" s="29" t="str">
        <f t="shared" si="43"/>
        <v/>
      </c>
      <c r="EG65" s="29" t="str">
        <f t="shared" si="43"/>
        <v/>
      </c>
      <c r="EH65" s="29" t="str">
        <f t="shared" si="43"/>
        <v/>
      </c>
      <c r="EI65" s="29" t="str">
        <f t="shared" si="43"/>
        <v/>
      </c>
      <c r="EJ65" s="29" t="str">
        <f t="shared" si="43"/>
        <v/>
      </c>
      <c r="EK65" s="29" t="str">
        <f t="shared" si="43"/>
        <v/>
      </c>
      <c r="EL65" s="29" t="str">
        <f t="shared" si="43"/>
        <v/>
      </c>
      <c r="EM65" s="29" t="str">
        <f t="shared" si="43"/>
        <v/>
      </c>
      <c r="EN65" s="29" t="str">
        <f t="shared" si="49"/>
        <v/>
      </c>
      <c r="EO65" s="29" t="str">
        <f t="shared" si="49"/>
        <v/>
      </c>
      <c r="EP65" s="29" t="str">
        <f t="shared" si="49"/>
        <v/>
      </c>
      <c r="EQ65" s="29" t="str">
        <f t="shared" si="49"/>
        <v/>
      </c>
      <c r="ER65" s="29" t="str">
        <f t="shared" si="49"/>
        <v/>
      </c>
      <c r="ES65" s="29" t="str">
        <f t="shared" si="49"/>
        <v/>
      </c>
      <c r="ET65" s="29" t="str">
        <f t="shared" si="49"/>
        <v/>
      </c>
    </row>
  </sheetData>
  <sheetCalcPr fullCalcOnLoad="1"/>
  <mergeCells count="34">
    <mergeCell ref="BD8:BH8"/>
    <mergeCell ref="BI8:BM8"/>
    <mergeCell ref="CR8:CV8"/>
    <mergeCell ref="CM8:CQ8"/>
    <mergeCell ref="CH8:CL8"/>
    <mergeCell ref="F8:J8"/>
    <mergeCell ref="K8:O8"/>
    <mergeCell ref="P8:T8"/>
    <mergeCell ref="U8:Y8"/>
    <mergeCell ref="Z8:AD8"/>
    <mergeCell ref="AE8:AI8"/>
    <mergeCell ref="BN8:BR8"/>
    <mergeCell ref="AT8:AX8"/>
    <mergeCell ref="AY8:BC8"/>
    <mergeCell ref="DQ8:DU8"/>
    <mergeCell ref="DV8:DZ8"/>
    <mergeCell ref="EA8:EE8"/>
    <mergeCell ref="EF8:EJ8"/>
    <mergeCell ref="EK8:EO8"/>
    <mergeCell ref="AJ8:AN8"/>
    <mergeCell ref="BS8:BW8"/>
    <mergeCell ref="AO8:AS8"/>
    <mergeCell ref="BX8:CB8"/>
    <mergeCell ref="CC8:CG8"/>
    <mergeCell ref="A2:ET2"/>
    <mergeCell ref="C3:D3"/>
    <mergeCell ref="C4:D4"/>
    <mergeCell ref="A1:E1"/>
    <mergeCell ref="F1:ET1"/>
    <mergeCell ref="EP8:ET8"/>
    <mergeCell ref="CW8:DA8"/>
    <mergeCell ref="DB8:DF8"/>
    <mergeCell ref="DG8:DK8"/>
    <mergeCell ref="DL8:DP8"/>
  </mergeCells>
  <phoneticPr fontId="0" type="noConversion"/>
  <conditionalFormatting sqref="F10:ET65">
    <cfRule type="cellIs" dxfId="0" priority="1" stopIfTrue="1" operator="equal">
      <formula>1</formula>
    </cfRule>
  </conditionalFormatting>
  <printOptions horizontalCentered="1"/>
  <pageMargins left="0.23622047244094491" right="0.23622047244094491" top="0.74803149606299213" bottom="0.59055118110236227" header="0.51181102362204722" footer="0.51181102362204722"/>
  <pageSetup paperSize="9" scale="75" fitToWidth="3" fitToHeight="0" orientation="landscape" r:id="rId1"/>
  <headerFooter alignWithMargins="0"/>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38"/>
  <sheetViews>
    <sheetView showGridLines="0" workbookViewId="0">
      <selection sqref="A1:H1"/>
    </sheetView>
  </sheetViews>
  <sheetFormatPr defaultRowHeight="12.75" x14ac:dyDescent="0.2"/>
  <cols>
    <col min="1" max="1" width="28.7109375" style="1" customWidth="1"/>
    <col min="2" max="2" width="10.7109375" style="1" customWidth="1"/>
    <col min="3" max="3" width="26.5703125" style="1" customWidth="1"/>
    <col min="4" max="4" width="23.42578125" style="1" customWidth="1"/>
    <col min="5" max="8" width="22.140625" style="1" customWidth="1"/>
    <col min="9" max="16384" width="9.140625" style="1"/>
  </cols>
  <sheetData>
    <row r="1" spans="1:8" ht="24" customHeight="1" x14ac:dyDescent="0.2">
      <c r="A1" s="250" t="s">
        <v>142</v>
      </c>
      <c r="B1" s="250"/>
      <c r="C1" s="250"/>
      <c r="D1" s="250"/>
      <c r="E1" s="250"/>
      <c r="F1" s="250"/>
      <c r="G1" s="250"/>
      <c r="H1" s="250"/>
    </row>
    <row r="2" spans="1:8" ht="18.75" customHeight="1" x14ac:dyDescent="0.2">
      <c r="A2" s="249" t="s">
        <v>37</v>
      </c>
      <c r="B2" s="249"/>
      <c r="C2" s="249"/>
      <c r="D2" s="249"/>
      <c r="E2" s="249"/>
      <c r="F2" s="249"/>
      <c r="G2" s="249"/>
      <c r="H2" s="249"/>
    </row>
    <row r="3" spans="1:8" ht="35.25" customHeight="1" x14ac:dyDescent="0.2">
      <c r="A3" s="69" t="s">
        <v>13</v>
      </c>
      <c r="B3" s="203">
        <f>'M&amp;V Design'!B3</f>
        <v>0</v>
      </c>
      <c r="C3" s="203"/>
      <c r="D3" s="203"/>
      <c r="E3" s="251" t="s">
        <v>9</v>
      </c>
      <c r="F3" s="251"/>
      <c r="G3" s="228">
        <f>'M&amp;V Design'!D3</f>
        <v>0</v>
      </c>
      <c r="H3" s="228"/>
    </row>
    <row r="4" spans="1:8" ht="20.25" customHeight="1" x14ac:dyDescent="0.2">
      <c r="A4" s="69" t="s">
        <v>8</v>
      </c>
      <c r="B4" s="228">
        <f>'M&amp;V Design'!B4</f>
        <v>0</v>
      </c>
      <c r="C4" s="228"/>
      <c r="D4" s="228"/>
      <c r="E4" s="251" t="s">
        <v>30</v>
      </c>
      <c r="F4" s="251"/>
      <c r="G4" s="229">
        <f>'M&amp;V Design'!D4</f>
        <v>0</v>
      </c>
      <c r="H4" s="229"/>
    </row>
    <row r="7" spans="1:8" ht="18.75" customHeight="1" x14ac:dyDescent="0.2">
      <c r="A7" s="249" t="s">
        <v>162</v>
      </c>
      <c r="B7" s="249"/>
      <c r="C7" s="249"/>
      <c r="D7" s="249"/>
      <c r="E7" s="249"/>
      <c r="F7" s="249"/>
      <c r="G7" s="249"/>
      <c r="H7" s="249"/>
    </row>
    <row r="8" spans="1:8" ht="27.75" customHeight="1" x14ac:dyDescent="0.2">
      <c r="A8" s="70" t="s">
        <v>157</v>
      </c>
      <c r="B8" s="71" t="s">
        <v>143</v>
      </c>
      <c r="C8" s="71" t="s">
        <v>134</v>
      </c>
      <c r="D8" s="72" t="s">
        <v>135</v>
      </c>
      <c r="E8" s="73" t="s">
        <v>136</v>
      </c>
      <c r="F8" s="71" t="s">
        <v>156</v>
      </c>
      <c r="G8" s="71" t="s">
        <v>171</v>
      </c>
      <c r="H8" s="71" t="s">
        <v>172</v>
      </c>
    </row>
    <row r="9" spans="1:8" ht="18" customHeight="1" x14ac:dyDescent="0.2">
      <c r="A9" s="70" t="s">
        <v>158</v>
      </c>
      <c r="B9" s="71" t="s">
        <v>144</v>
      </c>
      <c r="C9" s="45">
        <f>C16</f>
        <v>0</v>
      </c>
      <c r="D9" s="46">
        <f>D16</f>
        <v>0</v>
      </c>
      <c r="E9" s="47">
        <f>C9-D9</f>
        <v>0</v>
      </c>
      <c r="F9" s="48" t="str">
        <f>IFERROR(E9/C9,"")</f>
        <v/>
      </c>
      <c r="G9" s="57">
        <f>G16</f>
        <v>0</v>
      </c>
      <c r="H9" s="14"/>
    </row>
    <row r="10" spans="1:8" ht="18" customHeight="1" x14ac:dyDescent="0.2">
      <c r="A10" s="70" t="s">
        <v>138</v>
      </c>
      <c r="B10" s="71" t="s">
        <v>148</v>
      </c>
      <c r="C10" s="45">
        <f>VLOOKUP(B10,B23:F24,2,FALSE)</f>
        <v>0</v>
      </c>
      <c r="D10" s="46">
        <f>VLOOKUP(B10,B23:F24,3,FALSE)</f>
        <v>0</v>
      </c>
      <c r="E10" s="47">
        <f>C10-D10</f>
        <v>0</v>
      </c>
      <c r="F10" s="48" t="str">
        <f>IFERROR(E10/C10,"")</f>
        <v/>
      </c>
      <c r="G10" s="57">
        <f>VLOOKUP(B10,B23:H24,6,FALSE)</f>
        <v>0</v>
      </c>
      <c r="H10" s="14"/>
    </row>
    <row r="11" spans="1:8" ht="18" customHeight="1" x14ac:dyDescent="0.2">
      <c r="A11" s="70" t="s">
        <v>152</v>
      </c>
      <c r="B11" s="71" t="s">
        <v>128</v>
      </c>
      <c r="C11" s="45">
        <f>C26</f>
        <v>0</v>
      </c>
      <c r="D11" s="45">
        <f>D26</f>
        <v>0</v>
      </c>
      <c r="E11" s="47">
        <f>C11-D11</f>
        <v>0</v>
      </c>
      <c r="F11" s="48" t="str">
        <f>IFERROR(E11/C11,"")</f>
        <v/>
      </c>
      <c r="G11" s="52"/>
      <c r="H11" s="14"/>
    </row>
    <row r="12" spans="1:8" ht="18" customHeight="1" x14ac:dyDescent="0.2">
      <c r="A12" s="70" t="s">
        <v>155</v>
      </c>
      <c r="B12" s="71" t="s">
        <v>154</v>
      </c>
      <c r="C12" s="45">
        <f>C34</f>
        <v>0</v>
      </c>
      <c r="D12" s="45">
        <f>D34</f>
        <v>0</v>
      </c>
      <c r="E12" s="47">
        <f>C12-D12</f>
        <v>0</v>
      </c>
      <c r="F12" s="48" t="str">
        <f>IFERROR(E12/C12,"")</f>
        <v/>
      </c>
      <c r="G12" s="52"/>
      <c r="H12" s="14"/>
    </row>
    <row r="14" spans="1:8" ht="18.75" customHeight="1" x14ac:dyDescent="0.2">
      <c r="A14" s="249" t="s">
        <v>163</v>
      </c>
      <c r="B14" s="249"/>
      <c r="C14" s="249"/>
      <c r="D14" s="249"/>
      <c r="E14" s="249"/>
      <c r="F14" s="249"/>
      <c r="G14" s="249"/>
      <c r="H14" s="249"/>
    </row>
    <row r="15" spans="1:8" ht="25.5" x14ac:dyDescent="0.2">
      <c r="A15" s="70" t="s">
        <v>157</v>
      </c>
      <c r="B15" s="71" t="s">
        <v>143</v>
      </c>
      <c r="C15" s="71" t="s">
        <v>134</v>
      </c>
      <c r="D15" s="72" t="s">
        <v>135</v>
      </c>
      <c r="E15" s="73" t="s">
        <v>136</v>
      </c>
      <c r="F15" s="71" t="s">
        <v>156</v>
      </c>
      <c r="G15" s="71" t="s">
        <v>171</v>
      </c>
      <c r="H15" s="71" t="s">
        <v>172</v>
      </c>
    </row>
    <row r="16" spans="1:8" x14ac:dyDescent="0.2">
      <c r="A16" s="70" t="s">
        <v>158</v>
      </c>
      <c r="B16" s="71" t="s">
        <v>144</v>
      </c>
      <c r="C16" s="74">
        <f>C17*3.6/1000+C18/1000</f>
        <v>0</v>
      </c>
      <c r="D16" s="75">
        <f>D17*3.6/1000+D18/1000</f>
        <v>0</v>
      </c>
      <c r="E16" s="76">
        <f>C16-D16</f>
        <v>0</v>
      </c>
      <c r="F16" s="77" t="str">
        <f>IFERROR(E16/C16,"")</f>
        <v/>
      </c>
      <c r="G16" s="78">
        <f>G17</f>
        <v>0</v>
      </c>
      <c r="H16" s="77"/>
    </row>
    <row r="17" spans="1:12" x14ac:dyDescent="0.2">
      <c r="A17" s="39" t="s">
        <v>150</v>
      </c>
      <c r="B17" s="5" t="s">
        <v>145</v>
      </c>
      <c r="C17" s="40"/>
      <c r="D17" s="37"/>
      <c r="E17" s="38">
        <f>C17-D17</f>
        <v>0</v>
      </c>
      <c r="F17" s="14" t="str">
        <f t="shared" ref="F17:H20" si="0">IFERROR(E17/C17,"")</f>
        <v/>
      </c>
      <c r="G17" s="57"/>
      <c r="H17" s="14"/>
    </row>
    <row r="18" spans="1:12" x14ac:dyDescent="0.2">
      <c r="A18" s="39" t="s">
        <v>151</v>
      </c>
      <c r="B18" s="5" t="s">
        <v>146</v>
      </c>
      <c r="C18" s="40"/>
      <c r="D18" s="37"/>
      <c r="E18" s="38">
        <f>C18-D18</f>
        <v>0</v>
      </c>
      <c r="F18" s="14" t="str">
        <f t="shared" si="0"/>
        <v/>
      </c>
      <c r="G18" s="57"/>
      <c r="H18" s="14"/>
    </row>
    <row r="19" spans="1:12" x14ac:dyDescent="0.2">
      <c r="A19" s="41" t="s">
        <v>73</v>
      </c>
      <c r="B19" s="49" t="s">
        <v>147</v>
      </c>
      <c r="C19" s="40"/>
      <c r="D19" s="37"/>
      <c r="E19" s="38"/>
      <c r="F19" s="14" t="str">
        <f t="shared" si="0"/>
        <v/>
      </c>
      <c r="G19" s="57"/>
      <c r="H19" s="14" t="str">
        <f t="shared" si="0"/>
        <v/>
      </c>
    </row>
    <row r="20" spans="1:12" x14ac:dyDescent="0.2">
      <c r="A20" s="41" t="s">
        <v>73</v>
      </c>
      <c r="B20" s="49" t="s">
        <v>147</v>
      </c>
      <c r="C20" s="40"/>
      <c r="D20" s="37"/>
      <c r="E20" s="38"/>
      <c r="F20" s="14" t="str">
        <f t="shared" si="0"/>
        <v/>
      </c>
      <c r="G20" s="57"/>
      <c r="H20" s="14" t="str">
        <f t="shared" si="0"/>
        <v/>
      </c>
    </row>
    <row r="21" spans="1:12" x14ac:dyDescent="0.2">
      <c r="A21" s="41"/>
      <c r="B21" s="49"/>
      <c r="C21" s="40"/>
      <c r="D21" s="37"/>
      <c r="E21" s="38"/>
      <c r="F21" s="13"/>
      <c r="G21" s="58"/>
      <c r="H21" s="13"/>
    </row>
    <row r="22" spans="1:12" x14ac:dyDescent="0.2">
      <c r="A22" s="70" t="s">
        <v>138</v>
      </c>
      <c r="B22" s="71"/>
      <c r="C22" s="74"/>
      <c r="D22" s="75"/>
      <c r="E22" s="76"/>
      <c r="F22" s="77"/>
      <c r="G22" s="78"/>
      <c r="H22" s="77"/>
    </row>
    <row r="23" spans="1:12" x14ac:dyDescent="0.2">
      <c r="A23" s="39" t="s">
        <v>140</v>
      </c>
      <c r="B23" s="5" t="s">
        <v>148</v>
      </c>
      <c r="C23" s="61"/>
      <c r="D23" s="67"/>
      <c r="E23" s="68">
        <f>C23-D23</f>
        <v>0</v>
      </c>
      <c r="F23" s="14" t="str">
        <f>IFERROR(E23/C23,"")</f>
        <v/>
      </c>
      <c r="G23" s="57"/>
      <c r="H23" s="14"/>
      <c r="L23" s="60"/>
    </row>
    <row r="24" spans="1:12" x14ac:dyDescent="0.2">
      <c r="A24" s="39" t="s">
        <v>141</v>
      </c>
      <c r="B24" s="5" t="s">
        <v>149</v>
      </c>
      <c r="C24" s="40"/>
      <c r="D24" s="37"/>
      <c r="E24" s="59">
        <f>C24-D24</f>
        <v>0</v>
      </c>
      <c r="F24" s="14" t="str">
        <f>IFERROR(E24/C24,"")</f>
        <v/>
      </c>
      <c r="G24" s="57"/>
      <c r="H24" s="14"/>
      <c r="L24" s="60"/>
    </row>
    <row r="25" spans="1:12" x14ac:dyDescent="0.2">
      <c r="A25" s="42"/>
      <c r="B25" s="50"/>
      <c r="C25" s="40"/>
      <c r="D25" s="37"/>
      <c r="E25" s="38"/>
      <c r="F25" s="13"/>
      <c r="G25" s="58"/>
      <c r="H25" s="13"/>
    </row>
    <row r="26" spans="1:12" x14ac:dyDescent="0.2">
      <c r="A26" s="70" t="s">
        <v>152</v>
      </c>
      <c r="B26" s="71" t="s">
        <v>128</v>
      </c>
      <c r="C26" s="74">
        <f>SUM(C27:C32)</f>
        <v>0</v>
      </c>
      <c r="D26" s="75">
        <f>SUM(D27:D32)</f>
        <v>0</v>
      </c>
      <c r="E26" s="76">
        <f t="shared" ref="E26:E32" si="1">C26-D26</f>
        <v>0</v>
      </c>
      <c r="F26" s="77" t="str">
        <f t="shared" ref="F26:F32" si="2">IFERROR(E26/C26,"")</f>
        <v/>
      </c>
      <c r="G26" s="78"/>
      <c r="H26" s="77"/>
    </row>
    <row r="27" spans="1:12" x14ac:dyDescent="0.2">
      <c r="A27" s="39" t="s">
        <v>150</v>
      </c>
      <c r="B27" s="5" t="s">
        <v>128</v>
      </c>
      <c r="C27" s="40"/>
      <c r="D27" s="13"/>
      <c r="E27" s="38">
        <f t="shared" si="1"/>
        <v>0</v>
      </c>
      <c r="F27" s="14" t="str">
        <f t="shared" si="2"/>
        <v/>
      </c>
      <c r="G27" s="57"/>
      <c r="H27" s="14"/>
    </row>
    <row r="28" spans="1:12" x14ac:dyDescent="0.2">
      <c r="A28" s="39" t="s">
        <v>151</v>
      </c>
      <c r="B28" s="5" t="s">
        <v>128</v>
      </c>
      <c r="C28" s="40"/>
      <c r="D28" s="13"/>
      <c r="E28" s="38">
        <f t="shared" si="1"/>
        <v>0</v>
      </c>
      <c r="F28" s="14" t="str">
        <f t="shared" si="2"/>
        <v/>
      </c>
      <c r="G28" s="57"/>
      <c r="H28" s="14"/>
    </row>
    <row r="29" spans="1:12" x14ac:dyDescent="0.2">
      <c r="A29" s="41" t="str">
        <f>A19</f>
        <v>other</v>
      </c>
      <c r="B29" s="5" t="s">
        <v>128</v>
      </c>
      <c r="C29" s="40"/>
      <c r="D29" s="37"/>
      <c r="E29" s="38">
        <f t="shared" si="1"/>
        <v>0</v>
      </c>
      <c r="F29" s="14" t="str">
        <f t="shared" si="2"/>
        <v/>
      </c>
      <c r="G29" s="57"/>
      <c r="H29" s="14" t="str">
        <f>IFERROR(G29/E29,"")</f>
        <v/>
      </c>
    </row>
    <row r="30" spans="1:12" x14ac:dyDescent="0.2">
      <c r="A30" s="41" t="str">
        <f>A20</f>
        <v>other</v>
      </c>
      <c r="B30" s="5" t="s">
        <v>128</v>
      </c>
      <c r="C30" s="40"/>
      <c r="D30" s="37"/>
      <c r="E30" s="38">
        <f t="shared" si="1"/>
        <v>0</v>
      </c>
      <c r="F30" s="14" t="str">
        <f t="shared" si="2"/>
        <v/>
      </c>
      <c r="G30" s="57"/>
      <c r="H30" s="14" t="str">
        <f>IFERROR(G30/E30,"")</f>
        <v/>
      </c>
    </row>
    <row r="31" spans="1:12" x14ac:dyDescent="0.2">
      <c r="A31" s="39" t="s">
        <v>140</v>
      </c>
      <c r="B31" s="5" t="s">
        <v>128</v>
      </c>
      <c r="C31" s="40"/>
      <c r="D31" s="13"/>
      <c r="E31" s="38">
        <f t="shared" si="1"/>
        <v>0</v>
      </c>
      <c r="F31" s="14" t="str">
        <f t="shared" si="2"/>
        <v/>
      </c>
      <c r="G31" s="57"/>
      <c r="H31" s="14"/>
    </row>
    <row r="32" spans="1:12" x14ac:dyDescent="0.2">
      <c r="A32" s="39" t="s">
        <v>141</v>
      </c>
      <c r="B32" s="5" t="s">
        <v>128</v>
      </c>
      <c r="C32" s="40"/>
      <c r="D32" s="13"/>
      <c r="E32" s="38">
        <f t="shared" si="1"/>
        <v>0</v>
      </c>
      <c r="F32" s="14" t="str">
        <f t="shared" si="2"/>
        <v/>
      </c>
      <c r="G32" s="57"/>
      <c r="H32" s="14"/>
    </row>
    <row r="33" spans="1:8" x14ac:dyDescent="0.2">
      <c r="A33" s="42"/>
      <c r="B33" s="50"/>
      <c r="C33" s="40"/>
      <c r="D33" s="37"/>
      <c r="E33" s="38"/>
      <c r="F33" s="13"/>
      <c r="G33" s="58"/>
      <c r="H33" s="13"/>
    </row>
    <row r="34" spans="1:8" ht="14.25" x14ac:dyDescent="0.2">
      <c r="A34" s="70" t="s">
        <v>155</v>
      </c>
      <c r="B34" s="71" t="s">
        <v>154</v>
      </c>
      <c r="C34" s="74">
        <f>SUM(C35:C38)</f>
        <v>0</v>
      </c>
      <c r="D34" s="75">
        <f>SUM(D35:D38)</f>
        <v>0</v>
      </c>
      <c r="E34" s="76">
        <f>SUM(E35:E38)</f>
        <v>0</v>
      </c>
      <c r="F34" s="77" t="str">
        <f>IFERROR(E34/C34,"")</f>
        <v/>
      </c>
      <c r="G34" s="78"/>
      <c r="H34" s="77"/>
    </row>
    <row r="35" spans="1:8" ht="15.75" x14ac:dyDescent="0.2">
      <c r="A35" s="39" t="s">
        <v>150</v>
      </c>
      <c r="B35" s="5" t="s">
        <v>153</v>
      </c>
      <c r="C35" s="40">
        <f>C17*1.07/1000</f>
        <v>0</v>
      </c>
      <c r="D35" s="37">
        <f>D17*1.07/1000</f>
        <v>0</v>
      </c>
      <c r="E35" s="38">
        <f>C35-D35</f>
        <v>0</v>
      </c>
      <c r="F35" s="14" t="str">
        <f t="shared" ref="F35:H38" si="3">IFERROR(E35/C35,"")</f>
        <v/>
      </c>
      <c r="G35" s="57"/>
      <c r="H35" s="14"/>
    </row>
    <row r="36" spans="1:8" ht="15.75" x14ac:dyDescent="0.2">
      <c r="A36" s="39" t="s">
        <v>151</v>
      </c>
      <c r="B36" s="5" t="s">
        <v>153</v>
      </c>
      <c r="C36" s="40">
        <f>C18*60/1000000</f>
        <v>0</v>
      </c>
      <c r="D36" s="37">
        <f>D18*60/1000000</f>
        <v>0</v>
      </c>
      <c r="E36" s="38">
        <f>C36-D36</f>
        <v>0</v>
      </c>
      <c r="F36" s="14" t="str">
        <f t="shared" si="3"/>
        <v/>
      </c>
      <c r="G36" s="57"/>
      <c r="H36" s="14"/>
    </row>
    <row r="37" spans="1:8" ht="15.75" x14ac:dyDescent="0.2">
      <c r="A37" s="41" t="str">
        <f>A19</f>
        <v>other</v>
      </c>
      <c r="B37" s="5" t="s">
        <v>153</v>
      </c>
      <c r="C37" s="40"/>
      <c r="D37" s="37"/>
      <c r="E37" s="38"/>
      <c r="F37" s="14" t="str">
        <f t="shared" si="3"/>
        <v/>
      </c>
      <c r="G37" s="57" t="str">
        <f t="shared" si="3"/>
        <v/>
      </c>
      <c r="H37" s="14" t="str">
        <f t="shared" si="3"/>
        <v/>
      </c>
    </row>
    <row r="38" spans="1:8" ht="15.75" x14ac:dyDescent="0.2">
      <c r="A38" s="41" t="str">
        <f>A20</f>
        <v>other</v>
      </c>
      <c r="B38" s="5" t="s">
        <v>153</v>
      </c>
      <c r="C38" s="40"/>
      <c r="D38" s="37"/>
      <c r="E38" s="38"/>
      <c r="F38" s="14" t="str">
        <f t="shared" si="3"/>
        <v/>
      </c>
      <c r="G38" s="57" t="str">
        <f t="shared" si="3"/>
        <v/>
      </c>
      <c r="H38" s="14" t="str">
        <f t="shared" si="3"/>
        <v/>
      </c>
    </row>
  </sheetData>
  <mergeCells count="10">
    <mergeCell ref="A7:H7"/>
    <mergeCell ref="A1:H1"/>
    <mergeCell ref="A14:H14"/>
    <mergeCell ref="A2:H2"/>
    <mergeCell ref="B3:D3"/>
    <mergeCell ref="B4:D4"/>
    <mergeCell ref="E3:F3"/>
    <mergeCell ref="E4:F4"/>
    <mergeCell ref="G3:H3"/>
    <mergeCell ref="G4:H4"/>
  </mergeCells>
  <phoneticPr fontId="0" type="noConversion"/>
  <printOptions horizontalCentered="1"/>
  <pageMargins left="0.23622047244094491" right="0.23622047244094491" top="0.74803149606299213" bottom="0.59055118110236227" header="0.51181102362204722" footer="0.51181102362204722"/>
  <pageSetup paperSize="9" scale="82" fitToHeight="0" orientation="landscape"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3906C291D670F4782D09695DCD943F9" ma:contentTypeVersion="17" ma:contentTypeDescription="Create a new document." ma:contentTypeScope="" ma:versionID="3a70c91c4aa63e15a61e268f66c30799">
  <xsd:schema xmlns:xsd="http://www.w3.org/2001/XMLSchema" xmlns:xs="http://www.w3.org/2001/XMLSchema" xmlns:p="http://schemas.microsoft.com/office/2006/metadata/properties" xmlns:ns2="d9d54315-8c8d-41b4-9e13-b01ea208e225" xmlns:ns3="7354356c-887f-4f9c-8028-409ee1235d51" targetNamespace="http://schemas.microsoft.com/office/2006/metadata/properties" ma:root="true" ma:fieldsID="4cdc0bda85cf99024da57633f26be3e4" ns2:_="" ns3:_="">
    <xsd:import namespace="d9d54315-8c8d-41b4-9e13-b01ea208e225"/>
    <xsd:import namespace="7354356c-887f-4f9c-8028-409ee1235d5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LengthInSeconds" minOccurs="0"/>
                <xsd:element ref="ns3:SharedWithUsers" minOccurs="0"/>
                <xsd:element ref="ns3:SharedWithDetails"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9d54315-8c8d-41b4-9e13-b01ea208e2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3ceaab0a-590e-41f6-91ea-b00d404c36ab"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7354356c-887f-4f9c-8028-409ee1235d51"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f3995725-1593-4c39-9af9-4e3dd599953b}" ma:internalName="TaxCatchAll" ma:showField="CatchAllData" ma:web="7354356c-887f-4f9c-8028-409ee1235d5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9d54315-8c8d-41b4-9e13-b01ea208e225">
      <Terms xmlns="http://schemas.microsoft.com/office/infopath/2007/PartnerControls"/>
    </lcf76f155ced4ddcb4097134ff3c332f>
    <TaxCatchAll xmlns="7354356c-887f-4f9c-8028-409ee1235d51" xsi:nil="true"/>
  </documentManagement>
</p:properties>
</file>

<file path=customXml/itemProps1.xml><?xml version="1.0" encoding="utf-8"?>
<ds:datastoreItem xmlns:ds="http://schemas.openxmlformats.org/officeDocument/2006/customXml" ds:itemID="{48D36721-7215-4188-BFEB-24E1192C72B2}"/>
</file>

<file path=customXml/itemProps2.xml><?xml version="1.0" encoding="utf-8"?>
<ds:datastoreItem xmlns:ds="http://schemas.openxmlformats.org/officeDocument/2006/customXml" ds:itemID="{D9353A9F-F7A4-45F0-A287-A303AA14D73C}"/>
</file>

<file path=customXml/itemProps3.xml><?xml version="1.0" encoding="utf-8"?>
<ds:datastoreItem xmlns:ds="http://schemas.openxmlformats.org/officeDocument/2006/customXml" ds:itemID="{1A72821F-76FB-435D-8BF3-355DD9FA5BA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6</vt:i4>
      </vt:variant>
    </vt:vector>
  </HeadingPairs>
  <TitlesOfParts>
    <vt:vector size="15" baseType="lpstr">
      <vt:lpstr>Introduction</vt:lpstr>
      <vt:lpstr>M&amp;V Planning Process</vt:lpstr>
      <vt:lpstr>ECM Project Background</vt:lpstr>
      <vt:lpstr>M&amp;V Requirements</vt:lpstr>
      <vt:lpstr>M&amp;V Design</vt:lpstr>
      <vt:lpstr>M&amp;V Budget</vt:lpstr>
      <vt:lpstr>M&amp;V Tasks</vt:lpstr>
      <vt:lpstr>M&amp;V Timing</vt:lpstr>
      <vt:lpstr>M&amp;V Results</vt:lpstr>
      <vt:lpstr>'ECM Project Background'!Print_Titles</vt:lpstr>
      <vt:lpstr>'M&amp;V Budget'!Print_Titles</vt:lpstr>
      <vt:lpstr>'M&amp;V Design'!Print_Titles</vt:lpstr>
      <vt:lpstr>'M&amp;V Requirements'!Print_Titles</vt:lpstr>
      <vt:lpstr>'M&amp;V Results'!Print_Titles</vt:lpstr>
      <vt:lpstr>'M&amp;V Tasks'!Print_Titles</vt:lpstr>
    </vt:vector>
  </TitlesOfParts>
  <Company>Energetics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M&amp;V Planner</dc:title>
  <dc:creator>Energetics Pty Ltd</dc:creator>
  <cp:lastModifiedBy>X</cp:lastModifiedBy>
  <cp:lastPrinted>2011-11-27T04:49:14Z</cp:lastPrinted>
  <dcterms:created xsi:type="dcterms:W3CDTF">2011-10-18T22:03:50Z</dcterms:created>
  <dcterms:modified xsi:type="dcterms:W3CDTF">2021-02-23T20:51:10Z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0x01010063906C291D670F4782D09695DCD943F9</vt:lpwstr>
  </property>
</Properties>
</file>