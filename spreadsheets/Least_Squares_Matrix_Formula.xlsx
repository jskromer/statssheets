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skro\Dropbox\2024CMVP_Dropbox\Class Materials\Excel Files\Statistics Spreadsheets\Class Exercies\"/>
    </mc:Choice>
  </mc:AlternateContent>
  <xr:revisionPtr revIDLastSave="0" documentId="8_{3165DC72-C5B1-461A-9F65-301830F9CD68}" xr6:coauthVersionLast="47" xr6:coauthVersionMax="47" xr10:uidLastSave="{00000000-0000-0000-0000-000000000000}"/>
  <bookViews>
    <workbookView xWindow="345" yWindow="30" windowWidth="27405" windowHeight="15090" xr2:uid="{00000000-000D-0000-FFFF-FFFF00000000}"/>
  </bookViews>
  <sheets>
    <sheet name="Least Squares Formula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D37" i="1"/>
  <c r="C37" i="1"/>
  <c r="D36" i="1"/>
  <c r="C36" i="1"/>
  <c r="D28" i="1"/>
  <c r="B28" i="1" a="1"/>
  <c r="B28" i="1"/>
  <c r="C24" i="1"/>
  <c r="E23" i="1"/>
  <c r="C23" i="1"/>
  <c r="F15" i="1" a="1"/>
  <c r="F15" i="1"/>
  <c r="B19" i="1"/>
  <c r="B18" i="1"/>
  <c r="C16" i="1"/>
  <c r="B16" i="1"/>
  <c r="C15" i="1"/>
  <c r="B15" i="1"/>
  <c r="D12" i="1"/>
  <c r="B12" i="1"/>
  <c r="E11" i="1"/>
  <c r="D11" i="1"/>
  <c r="C11" i="1"/>
  <c r="B11" i="1"/>
  <c r="E10" i="1"/>
  <c r="D10" i="1"/>
  <c r="E9" i="1"/>
  <c r="D9" i="1"/>
  <c r="E8" i="1"/>
  <c r="D8" i="1"/>
  <c r="E7" i="1"/>
  <c r="D7" i="1"/>
  <c r="E6" i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 Kromer</author>
  </authors>
  <commentList>
    <comment ref="H3" authorId="0" shapeId="0" xr:uid="{1864EB35-3865-400B-847E-0B881A646A93}">
      <text>
        <r>
          <rPr>
            <b/>
            <sz val="9"/>
            <color indexed="81"/>
            <rFont val="Tahoma"/>
            <family val="2"/>
          </rPr>
          <t>Steve Kromer:</t>
        </r>
        <r>
          <rPr>
            <sz val="9"/>
            <color indexed="81"/>
            <rFont val="Tahoma"/>
            <family val="2"/>
          </rPr>
          <t xml:space="preserve">
http://www.chem.mtu.edu/~fmorriso/cm3215/Lectures/CM3215_LectureStatistics_5_LINEST2014.pdf</t>
        </r>
      </text>
    </comment>
    <comment ref="C30" authorId="0" shapeId="0" xr:uid="{5C68FB76-C1CA-412C-88ED-3ECAF053604F}">
      <text>
        <r>
          <rPr>
            <b/>
            <sz val="9"/>
            <color indexed="81"/>
            <rFont val="Tahoma"/>
            <family val="2"/>
          </rPr>
          <t>Standard error of the estimate (S_yx)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<sst xmlns="http://schemas.openxmlformats.org/spreadsheetml/2006/main" count="53" uniqueCount="49">
  <si>
    <t>x</t>
  </si>
  <si>
    <t>y</t>
  </si>
  <si>
    <t>Avg x</t>
  </si>
  <si>
    <t>Least Squares Regression — Matrix Formula Method</t>
  </si>
  <si>
    <t>Demonstrates how Excel fits a linear model y = β₀ + β₁x using the normal equations: β = (X'X)⁻¹ · X'Y</t>
  </si>
  <si>
    <t>Reference</t>
  </si>
  <si>
    <t>MTU Lecture Notes (PDF)</t>
  </si>
  <si>
    <t>SECTION 1: INPUT DATA</t>
  </si>
  <si>
    <t>Obs</t>
  </si>
  <si>
    <t>x · y</t>
  </si>
  <si>
    <t>x²</t>
  </si>
  <si>
    <t>Sum</t>
  </si>
  <si>
    <t>n (count)</t>
  </si>
  <si>
    <t>SECTION 2: MATRIX SETUP</t>
  </si>
  <si>
    <t>X'X  =</t>
  </si>
  <si>
    <t>(X'X)⁻¹  =</t>
  </si>
  <si>
    <t>X'Y  =</t>
  </si>
  <si>
    <t>← Σy</t>
  </si>
  <si>
    <t>[ n      Σx  ]</t>
  </si>
  <si>
    <t>← Σxy</t>
  </si>
  <si>
    <t>[ Σx    Σx² ]</t>
  </si>
  <si>
    <t>SECTION 3: SOLUTION  —  β = (X'X)⁻¹ · X'Y</t>
  </si>
  <si>
    <t>Formula</t>
  </si>
  <si>
    <t>Result</t>
  </si>
  <si>
    <t>Equation of fitted line:</t>
  </si>
  <si>
    <t>β₀ (Intercept)</t>
  </si>
  <si>
    <t>(X'X)⁻¹₁₁·Σy + (X'X)⁻¹₁₂·Σxy</t>
  </si>
  <si>
    <t>β₁ (Slope)</t>
  </si>
  <si>
    <t>(X'X)⁻¹₂₁·Σy + (X'X)⁻¹₂₂·Σxy</t>
  </si>
  <si>
    <t>SECTION 4: VALIDATION VIA LINEST</t>
  </si>
  <si>
    <t>LINEST Output</t>
  </si>
  <si>
    <t>Slope (β₁)</t>
  </si>
  <si>
    <t>Intercept (β₀)</t>
  </si>
  <si>
    <t>Match?</t>
  </si>
  <si>
    <t>Coefficients</t>
  </si>
  <si>
    <t>Std Error</t>
  </si>
  <si>
    <t>R²</t>
  </si>
  <si>
    <t>F-statistic</t>
  </si>
  <si>
    <t>df (degrees of freedom)</t>
  </si>
  <si>
    <t>SS Regression</t>
  </si>
  <si>
    <t>SS Residual</t>
  </si>
  <si>
    <t>Manual Std Error Check</t>
  </si>
  <si>
    <t>SE(β₀) Intercept</t>
  </si>
  <si>
    <t>√[S²yx · (1/n + x̄²/Σ(x−x̄)²)]</t>
  </si>
  <si>
    <t>SE(β₁) Slope</t>
  </si>
  <si>
    <t>√[S²yx / Σ(x−x̄)²]</t>
  </si>
  <si>
    <t>Actual y</t>
  </si>
  <si>
    <t>Fitted y</t>
  </si>
  <si>
    <t>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</si>
</sst>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10"/>
      <color rgb="FF595959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i/>
      <sz val="10"/>
      <color rgb="FF59595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 style="thin">
        <color rgb="FF404040"/>
      </left>
      <right/>
      <top style="thin">
        <color rgb="FF404040"/>
      </top>
      <bottom/>
      <diagonal/>
    </border>
    <border>
      <left/>
      <right style="thin">
        <color rgb="FF404040"/>
      </right>
      <top style="thin">
        <color rgb="FF404040"/>
      </top>
      <bottom/>
      <diagonal/>
    </border>
    <border>
      <left style="thin">
        <color rgb="FF404040"/>
      </left>
      <right/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8" fillId="2" borderId="0" xfId="0" applyFont="1" applyFill="1" applyAlignment="1">
      <alignment horizontal="right"/>
    </xf>
    <xf numFmtId="0" fontId="6" fillId="2" borderId="0" xfId="0" applyFont="1" applyFill="1"/>
    <xf numFmtId="0" fontId="7" fillId="2" borderId="0" xfId="0" applyFont="1" applyFill="1"/>
    <xf numFmtId="0" fontId="9" fillId="2" borderId="0" xfId="0" applyFont="1" applyFill="1" applyAlignment="1">
      <alignment horizontal="right"/>
    </xf>
    <xf numFmtId="0" fontId="12" fillId="3" borderId="0" xfId="0" applyFont="1" applyFill="1"/>
    <xf numFmtId="0" fontId="0" fillId="3" borderId="0" xfId="0" applyFill="1"/>
    <xf numFmtId="0" fontId="13" fillId="4" borderId="1" xfId="0" applyFont="1" applyFill="1" applyBorder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164" fontId="14" fillId="2" borderId="0" xfId="0" applyNumberFormat="1" applyFont="1" applyFill="1"/>
    <xf numFmtId="164" fontId="5" fillId="2" borderId="0" xfId="0" applyNumberFormat="1" applyFont="1" applyFill="1"/>
    <xf numFmtId="0" fontId="13" fillId="5" borderId="0" xfId="0" applyFont="1" applyFill="1"/>
    <xf numFmtId="0" fontId="13" fillId="5" borderId="2" xfId="0" applyFont="1" applyFill="1" applyBorder="1"/>
    <xf numFmtId="164" fontId="13" fillId="5" borderId="0" xfId="0" applyNumberFormat="1" applyFont="1" applyFill="1"/>
    <xf numFmtId="164" fontId="13" fillId="5" borderId="2" xfId="0" applyNumberFormat="1" applyFont="1" applyFill="1" applyBorder="1"/>
    <xf numFmtId="1" fontId="13" fillId="5" borderId="0" xfId="0" applyNumberFormat="1" applyFont="1" applyFill="1"/>
    <xf numFmtId="0" fontId="13" fillId="5" borderId="0" xfId="0" applyFont="1" applyFill="1" applyAlignment="1">
      <alignment horizontal="right"/>
    </xf>
    <xf numFmtId="0" fontId="0" fillId="5" borderId="0" xfId="0" applyFill="1"/>
    <xf numFmtId="0" fontId="13" fillId="2" borderId="0" xfId="0" applyFont="1" applyFill="1"/>
    <xf numFmtId="0" fontId="13" fillId="2" borderId="0" xfId="0" applyFont="1" applyFill="1" applyAlignment="1">
      <alignment horizontal="right"/>
    </xf>
    <xf numFmtId="164" fontId="5" fillId="6" borderId="3" xfId="0" applyNumberFormat="1" applyFont="1" applyFill="1" applyBorder="1"/>
    <xf numFmtId="164" fontId="5" fillId="6" borderId="4" xfId="0" applyNumberFormat="1" applyFont="1" applyFill="1" applyBorder="1"/>
    <xf numFmtId="164" fontId="5" fillId="7" borderId="3" xfId="0" applyNumberFormat="1" applyFont="1" applyFill="1" applyBorder="1"/>
    <xf numFmtId="164" fontId="5" fillId="7" borderId="4" xfId="0" applyNumberFormat="1" applyFont="1" applyFill="1" applyBorder="1"/>
    <xf numFmtId="0" fontId="0" fillId="2" borderId="0" xfId="0" applyFill="1"/>
    <xf numFmtId="164" fontId="5" fillId="6" borderId="5" xfId="0" applyNumberFormat="1" applyFont="1" applyFill="1" applyBorder="1"/>
    <xf numFmtId="164" fontId="5" fillId="6" borderId="6" xfId="0" applyNumberFormat="1" applyFont="1" applyFill="1" applyBorder="1"/>
    <xf numFmtId="164" fontId="5" fillId="7" borderId="5" xfId="0" applyNumberFormat="1" applyFont="1" applyFill="1" applyBorder="1"/>
    <xf numFmtId="164" fontId="5" fillId="7" borderId="6" xfId="0" applyNumberFormat="1" applyFont="1" applyFill="1" applyBorder="1"/>
    <xf numFmtId="164" fontId="5" fillId="8" borderId="7" xfId="0" applyNumberFormat="1" applyFont="1" applyFill="1" applyBorder="1"/>
    <xf numFmtId="0" fontId="15" fillId="2" borderId="0" xfId="0" applyFont="1" applyFill="1"/>
    <xf numFmtId="164" fontId="5" fillId="8" borderId="8" xfId="0" applyNumberFormat="1" applyFont="1" applyFill="1" applyBorder="1"/>
    <xf numFmtId="0" fontId="16" fillId="2" borderId="0" xfId="0" applyFont="1" applyFill="1"/>
    <xf numFmtId="0" fontId="8" fillId="2" borderId="0" xfId="0" applyFont="1" applyFill="1" applyAlignment="1">
      <alignment horizontal="center"/>
    </xf>
    <xf numFmtId="164" fontId="17" fillId="2" borderId="0" xfId="0" applyNumberFormat="1" applyFont="1" applyFill="1"/>
    <xf numFmtId="0" fontId="18" fillId="7" borderId="0" xfId="0" applyFont="1" applyFill="1"/>
    <xf numFmtId="164" fontId="19" fillId="2" borderId="0" xfId="0" applyNumberFormat="1" applyFont="1" applyFill="1"/>
    <xf numFmtId="164" fontId="4" fillId="2" borderId="0" xfId="0" applyNumberFormat="1" applyFont="1" applyFill="1"/>
    <xf numFmtId="164" fontId="1" fillId="2" borderId="0" xfId="0" applyNumberFormat="1" applyFont="1" applyFill="1"/>
    <xf numFmtId="164" fontId="3" fillId="2" borderId="0" xfId="0" applyNumberFormat="1" applyFont="1" applyFill="1"/>
    <xf numFmtId="164" fontId="2" fillId="2" borderId="0" xfId="0" applyNumberFormat="1" applyFont="1" applyFill="1"/>
    <xf numFmtId="1" fontId="5" fillId="2" borderId="0" xfId="0" applyNumberFormat="1" applyFont="1" applyFill="1"/>
    <xf numFmtId="0" fontId="13" fillId="4" borderId="1" xfId="0" applyFont="1" applyFill="1" applyBorder="1"/>
    <xf numFmtId="2" fontId="5" fillId="2" borderId="0" xfId="0" applyNumberFormat="1" applyFont="1" applyFill="1"/>
    <xf numFmtId="0" fontId="2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Fitted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'Least Squares Formula'!$G$22</c:f>
              <c:strCache>
                <c:ptCount val="1"/>
                <c:pt idx="0">
                  <c:v>Actual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'Least Squares Formula'!$F$23:$F$27</c:f>
              <c:numCache>
                <c:formatCode>0.00</c:formatCode>
                <c:ptCount val="5"/>
                <c:pt idx="0">
                  <c:v>0.5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'Least Squares Formula'!$G$23:$G$27</c:f>
              <c:numCache>
                <c:formatCode>0.00</c:formatCode>
                <c:ptCount val="5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8-4B82-AFF2-CCF43BE7D66C}"/>
            </c:ext>
          </c:extLst>
        </c:ser>
        <c:ser>
          <c:idx val="1"/>
          <c:order val="1"/>
          <c:tx>
            <c:strRef>
              <c:f>'Least Squares Formula'!$H$22</c:f>
              <c:strCache>
                <c:ptCount val="1"/>
                <c:pt idx="0">
                  <c:v>Fitted 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'Least Squares Formula'!$F$23:$F$27</c:f>
              <c:numCache>
                <c:formatCode>0.00</c:formatCode>
                <c:ptCount val="5"/>
                <c:pt idx="0">
                  <c:v>0.5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'Least Squares Formula'!$H$23:$H$27</c:f>
              <c:numCache>
                <c:formatCode>0.0000</c:formatCode>
                <c:ptCount val="5"/>
                <c:pt idx="0">
                  <c:v>6.2750929368029782</c:v>
                </c:pt>
                <c:pt idx="1">
                  <c:v>6.7630111524163592</c:v>
                </c:pt>
                <c:pt idx="2">
                  <c:v>7.0418215613382911</c:v>
                </c:pt>
                <c:pt idx="3">
                  <c:v>7.3206319702602229</c:v>
                </c:pt>
                <c:pt idx="4">
                  <c:v>7.5994423791821548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8-4B82-AFF2-CCF43BE7D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809871"/>
        <c:axId val="1133810351"/>
      </c:scatterChart>
      <c:valAx>
        <c:axId val="113380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10351"/>
        <c:crosses val="autoZero"/>
        <c:crossBetween val="midCat"/>
      </c:valAx>
      <c:valAx>
        <c:axId val="113381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09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Fitted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xVal>
            <c:numRef>
              <c:f>'Least Squares Formula'!$F$23:$F$27</c:f>
              <c:numCache>
                <c:formatCode>0.00</c:formatCode>
                <c:ptCount val="5"/>
                <c:pt idx="0">
                  <c:v>0.5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'Least Squares Formula'!$G$23:$G$27</c:f>
              <c:numCache>
                <c:formatCode>0.00</c:formatCode>
                <c:ptCount val="5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A0-45EB-A717-DBCD91FD146D}"/>
            </c:ext>
          </c:extLst>
        </c:ser>
        <c:ser>
          <c:idx val="1"/>
          <c:order val="1"/>
          <c:tx>
            <c:v>Fitted y</c:v>
          </c:tx>
          <c:spPr>
            <a:ln w="254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'Least Squares Formula'!$F$23:$F$27</c:f>
              <c:numCache>
                <c:formatCode>0.00</c:formatCode>
                <c:ptCount val="5"/>
                <c:pt idx="0">
                  <c:v>0.5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'Least Squares Formula'!$H$23:$H$27</c:f>
              <c:numCache>
                <c:formatCode>0.0000</c:formatCode>
                <c:ptCount val="5"/>
                <c:pt idx="0">
                  <c:v>6.2750929368029782</c:v>
                </c:pt>
                <c:pt idx="1">
                  <c:v>6.7630111524163592</c:v>
                </c:pt>
                <c:pt idx="2">
                  <c:v>7.0418215613382911</c:v>
                </c:pt>
                <c:pt idx="3">
                  <c:v>7.3206319702602229</c:v>
                </c:pt>
                <c:pt idx="4">
                  <c:v>7.5994423791821548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A0-45EB-A717-DBCD91FD1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682895"/>
        <c:axId val="931680975"/>
      </c:scatterChart>
      <c:valAx>
        <c:axId val="93168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80975"/>
        <c:crosses val="autoZero"/>
        <c:crossBetween val="midCat"/>
      </c:valAx>
      <c:valAx>
        <c:axId val="93168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68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774700</xdr:colOff>
      <xdr:row>36</xdr:row>
      <xdr:rowOff>139699</xdr:rowOff>
    </xdr:from>
    <xdr:to>
      <xdr:col>15</xdr:col>
      <xdr:colOff>92075</xdr:colOff>
      <xdr:row>55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8EDDDD-39CA-A4B5-11F1-831934F3B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774700</xdr:colOff>
      <xdr:row>36</xdr:row>
      <xdr:rowOff>139699</xdr:rowOff>
    </xdr:from>
    <xdr:to>
      <xdr:col>15</xdr:col>
      <xdr:colOff>92075</xdr:colOff>
      <xdr:row>55</xdr:row>
      <xdr:rowOff>76199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0D2563-629F-E676-B149-6728AF415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5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E8EA30-D0A0-48DC-A715-A4D3DA46D04C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12" zoomScale="80" zoomScaleNormal="80" workbookViewId="0">
      <selection activeCell="F43" sqref="F43"/>
    </sheetView>
  </sheetViews>
  <sheetFormatPr defaultColWidth="8.85546875" defaultRowHeight="15" x14ac:dyDescent="0.25"/>
  <cols>
    <col min="1" max="1" width="27.5703125" customWidth="1"/>
    <col min="2" max="8" width="15.28515625" customWidth="1"/>
  </cols>
  <sheetData>
    <row r="1" spans="1:8" ht="18.75" x14ac:dyDescent="0.3">
      <c r="A1" s="2" t="s">
        <v>3</v>
      </c>
      <c r="B1" s="2"/>
      <c r="C1" s="2"/>
      <c r="D1" s="2"/>
      <c r="E1" s="2"/>
      <c r="F1" s="2"/>
      <c r="G1" s="2"/>
    </row>
    <row r="2" spans="1:8" x14ac:dyDescent="0.25">
      <c r="A2" s="3" t="s">
        <v>4</v>
      </c>
      <c r="B2" s="3"/>
      <c r="C2" s="3"/>
      <c r="D2" s="3"/>
      <c r="E2" s="3"/>
      <c r="F2" s="3"/>
      <c r="G2" s="3"/>
      <c r="H2" s="1" t="s">
        <v>5</v>
      </c>
    </row>
    <row r="3" spans="1:8" x14ac:dyDescent="0.25">
      <c r="H3" s="4" t="s">
        <v>6</v>
      </c>
    </row>
    <row r="4" spans="1:8" x14ac:dyDescent="0.25">
      <c r="A4" s="5" t="s">
        <v>7</v>
      </c>
      <c r="B4" s="6"/>
      <c r="C4" s="6"/>
      <c r="D4" s="6"/>
      <c r="E4" s="6"/>
      <c r="F4" s="6"/>
      <c r="G4" s="6"/>
      <c r="H4" s="6"/>
    </row>
    <row r="5" spans="1:8" ht="15.75" thickBot="1" x14ac:dyDescent="0.3">
      <c r="A5" s="7" t="s">
        <v>8</v>
      </c>
      <c r="B5" s="7" t="s">
        <v>0</v>
      </c>
      <c r="C5" s="7" t="s">
        <v>1</v>
      </c>
      <c r="D5" s="7" t="s">
        <v>9</v>
      </c>
      <c r="E5" s="7" t="s">
        <v>10</v>
      </c>
    </row>
    <row r="6" spans="1:8" x14ac:dyDescent="0.25">
      <c r="A6" s="10">
        <v>1</v>
      </c>
      <c r="B6" s="11">
        <v>0.5</v>
      </c>
      <c r="C6" s="11">
        <v>6</v>
      </c>
      <c r="D6" s="12">
        <f>B6*C6</f>
        <v>3</v>
      </c>
      <c r="E6" s="12">
        <f>B6^2</f>
        <v>0.25</v>
      </c>
    </row>
    <row r="7" spans="1:8" x14ac:dyDescent="0.25">
      <c r="A7" s="10">
        <v>2</v>
      </c>
      <c r="B7" s="11">
        <v>4</v>
      </c>
      <c r="C7" s="11">
        <v>7</v>
      </c>
      <c r="D7" s="12">
        <f>B7*C7</f>
        <v>28</v>
      </c>
      <c r="E7" s="12">
        <f>B7^2</f>
        <v>16</v>
      </c>
    </row>
    <row r="8" spans="1:8" x14ac:dyDescent="0.25">
      <c r="A8" s="10">
        <v>3</v>
      </c>
      <c r="B8" s="11">
        <v>6</v>
      </c>
      <c r="C8" s="11">
        <v>7</v>
      </c>
      <c r="D8" s="12">
        <f>B8*C8</f>
        <v>42</v>
      </c>
      <c r="E8" s="12">
        <f>B8^2</f>
        <v>36</v>
      </c>
    </row>
    <row r="9" spans="1:8" x14ac:dyDescent="0.25">
      <c r="A9" s="10">
        <v>4</v>
      </c>
      <c r="B9" s="11">
        <v>8</v>
      </c>
      <c r="C9" s="11">
        <v>8</v>
      </c>
      <c r="D9" s="12">
        <f>B9*C9</f>
        <v>64</v>
      </c>
      <c r="E9" s="12">
        <f>B9^2</f>
        <v>64</v>
      </c>
    </row>
    <row r="10" spans="1:8" ht="15.75" thickBot="1" x14ac:dyDescent="0.3">
      <c r="A10" s="10">
        <v>5</v>
      </c>
      <c r="B10" s="11">
        <v>10</v>
      </c>
      <c r="C10" s="11">
        <v>7</v>
      </c>
      <c r="D10" s="12">
        <f>B10*C10</f>
        <v>70</v>
      </c>
      <c r="E10" s="12">
        <f>B10^2</f>
        <v>100</v>
      </c>
    </row>
    <row r="11" spans="1:8" x14ac:dyDescent="0.25">
      <c r="A11" s="14" t="s">
        <v>11</v>
      </c>
      <c r="B11" s="16">
        <f>SUM(B6:B10)</f>
        <v>28.5</v>
      </c>
      <c r="C11" s="16">
        <f>SUM(C6:C10)</f>
        <v>35</v>
      </c>
      <c r="D11" s="16">
        <f>SUM(D6:D10)</f>
        <v>207</v>
      </c>
      <c r="E11" s="16">
        <f>SUM(E6:E10)</f>
        <v>216.25</v>
      </c>
    </row>
    <row r="12" spans="1:8" x14ac:dyDescent="0.25">
      <c r="A12" s="13" t="s">
        <v>12</v>
      </c>
      <c r="B12" s="17">
        <f>COUNT(B6:B10)</f>
        <v>5</v>
      </c>
      <c r="C12" s="18" t="s">
        <v>2</v>
      </c>
      <c r="D12" s="15">
        <f>B11/B12</f>
        <v>5.7</v>
      </c>
      <c r="E12" s="19"/>
    </row>
    <row r="14" spans="1:8" x14ac:dyDescent="0.25">
      <c r="A14" s="5" t="s">
        <v>13</v>
      </c>
      <c r="B14" s="6"/>
      <c r="C14" s="6"/>
      <c r="D14" s="6"/>
      <c r="E14" s="6"/>
      <c r="F14" s="6"/>
      <c r="G14" s="6"/>
      <c r="H14" s="6"/>
    </row>
    <row r="15" spans="1:8" x14ac:dyDescent="0.25">
      <c r="A15" s="21" t="s">
        <v>14</v>
      </c>
      <c r="B15" s="22">
        <f>B12</f>
        <v>5</v>
      </c>
      <c r="C15" s="23">
        <f>B11</f>
        <v>28.5</v>
      </c>
      <c r="E15" s="21" t="s">
        <v>15</v>
      </c>
      <c r="F15" s="24" cm="1">
        <f t="array" ref="F15:G16">MINVERSE(B15:C16)</f>
        <v>0.80390334572490718</v>
      </c>
      <c r="G15" s="25">
        <v>-0.10594795539033457</v>
      </c>
    </row>
    <row r="16" spans="1:8" x14ac:dyDescent="0.25">
      <c r="A16" s="26"/>
      <c r="B16" s="27">
        <f>B11</f>
        <v>28.5</v>
      </c>
      <c r="C16" s="28">
        <f>E11</f>
        <v>216.25</v>
      </c>
      <c r="E16" s="26"/>
      <c r="F16" s="29">
        <v>-0.10594795539033459</v>
      </c>
      <c r="G16" s="30">
        <v>1.858736059479554E-2</v>
      </c>
    </row>
    <row r="18" spans="1:8" x14ac:dyDescent="0.25">
      <c r="A18" s="21" t="s">
        <v>16</v>
      </c>
      <c r="B18" s="33">
        <f>C11</f>
        <v>35</v>
      </c>
      <c r="C18" s="32" t="s">
        <v>17</v>
      </c>
      <c r="E18" s="32" t="s">
        <v>18</v>
      </c>
    </row>
    <row r="19" spans="1:8" x14ac:dyDescent="0.25">
      <c r="A19" s="26"/>
      <c r="B19" s="31">
        <f>D11</f>
        <v>207</v>
      </c>
      <c r="C19" s="32" t="s">
        <v>19</v>
      </c>
      <c r="E19" s="32" t="s">
        <v>20</v>
      </c>
    </row>
    <row r="21" spans="1:8" x14ac:dyDescent="0.25">
      <c r="A21" s="5" t="s">
        <v>21</v>
      </c>
      <c r="B21" s="6"/>
      <c r="C21" s="6"/>
      <c r="D21" s="6"/>
      <c r="E21" s="6"/>
      <c r="F21" s="46" t="s">
        <v>48</v>
      </c>
      <c r="G21" s="6"/>
      <c r="H21" s="6"/>
    </row>
    <row r="22" spans="1:8" ht="15.75" thickBot="1" x14ac:dyDescent="0.3">
      <c r="A22" s="26"/>
      <c r="B22" s="7" t="s">
        <v>22</v>
      </c>
      <c r="C22" s="7" t="s">
        <v>23</v>
      </c>
      <c r="E22" s="34" t="s">
        <v>24</v>
      </c>
      <c r="F22" s="7" t="s">
        <v>0</v>
      </c>
      <c r="G22" s="7" t="s">
        <v>46</v>
      </c>
      <c r="H22" s="7" t="s">
        <v>47</v>
      </c>
    </row>
    <row r="23" spans="1:8" ht="15.75" x14ac:dyDescent="0.25">
      <c r="A23" s="20" t="s">
        <v>25</v>
      </c>
      <c r="B23" s="35" t="s">
        <v>26</v>
      </c>
      <c r="C23" s="36">
        <f>(F15*B18)+(G15*B19)</f>
        <v>6.2053903345724954</v>
      </c>
      <c r="E23" s="37" t="str">
        <f>"y = "&amp;TEXT(C23,"0.0000")&amp;" + "&amp;TEXT(C24,"0.0000")&amp;" · x"</f>
        <v>y = 6.2054 + 0.1394 · x</v>
      </c>
      <c r="F23" s="45">
        <f>B6</f>
        <v>0.5</v>
      </c>
      <c r="G23" s="45">
        <f>C6</f>
        <v>6</v>
      </c>
      <c r="H23" s="12">
        <f>$C$23+$C$24*F23</f>
        <v>6.2750929368029782</v>
      </c>
    </row>
    <row r="24" spans="1:8" ht="15.75" x14ac:dyDescent="0.25">
      <c r="A24" s="20" t="s">
        <v>27</v>
      </c>
      <c r="B24" s="35" t="s">
        <v>28</v>
      </c>
      <c r="C24" s="38">
        <f>(F16*B18)+(G16*B19)</f>
        <v>0.13940520446096594</v>
      </c>
      <c r="F24" s="45">
        <f>B7</f>
        <v>4</v>
      </c>
      <c r="G24" s="45">
        <f>C7</f>
        <v>7</v>
      </c>
      <c r="H24" s="12">
        <f>$C$23+$C$24*F24</f>
        <v>6.7630111524163592</v>
      </c>
    </row>
    <row r="25" spans="1:8" x14ac:dyDescent="0.25">
      <c r="F25" s="45">
        <f>B8</f>
        <v>6</v>
      </c>
      <c r="G25" s="45">
        <f>C8</f>
        <v>7</v>
      </c>
      <c r="H25" s="12">
        <f>$C$23+$C$24*F25</f>
        <v>7.0418215613382911</v>
      </c>
    </row>
    <row r="26" spans="1:8" x14ac:dyDescent="0.25">
      <c r="A26" s="5" t="s">
        <v>29</v>
      </c>
      <c r="B26" s="6"/>
      <c r="C26" s="6"/>
      <c r="D26" s="6"/>
      <c r="E26" s="6"/>
      <c r="F26" s="45">
        <f>B9</f>
        <v>8</v>
      </c>
      <c r="G26" s="45">
        <f>C9</f>
        <v>8</v>
      </c>
      <c r="H26" s="12">
        <f>$C$23+$C$24*F26</f>
        <v>7.3206319702602229</v>
      </c>
    </row>
    <row r="27" spans="1:8" ht="15.75" thickBot="1" x14ac:dyDescent="0.3">
      <c r="A27" s="7" t="s">
        <v>30</v>
      </c>
      <c r="B27" s="7" t="s">
        <v>31</v>
      </c>
      <c r="C27" s="7" t="s">
        <v>32</v>
      </c>
      <c r="D27" s="7" t="s">
        <v>33</v>
      </c>
      <c r="F27" s="45">
        <f>B10</f>
        <v>10</v>
      </c>
      <c r="G27" s="45">
        <f>C10</f>
        <v>7</v>
      </c>
      <c r="H27" s="12">
        <f>$C$23+$C$24*F27</f>
        <v>7.5994423791821548</v>
      </c>
    </row>
    <row r="28" spans="1:8" x14ac:dyDescent="0.25">
      <c r="A28" s="20" t="s">
        <v>34</v>
      </c>
      <c r="B28" s="39" cm="1">
        <f t="array" ref="B28:C32">LINEST(C6:C10,B6:B10,1,1)</f>
        <v>0.13940520446096655</v>
      </c>
      <c r="C28" s="40">
        <v>6.205390334572491</v>
      </c>
      <c r="D28" s="9" t="str">
        <f>IF(ROUND(C24,8)=ROUND(B28,8),"✅ Match","❌ Mismatch")</f>
        <v>✅ Match</v>
      </c>
    </row>
    <row r="29" spans="1:8" x14ac:dyDescent="0.25">
      <c r="A29" s="8" t="s">
        <v>35</v>
      </c>
      <c r="B29" s="41">
        <v>7.6900173729294863E-2</v>
      </c>
      <c r="C29" s="42">
        <v>0.50573193306584407</v>
      </c>
    </row>
    <row r="30" spans="1:8" x14ac:dyDescent="0.25">
      <c r="A30" s="8" t="s">
        <v>36</v>
      </c>
      <c r="B30" s="12">
        <v>0.52276951672862448</v>
      </c>
      <c r="C30" s="12">
        <v>0.56405111072867353</v>
      </c>
    </row>
    <row r="31" spans="1:8" x14ac:dyDescent="0.25">
      <c r="A31" s="8" t="s">
        <v>37</v>
      </c>
      <c r="B31" s="12">
        <v>3.2862706913339816</v>
      </c>
      <c r="C31" s="43">
        <v>3</v>
      </c>
      <c r="D31" s="32" t="s">
        <v>38</v>
      </c>
    </row>
    <row r="32" spans="1:8" x14ac:dyDescent="0.25">
      <c r="A32" s="8" t="s">
        <v>39</v>
      </c>
      <c r="B32" s="12">
        <v>1.045539033457249</v>
      </c>
      <c r="C32" s="12">
        <v>0.95446096654275103</v>
      </c>
      <c r="D32" s="32" t="s">
        <v>40</v>
      </c>
    </row>
    <row r="35" spans="1:4" ht="15.75" thickBot="1" x14ac:dyDescent="0.3">
      <c r="A35" s="44" t="s">
        <v>41</v>
      </c>
      <c r="B35" s="7" t="s">
        <v>22</v>
      </c>
      <c r="C35" s="7" t="s">
        <v>23</v>
      </c>
      <c r="D35" s="7" t="s">
        <v>33</v>
      </c>
    </row>
    <row r="36" spans="1:4" x14ac:dyDescent="0.25">
      <c r="A36" s="8" t="s">
        <v>42</v>
      </c>
      <c r="B36" s="35" t="s">
        <v>43</v>
      </c>
      <c r="C36" s="42">
        <f>SQRT(C30^2*((1/B12)+(D12^2/DEVSQ(B6:B10))))</f>
        <v>0.50573193306584407</v>
      </c>
      <c r="D36" s="9" t="str">
        <f>IF(ROUND(C36,8)=ROUND(C29,8),"✅ Match","❌ Mismatch")</f>
        <v>✅ Match</v>
      </c>
    </row>
    <row r="37" spans="1:4" x14ac:dyDescent="0.25">
      <c r="A37" s="8" t="s">
        <v>44</v>
      </c>
      <c r="B37" s="35" t="s">
        <v>45</v>
      </c>
      <c r="C37" s="41">
        <f>SQRT(C30^2/DEVSQ(B6:B10))</f>
        <v>7.6900173729294863E-2</v>
      </c>
      <c r="D37" s="9" t="str">
        <f>IF(ROUND(C37,8)=ROUND(B29,8),"✅ Match","❌ Mismatch")</f>
        <v>✅ Match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Least Squares Formula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</dc:creator>
  <cp:keywords/>
  <dc:description/>
  <cp:lastModifiedBy>Steve Kromer</cp:lastModifiedBy>
  <cp:revision/>
  <dcterms:created xsi:type="dcterms:W3CDTF">2016-08-12T23:49:53Z</dcterms:created>
  <dcterms:modified xsi:type="dcterms:W3CDTF">2026-02-23T19:46:51Z</dcterms:modified>
  <cp:category/>
  <cp:contentStatus/>
</cp:coreProperties>
</file>