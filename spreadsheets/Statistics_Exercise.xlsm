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kro\Dropbox\2024CMVP_Dropbox\Class Materials\Excel Files\Statistics Spreadsheets\Class Exercies\"/>
    </mc:Choice>
  </mc:AlternateContent>
  <xr:revisionPtr revIDLastSave="0" documentId="13_ncr:1_{D68F9B1C-61B1-42A1-BFEE-9456C4CE26AE}" xr6:coauthVersionLast="47" xr6:coauthVersionMax="47" xr10:uidLastSave="{00000000-0000-0000-0000-000000000000}"/>
  <bookViews>
    <workbookView xWindow="15810" yWindow="-2070" windowWidth="16200" windowHeight="10373" tabRatio="841" xr2:uid="{D2C6EC0C-7A1A-2E45-A7DB-01590DD176AD}"/>
  </bookViews>
  <sheets>
    <sheet name="Exercises" sheetId="13" r:id="rId1"/>
    <sheet name="1 - Population Simulation" sheetId="9" r:id="rId2"/>
    <sheet name="2 - Random Sampling" sheetId="6" r:id="rId3"/>
    <sheet name="3 - Descriptive Statistics" sheetId="3" r:id="rId4"/>
    <sheet name="4 - Sample Size Calculator" sheetId="12" r:id="rId5"/>
  </sheets>
  <definedNames>
    <definedName name="PopulationData">OFFSET('1 - Population Simulation'!$A$13,0,0,'1 - Population Simulation'!$B$7,1)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6" l="1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A5012" i="9"/>
  <c r="A5011" i="9"/>
  <c r="A5010" i="9"/>
  <c r="A5009" i="9"/>
  <c r="A5008" i="9"/>
  <c r="A5007" i="9"/>
  <c r="A5006" i="9"/>
  <c r="A5005" i="9"/>
  <c r="A5004" i="9"/>
  <c r="A5003" i="9"/>
  <c r="A5002" i="9"/>
  <c r="A5001" i="9"/>
  <c r="A5000" i="9"/>
  <c r="A4999" i="9"/>
  <c r="A4998" i="9"/>
  <c r="A4997" i="9"/>
  <c r="A4996" i="9"/>
  <c r="A4995" i="9"/>
  <c r="A4994" i="9"/>
  <c r="A4993" i="9"/>
  <c r="A4992" i="9"/>
  <c r="A4991" i="9"/>
  <c r="A4990" i="9"/>
  <c r="A4989" i="9"/>
  <c r="A4988" i="9"/>
  <c r="A4987" i="9"/>
  <c r="A4986" i="9"/>
  <c r="A4985" i="9"/>
  <c r="A4984" i="9"/>
  <c r="A4983" i="9"/>
  <c r="A4982" i="9"/>
  <c r="A4981" i="9"/>
  <c r="A4980" i="9"/>
  <c r="A4979" i="9"/>
  <c r="A4978" i="9"/>
  <c r="A4977" i="9"/>
  <c r="A4976" i="9"/>
  <c r="A4975" i="9"/>
  <c r="A4974" i="9"/>
  <c r="A4973" i="9"/>
  <c r="A4972" i="9"/>
  <c r="A4971" i="9"/>
  <c r="A4970" i="9"/>
  <c r="A4969" i="9"/>
  <c r="A4968" i="9"/>
  <c r="A4967" i="9"/>
  <c r="A4966" i="9"/>
  <c r="A4965" i="9"/>
  <c r="A4964" i="9"/>
  <c r="A4963" i="9"/>
  <c r="A4962" i="9"/>
  <c r="A4961" i="9"/>
  <c r="A4960" i="9"/>
  <c r="A4959" i="9"/>
  <c r="A4958" i="9"/>
  <c r="A4957" i="9"/>
  <c r="A4956" i="9"/>
  <c r="A4955" i="9"/>
  <c r="A4954" i="9"/>
  <c r="A4953" i="9"/>
  <c r="A4952" i="9"/>
  <c r="A4951" i="9"/>
  <c r="A4950" i="9"/>
  <c r="A4949" i="9"/>
  <c r="A4948" i="9"/>
  <c r="A4947" i="9"/>
  <c r="A4946" i="9"/>
  <c r="A4945" i="9"/>
  <c r="A4944" i="9"/>
  <c r="A4943" i="9"/>
  <c r="A4942" i="9"/>
  <c r="A4941" i="9"/>
  <c r="A4940" i="9"/>
  <c r="A4939" i="9"/>
  <c r="A4938" i="9"/>
  <c r="A4937" i="9"/>
  <c r="A4936" i="9"/>
  <c r="A4935" i="9"/>
  <c r="A4934" i="9"/>
  <c r="A4933" i="9"/>
  <c r="A4932" i="9"/>
  <c r="A4931" i="9"/>
  <c r="A4930" i="9"/>
  <c r="A4929" i="9"/>
  <c r="A4928" i="9"/>
  <c r="A4927" i="9"/>
  <c r="A4926" i="9"/>
  <c r="A4925" i="9"/>
  <c r="A4924" i="9"/>
  <c r="A4923" i="9"/>
  <c r="A4922" i="9"/>
  <c r="A4921" i="9"/>
  <c r="A4920" i="9"/>
  <c r="A4919" i="9"/>
  <c r="A4918" i="9"/>
  <c r="A4917" i="9"/>
  <c r="A4916" i="9"/>
  <c r="A4915" i="9"/>
  <c r="A4914" i="9"/>
  <c r="A4913" i="9"/>
  <c r="A4912" i="9"/>
  <c r="A4911" i="9"/>
  <c r="A4910" i="9"/>
  <c r="A4909" i="9"/>
  <c r="A4908" i="9"/>
  <c r="A4907" i="9"/>
  <c r="A4906" i="9"/>
  <c r="A4905" i="9"/>
  <c r="A4904" i="9"/>
  <c r="A4903" i="9"/>
  <c r="A4902" i="9"/>
  <c r="A4901" i="9"/>
  <c r="A4900" i="9"/>
  <c r="A4899" i="9"/>
  <c r="A4898" i="9"/>
  <c r="A4897" i="9"/>
  <c r="A4896" i="9"/>
  <c r="A4895" i="9"/>
  <c r="A4894" i="9"/>
  <c r="A4893" i="9"/>
  <c r="A4892" i="9"/>
  <c r="A4891" i="9"/>
  <c r="A4890" i="9"/>
  <c r="A4889" i="9"/>
  <c r="A4888" i="9"/>
  <c r="A4887" i="9"/>
  <c r="A4886" i="9"/>
  <c r="A4885" i="9"/>
  <c r="A4884" i="9"/>
  <c r="A4883" i="9"/>
  <c r="A4882" i="9"/>
  <c r="A4881" i="9"/>
  <c r="A4880" i="9"/>
  <c r="A4879" i="9"/>
  <c r="A4878" i="9"/>
  <c r="A4877" i="9"/>
  <c r="A4876" i="9"/>
  <c r="A4875" i="9"/>
  <c r="A4874" i="9"/>
  <c r="A4873" i="9"/>
  <c r="A4872" i="9"/>
  <c r="A4871" i="9"/>
  <c r="A4870" i="9"/>
  <c r="A4869" i="9"/>
  <c r="A4868" i="9"/>
  <c r="A4867" i="9"/>
  <c r="A4866" i="9"/>
  <c r="A4865" i="9"/>
  <c r="A4864" i="9"/>
  <c r="A4863" i="9"/>
  <c r="A4862" i="9"/>
  <c r="A4861" i="9"/>
  <c r="A4860" i="9"/>
  <c r="A4859" i="9"/>
  <c r="A4858" i="9"/>
  <c r="A4857" i="9"/>
  <c r="A4856" i="9"/>
  <c r="A4855" i="9"/>
  <c r="A4854" i="9"/>
  <c r="A4853" i="9"/>
  <c r="A4852" i="9"/>
  <c r="A4851" i="9"/>
  <c r="A4850" i="9"/>
  <c r="A4849" i="9"/>
  <c r="A4848" i="9"/>
  <c r="A4847" i="9"/>
  <c r="A4846" i="9"/>
  <c r="A4845" i="9"/>
  <c r="A4844" i="9"/>
  <c r="A4843" i="9"/>
  <c r="A4842" i="9"/>
  <c r="A4841" i="9"/>
  <c r="A4840" i="9"/>
  <c r="A4839" i="9"/>
  <c r="A4838" i="9"/>
  <c r="A4837" i="9"/>
  <c r="A4836" i="9"/>
  <c r="A4835" i="9"/>
  <c r="A4834" i="9"/>
  <c r="A4833" i="9"/>
  <c r="A4832" i="9"/>
  <c r="A4831" i="9"/>
  <c r="A4830" i="9"/>
  <c r="A4829" i="9"/>
  <c r="A4828" i="9"/>
  <c r="A4827" i="9"/>
  <c r="A4826" i="9"/>
  <c r="A4825" i="9"/>
  <c r="A4824" i="9"/>
  <c r="A4823" i="9"/>
  <c r="A4822" i="9"/>
  <c r="A4821" i="9"/>
  <c r="A4820" i="9"/>
  <c r="A4819" i="9"/>
  <c r="A4818" i="9"/>
  <c r="A4817" i="9"/>
  <c r="A4816" i="9"/>
  <c r="A4815" i="9"/>
  <c r="A4814" i="9"/>
  <c r="A4813" i="9"/>
  <c r="A4812" i="9"/>
  <c r="A4811" i="9"/>
  <c r="A4810" i="9"/>
  <c r="A4809" i="9"/>
  <c r="A4808" i="9"/>
  <c r="A4807" i="9"/>
  <c r="A4806" i="9"/>
  <c r="A4805" i="9"/>
  <c r="A4804" i="9"/>
  <c r="A4803" i="9"/>
  <c r="A4802" i="9"/>
  <c r="A4801" i="9"/>
  <c r="A4800" i="9"/>
  <c r="A4799" i="9"/>
  <c r="A4798" i="9"/>
  <c r="A4797" i="9"/>
  <c r="A4796" i="9"/>
  <c r="A4795" i="9"/>
  <c r="A4794" i="9"/>
  <c r="A4793" i="9"/>
  <c r="A4792" i="9"/>
  <c r="A4791" i="9"/>
  <c r="A4790" i="9"/>
  <c r="A4789" i="9"/>
  <c r="A4788" i="9"/>
  <c r="A4787" i="9"/>
  <c r="A4786" i="9"/>
  <c r="A4785" i="9"/>
  <c r="A4784" i="9"/>
  <c r="A4783" i="9"/>
  <c r="A4782" i="9"/>
  <c r="A4781" i="9"/>
  <c r="A4780" i="9"/>
  <c r="A4779" i="9"/>
  <c r="A4778" i="9"/>
  <c r="A4777" i="9"/>
  <c r="A4776" i="9"/>
  <c r="A4775" i="9"/>
  <c r="A4774" i="9"/>
  <c r="A4773" i="9"/>
  <c r="A4772" i="9"/>
  <c r="A4771" i="9"/>
  <c r="A4770" i="9"/>
  <c r="A4769" i="9"/>
  <c r="A4768" i="9"/>
  <c r="A4767" i="9"/>
  <c r="A4766" i="9"/>
  <c r="A4765" i="9"/>
  <c r="A4764" i="9"/>
  <c r="A4763" i="9"/>
  <c r="A4762" i="9"/>
  <c r="A4761" i="9"/>
  <c r="A4760" i="9"/>
  <c r="A4759" i="9"/>
  <c r="A4758" i="9"/>
  <c r="A4757" i="9"/>
  <c r="A4756" i="9"/>
  <c r="A4755" i="9"/>
  <c r="A4754" i="9"/>
  <c r="A4753" i="9"/>
  <c r="A4752" i="9"/>
  <c r="A4751" i="9"/>
  <c r="A4750" i="9"/>
  <c r="A4749" i="9"/>
  <c r="A4748" i="9"/>
  <c r="A4747" i="9"/>
  <c r="A4746" i="9"/>
  <c r="A4745" i="9"/>
  <c r="A4744" i="9"/>
  <c r="A4743" i="9"/>
  <c r="A4742" i="9"/>
  <c r="A4741" i="9"/>
  <c r="A4740" i="9"/>
  <c r="A4739" i="9"/>
  <c r="A4738" i="9"/>
  <c r="A4737" i="9"/>
  <c r="A4736" i="9"/>
  <c r="A4735" i="9"/>
  <c r="A4734" i="9"/>
  <c r="A4733" i="9"/>
  <c r="A4732" i="9"/>
  <c r="A4731" i="9"/>
  <c r="A4730" i="9"/>
  <c r="A4729" i="9"/>
  <c r="A4728" i="9"/>
  <c r="A4727" i="9"/>
  <c r="A4726" i="9"/>
  <c r="A4725" i="9"/>
  <c r="A4724" i="9"/>
  <c r="A4723" i="9"/>
  <c r="A4722" i="9"/>
  <c r="A4721" i="9"/>
  <c r="A4720" i="9"/>
  <c r="A4719" i="9"/>
  <c r="A4718" i="9"/>
  <c r="A4717" i="9"/>
  <c r="A4716" i="9"/>
  <c r="A4715" i="9"/>
  <c r="A4714" i="9"/>
  <c r="A4713" i="9"/>
  <c r="A4712" i="9"/>
  <c r="A4711" i="9"/>
  <c r="A4710" i="9"/>
  <c r="A4709" i="9"/>
  <c r="A4708" i="9"/>
  <c r="A4707" i="9"/>
  <c r="A4706" i="9"/>
  <c r="A4705" i="9"/>
  <c r="A4704" i="9"/>
  <c r="A4703" i="9"/>
  <c r="A4702" i="9"/>
  <c r="A4701" i="9"/>
  <c r="A4700" i="9"/>
  <c r="A4699" i="9"/>
  <c r="A4698" i="9"/>
  <c r="A4697" i="9"/>
  <c r="A4696" i="9"/>
  <c r="A4695" i="9"/>
  <c r="A4694" i="9"/>
  <c r="A4693" i="9"/>
  <c r="A4692" i="9"/>
  <c r="A4691" i="9"/>
  <c r="A4690" i="9"/>
  <c r="A4689" i="9"/>
  <c r="A4688" i="9"/>
  <c r="A4687" i="9"/>
  <c r="A4686" i="9"/>
  <c r="A4685" i="9"/>
  <c r="A4684" i="9"/>
  <c r="A4683" i="9"/>
  <c r="A4682" i="9"/>
  <c r="A4681" i="9"/>
  <c r="A4680" i="9"/>
  <c r="A4679" i="9"/>
  <c r="A4678" i="9"/>
  <c r="A4677" i="9"/>
  <c r="A4676" i="9"/>
  <c r="A4675" i="9"/>
  <c r="A4674" i="9"/>
  <c r="A4673" i="9"/>
  <c r="A4672" i="9"/>
  <c r="A4671" i="9"/>
  <c r="A4670" i="9"/>
  <c r="A4669" i="9"/>
  <c r="A4668" i="9"/>
  <c r="A4667" i="9"/>
  <c r="A4666" i="9"/>
  <c r="A4665" i="9"/>
  <c r="A4664" i="9"/>
  <c r="A4663" i="9"/>
  <c r="A4662" i="9"/>
  <c r="A4661" i="9"/>
  <c r="A4660" i="9"/>
  <c r="A4659" i="9"/>
  <c r="A4658" i="9"/>
  <c r="A4657" i="9"/>
  <c r="A4656" i="9"/>
  <c r="A4655" i="9"/>
  <c r="A4654" i="9"/>
  <c r="A4653" i="9"/>
  <c r="A4652" i="9"/>
  <c r="A4651" i="9"/>
  <c r="A4650" i="9"/>
  <c r="A4649" i="9"/>
  <c r="A4648" i="9"/>
  <c r="A4647" i="9"/>
  <c r="A4646" i="9"/>
  <c r="A4645" i="9"/>
  <c r="A4644" i="9"/>
  <c r="A4643" i="9"/>
  <c r="A4642" i="9"/>
  <c r="A4641" i="9"/>
  <c r="A4640" i="9"/>
  <c r="A4639" i="9"/>
  <c r="A4638" i="9"/>
  <c r="A4637" i="9"/>
  <c r="A4636" i="9"/>
  <c r="A4635" i="9"/>
  <c r="A4634" i="9"/>
  <c r="A4633" i="9"/>
  <c r="A4632" i="9"/>
  <c r="A4631" i="9"/>
  <c r="A4630" i="9"/>
  <c r="A4629" i="9"/>
  <c r="A4628" i="9"/>
  <c r="A4627" i="9"/>
  <c r="A4626" i="9"/>
  <c r="A4625" i="9"/>
  <c r="A4624" i="9"/>
  <c r="A4623" i="9"/>
  <c r="A4622" i="9"/>
  <c r="A4621" i="9"/>
  <c r="A4620" i="9"/>
  <c r="A4619" i="9"/>
  <c r="A4618" i="9"/>
  <c r="A4617" i="9"/>
  <c r="A4616" i="9"/>
  <c r="A4615" i="9"/>
  <c r="A4614" i="9"/>
  <c r="A4613" i="9"/>
  <c r="A4612" i="9"/>
  <c r="A4611" i="9"/>
  <c r="A4610" i="9"/>
  <c r="A4609" i="9"/>
  <c r="A4608" i="9"/>
  <c r="A4607" i="9"/>
  <c r="A4606" i="9"/>
  <c r="A4605" i="9"/>
  <c r="A4604" i="9"/>
  <c r="A4603" i="9"/>
  <c r="A4602" i="9"/>
  <c r="A4601" i="9"/>
  <c r="A4600" i="9"/>
  <c r="A4599" i="9"/>
  <c r="A4598" i="9"/>
  <c r="A4597" i="9"/>
  <c r="A4596" i="9"/>
  <c r="A4595" i="9"/>
  <c r="A4594" i="9"/>
  <c r="A4593" i="9"/>
  <c r="A4592" i="9"/>
  <c r="A4591" i="9"/>
  <c r="A4590" i="9"/>
  <c r="A4589" i="9"/>
  <c r="A4588" i="9"/>
  <c r="A4587" i="9"/>
  <c r="A4586" i="9"/>
  <c r="A4585" i="9"/>
  <c r="A4584" i="9"/>
  <c r="A4583" i="9"/>
  <c r="A4582" i="9"/>
  <c r="A4581" i="9"/>
  <c r="A4580" i="9"/>
  <c r="A4579" i="9"/>
  <c r="A4578" i="9"/>
  <c r="A4577" i="9"/>
  <c r="A4576" i="9"/>
  <c r="A4575" i="9"/>
  <c r="A4574" i="9"/>
  <c r="A4573" i="9"/>
  <c r="A4572" i="9"/>
  <c r="A4571" i="9"/>
  <c r="A4570" i="9"/>
  <c r="A4569" i="9"/>
  <c r="A4568" i="9"/>
  <c r="A4567" i="9"/>
  <c r="A4566" i="9"/>
  <c r="A4565" i="9"/>
  <c r="A4564" i="9"/>
  <c r="A4563" i="9"/>
  <c r="A4562" i="9"/>
  <c r="A4561" i="9"/>
  <c r="A4560" i="9"/>
  <c r="A4559" i="9"/>
  <c r="A4558" i="9"/>
  <c r="A4557" i="9"/>
  <c r="A4556" i="9"/>
  <c r="A4555" i="9"/>
  <c r="A4554" i="9"/>
  <c r="A4553" i="9"/>
  <c r="A4552" i="9"/>
  <c r="A4551" i="9"/>
  <c r="A4550" i="9"/>
  <c r="A4549" i="9"/>
  <c r="A4548" i="9"/>
  <c r="A4547" i="9"/>
  <c r="A4546" i="9"/>
  <c r="A4545" i="9"/>
  <c r="A4544" i="9"/>
  <c r="A4543" i="9"/>
  <c r="A4542" i="9"/>
  <c r="A4541" i="9"/>
  <c r="A4540" i="9"/>
  <c r="A4539" i="9"/>
  <c r="A4538" i="9"/>
  <c r="A4537" i="9"/>
  <c r="A4536" i="9"/>
  <c r="A4535" i="9"/>
  <c r="A4534" i="9"/>
  <c r="A4533" i="9"/>
  <c r="A4532" i="9"/>
  <c r="A4531" i="9"/>
  <c r="A4530" i="9"/>
  <c r="A4529" i="9"/>
  <c r="A4528" i="9"/>
  <c r="A4527" i="9"/>
  <c r="A4526" i="9"/>
  <c r="A4525" i="9"/>
  <c r="A4524" i="9"/>
  <c r="A4523" i="9"/>
  <c r="A4522" i="9"/>
  <c r="A4521" i="9"/>
  <c r="A4520" i="9"/>
  <c r="A4519" i="9"/>
  <c r="A4518" i="9"/>
  <c r="A4517" i="9"/>
  <c r="A4516" i="9"/>
  <c r="A4515" i="9"/>
  <c r="A4514" i="9"/>
  <c r="A4513" i="9"/>
  <c r="A4512" i="9"/>
  <c r="A4511" i="9"/>
  <c r="A4510" i="9"/>
  <c r="A4509" i="9"/>
  <c r="A4508" i="9"/>
  <c r="A4507" i="9"/>
  <c r="A4506" i="9"/>
  <c r="A4505" i="9"/>
  <c r="A4504" i="9"/>
  <c r="A4503" i="9"/>
  <c r="A4502" i="9"/>
  <c r="A4501" i="9"/>
  <c r="A4500" i="9"/>
  <c r="A4499" i="9"/>
  <c r="A4498" i="9"/>
  <c r="A4497" i="9"/>
  <c r="A4496" i="9"/>
  <c r="A4495" i="9"/>
  <c r="A4494" i="9"/>
  <c r="A4493" i="9"/>
  <c r="A4492" i="9"/>
  <c r="A4491" i="9"/>
  <c r="A4490" i="9"/>
  <c r="A4489" i="9"/>
  <c r="A4488" i="9"/>
  <c r="A4487" i="9"/>
  <c r="A4486" i="9"/>
  <c r="A4485" i="9"/>
  <c r="A4484" i="9"/>
  <c r="A4483" i="9"/>
  <c r="A4482" i="9"/>
  <c r="A4481" i="9"/>
  <c r="A4480" i="9"/>
  <c r="A4479" i="9"/>
  <c r="A4478" i="9"/>
  <c r="A4477" i="9"/>
  <c r="A4476" i="9"/>
  <c r="A4475" i="9"/>
  <c r="A4474" i="9"/>
  <c r="A4473" i="9"/>
  <c r="A4472" i="9"/>
  <c r="A4471" i="9"/>
  <c r="A4470" i="9"/>
  <c r="A4469" i="9"/>
  <c r="A4468" i="9"/>
  <c r="A4467" i="9"/>
  <c r="A4466" i="9"/>
  <c r="A4465" i="9"/>
  <c r="A4464" i="9"/>
  <c r="A4463" i="9"/>
  <c r="A4462" i="9"/>
  <c r="A4461" i="9"/>
  <c r="A4460" i="9"/>
  <c r="A4459" i="9"/>
  <c r="A4458" i="9"/>
  <c r="A4457" i="9"/>
  <c r="A4456" i="9"/>
  <c r="A4455" i="9"/>
  <c r="A4454" i="9"/>
  <c r="A4453" i="9"/>
  <c r="A4452" i="9"/>
  <c r="A4451" i="9"/>
  <c r="A4450" i="9"/>
  <c r="A4449" i="9"/>
  <c r="A4448" i="9"/>
  <c r="A4447" i="9"/>
  <c r="A4446" i="9"/>
  <c r="A4445" i="9"/>
  <c r="A4444" i="9"/>
  <c r="A4443" i="9"/>
  <c r="A4442" i="9"/>
  <c r="A4441" i="9"/>
  <c r="A4440" i="9"/>
  <c r="A4439" i="9"/>
  <c r="A4438" i="9"/>
  <c r="A4437" i="9"/>
  <c r="A4436" i="9"/>
  <c r="A4435" i="9"/>
  <c r="A4434" i="9"/>
  <c r="A4433" i="9"/>
  <c r="A4432" i="9"/>
  <c r="A4431" i="9"/>
  <c r="A4430" i="9"/>
  <c r="A4429" i="9"/>
  <c r="A4428" i="9"/>
  <c r="A4427" i="9"/>
  <c r="A4426" i="9"/>
  <c r="A4425" i="9"/>
  <c r="A4424" i="9"/>
  <c r="A4423" i="9"/>
  <c r="A4422" i="9"/>
  <c r="A4421" i="9"/>
  <c r="A4420" i="9"/>
  <c r="A4419" i="9"/>
  <c r="A4418" i="9"/>
  <c r="A4417" i="9"/>
  <c r="A4416" i="9"/>
  <c r="A4415" i="9"/>
  <c r="A4414" i="9"/>
  <c r="A4413" i="9"/>
  <c r="A4412" i="9"/>
  <c r="A4411" i="9"/>
  <c r="A4410" i="9"/>
  <c r="A4409" i="9"/>
  <c r="A4408" i="9"/>
  <c r="A4407" i="9"/>
  <c r="A4406" i="9"/>
  <c r="A4405" i="9"/>
  <c r="A4404" i="9"/>
  <c r="A4403" i="9"/>
  <c r="A4402" i="9"/>
  <c r="A4401" i="9"/>
  <c r="A4400" i="9"/>
  <c r="A4399" i="9"/>
  <c r="A4398" i="9"/>
  <c r="A4397" i="9"/>
  <c r="A4396" i="9"/>
  <c r="A4395" i="9"/>
  <c r="A4394" i="9"/>
  <c r="A4393" i="9"/>
  <c r="A4392" i="9"/>
  <c r="A4391" i="9"/>
  <c r="A4390" i="9"/>
  <c r="A4389" i="9"/>
  <c r="A4388" i="9"/>
  <c r="A4387" i="9"/>
  <c r="A4386" i="9"/>
  <c r="A4385" i="9"/>
  <c r="A4384" i="9"/>
  <c r="A4383" i="9"/>
  <c r="A4382" i="9"/>
  <c r="A4381" i="9"/>
  <c r="A4380" i="9"/>
  <c r="A4379" i="9"/>
  <c r="A4378" i="9"/>
  <c r="A4377" i="9"/>
  <c r="A4376" i="9"/>
  <c r="A4375" i="9"/>
  <c r="A4374" i="9"/>
  <c r="A4373" i="9"/>
  <c r="A4372" i="9"/>
  <c r="A4371" i="9"/>
  <c r="A4370" i="9"/>
  <c r="A4369" i="9"/>
  <c r="A4368" i="9"/>
  <c r="A4367" i="9"/>
  <c r="A4366" i="9"/>
  <c r="A4365" i="9"/>
  <c r="A4364" i="9"/>
  <c r="A4363" i="9"/>
  <c r="A4362" i="9"/>
  <c r="A4361" i="9"/>
  <c r="A4360" i="9"/>
  <c r="A4359" i="9"/>
  <c r="A4358" i="9"/>
  <c r="A4357" i="9"/>
  <c r="A4356" i="9"/>
  <c r="A4355" i="9"/>
  <c r="A4354" i="9"/>
  <c r="A4353" i="9"/>
  <c r="A4352" i="9"/>
  <c r="A4351" i="9"/>
  <c r="A4350" i="9"/>
  <c r="A4349" i="9"/>
  <c r="A4348" i="9"/>
  <c r="A4347" i="9"/>
  <c r="A4346" i="9"/>
  <c r="A4345" i="9"/>
  <c r="A4344" i="9"/>
  <c r="A4343" i="9"/>
  <c r="A4342" i="9"/>
  <c r="A4341" i="9"/>
  <c r="A4340" i="9"/>
  <c r="A4339" i="9"/>
  <c r="A4338" i="9"/>
  <c r="A4337" i="9"/>
  <c r="A4336" i="9"/>
  <c r="A4335" i="9"/>
  <c r="A4334" i="9"/>
  <c r="A4333" i="9"/>
  <c r="A4332" i="9"/>
  <c r="A4331" i="9"/>
  <c r="A4330" i="9"/>
  <c r="A4329" i="9"/>
  <c r="A4328" i="9"/>
  <c r="A4327" i="9"/>
  <c r="A4326" i="9"/>
  <c r="A4325" i="9"/>
  <c r="A4324" i="9"/>
  <c r="A4323" i="9"/>
  <c r="A4322" i="9"/>
  <c r="A4321" i="9"/>
  <c r="A4320" i="9"/>
  <c r="A4319" i="9"/>
  <c r="A4318" i="9"/>
  <c r="A4317" i="9"/>
  <c r="A4316" i="9"/>
  <c r="A4315" i="9"/>
  <c r="A4314" i="9"/>
  <c r="A4313" i="9"/>
  <c r="A4312" i="9"/>
  <c r="A4311" i="9"/>
  <c r="A4310" i="9"/>
  <c r="A4309" i="9"/>
  <c r="A4308" i="9"/>
  <c r="A4307" i="9"/>
  <c r="A4306" i="9"/>
  <c r="A4305" i="9"/>
  <c r="A4304" i="9"/>
  <c r="A4303" i="9"/>
  <c r="A4302" i="9"/>
  <c r="A4301" i="9"/>
  <c r="A4300" i="9"/>
  <c r="A4299" i="9"/>
  <c r="A4298" i="9"/>
  <c r="A4297" i="9"/>
  <c r="A4296" i="9"/>
  <c r="A4295" i="9"/>
  <c r="A4294" i="9"/>
  <c r="A4293" i="9"/>
  <c r="A4292" i="9"/>
  <c r="A4291" i="9"/>
  <c r="A4290" i="9"/>
  <c r="A4289" i="9"/>
  <c r="A4288" i="9"/>
  <c r="A4287" i="9"/>
  <c r="A4286" i="9"/>
  <c r="A4285" i="9"/>
  <c r="A4284" i="9"/>
  <c r="A4283" i="9"/>
  <c r="A4282" i="9"/>
  <c r="A4281" i="9"/>
  <c r="A4280" i="9"/>
  <c r="A4279" i="9"/>
  <c r="A4278" i="9"/>
  <c r="A4277" i="9"/>
  <c r="A4276" i="9"/>
  <c r="A4275" i="9"/>
  <c r="A4274" i="9"/>
  <c r="A4273" i="9"/>
  <c r="A4272" i="9"/>
  <c r="A4271" i="9"/>
  <c r="A4270" i="9"/>
  <c r="A4269" i="9"/>
  <c r="A4268" i="9"/>
  <c r="A4267" i="9"/>
  <c r="A4266" i="9"/>
  <c r="A4265" i="9"/>
  <c r="A4264" i="9"/>
  <c r="A4263" i="9"/>
  <c r="A4262" i="9"/>
  <c r="A4261" i="9"/>
  <c r="A4260" i="9"/>
  <c r="A4259" i="9"/>
  <c r="A4258" i="9"/>
  <c r="A4257" i="9"/>
  <c r="A4256" i="9"/>
  <c r="A4255" i="9"/>
  <c r="A4254" i="9"/>
  <c r="A4253" i="9"/>
  <c r="A4252" i="9"/>
  <c r="A4251" i="9"/>
  <c r="A4250" i="9"/>
  <c r="A4249" i="9"/>
  <c r="A4248" i="9"/>
  <c r="A4247" i="9"/>
  <c r="A4246" i="9"/>
  <c r="A4245" i="9"/>
  <c r="A4244" i="9"/>
  <c r="A4243" i="9"/>
  <c r="A4242" i="9"/>
  <c r="A4241" i="9"/>
  <c r="A4240" i="9"/>
  <c r="A4239" i="9"/>
  <c r="A4238" i="9"/>
  <c r="A4237" i="9"/>
  <c r="A4236" i="9"/>
  <c r="A4235" i="9"/>
  <c r="A4234" i="9"/>
  <c r="A4233" i="9"/>
  <c r="A4232" i="9"/>
  <c r="A4231" i="9"/>
  <c r="A4230" i="9"/>
  <c r="A4229" i="9"/>
  <c r="A4228" i="9"/>
  <c r="A4227" i="9"/>
  <c r="A4226" i="9"/>
  <c r="A4225" i="9"/>
  <c r="A4224" i="9"/>
  <c r="A4223" i="9"/>
  <c r="A4222" i="9"/>
  <c r="A4221" i="9"/>
  <c r="A4220" i="9"/>
  <c r="A4219" i="9"/>
  <c r="A4218" i="9"/>
  <c r="A4217" i="9"/>
  <c r="A4216" i="9"/>
  <c r="A4215" i="9"/>
  <c r="A4214" i="9"/>
  <c r="A4213" i="9"/>
  <c r="A4212" i="9"/>
  <c r="A4211" i="9"/>
  <c r="A4210" i="9"/>
  <c r="A4209" i="9"/>
  <c r="A4208" i="9"/>
  <c r="A4207" i="9"/>
  <c r="A4206" i="9"/>
  <c r="A4205" i="9"/>
  <c r="A4204" i="9"/>
  <c r="A4203" i="9"/>
  <c r="A4202" i="9"/>
  <c r="A4201" i="9"/>
  <c r="A4200" i="9"/>
  <c r="A4199" i="9"/>
  <c r="A4198" i="9"/>
  <c r="A4197" i="9"/>
  <c r="A4196" i="9"/>
  <c r="A4195" i="9"/>
  <c r="A4194" i="9"/>
  <c r="A4193" i="9"/>
  <c r="A4192" i="9"/>
  <c r="A4191" i="9"/>
  <c r="A4190" i="9"/>
  <c r="A4189" i="9"/>
  <c r="A4188" i="9"/>
  <c r="A4187" i="9"/>
  <c r="A4186" i="9"/>
  <c r="A4185" i="9"/>
  <c r="A4184" i="9"/>
  <c r="A4183" i="9"/>
  <c r="A4182" i="9"/>
  <c r="A4181" i="9"/>
  <c r="A4180" i="9"/>
  <c r="A4179" i="9"/>
  <c r="A4178" i="9"/>
  <c r="A4177" i="9"/>
  <c r="A4176" i="9"/>
  <c r="A4175" i="9"/>
  <c r="A4174" i="9"/>
  <c r="A4173" i="9"/>
  <c r="A4172" i="9"/>
  <c r="A4171" i="9"/>
  <c r="A4170" i="9"/>
  <c r="A4169" i="9"/>
  <c r="A4168" i="9"/>
  <c r="A4167" i="9"/>
  <c r="A4166" i="9"/>
  <c r="A4165" i="9"/>
  <c r="A4164" i="9"/>
  <c r="A4163" i="9"/>
  <c r="A4162" i="9"/>
  <c r="A4161" i="9"/>
  <c r="A4160" i="9"/>
  <c r="A4159" i="9"/>
  <c r="A4158" i="9"/>
  <c r="A4157" i="9"/>
  <c r="A4156" i="9"/>
  <c r="A4155" i="9"/>
  <c r="A4154" i="9"/>
  <c r="A4153" i="9"/>
  <c r="A4152" i="9"/>
  <c r="A4151" i="9"/>
  <c r="A4150" i="9"/>
  <c r="A4149" i="9"/>
  <c r="A4148" i="9"/>
  <c r="A4147" i="9"/>
  <c r="A4146" i="9"/>
  <c r="A4145" i="9"/>
  <c r="A4144" i="9"/>
  <c r="A4143" i="9"/>
  <c r="A4142" i="9"/>
  <c r="A4141" i="9"/>
  <c r="A4140" i="9"/>
  <c r="A4139" i="9"/>
  <c r="A4138" i="9"/>
  <c r="A4137" i="9"/>
  <c r="A4136" i="9"/>
  <c r="A4135" i="9"/>
  <c r="A4134" i="9"/>
  <c r="A4133" i="9"/>
  <c r="A4132" i="9"/>
  <c r="A4131" i="9"/>
  <c r="A4130" i="9"/>
  <c r="A4129" i="9"/>
  <c r="A4128" i="9"/>
  <c r="A4127" i="9"/>
  <c r="A4126" i="9"/>
  <c r="A4125" i="9"/>
  <c r="A4124" i="9"/>
  <c r="A4123" i="9"/>
  <c r="A4122" i="9"/>
  <c r="A4121" i="9"/>
  <c r="A4120" i="9"/>
  <c r="A4119" i="9"/>
  <c r="A4118" i="9"/>
  <c r="A4117" i="9"/>
  <c r="A4116" i="9"/>
  <c r="A4115" i="9"/>
  <c r="A4114" i="9"/>
  <c r="A4113" i="9"/>
  <c r="A4112" i="9"/>
  <c r="A4111" i="9"/>
  <c r="A4110" i="9"/>
  <c r="A4109" i="9"/>
  <c r="A4108" i="9"/>
  <c r="A4107" i="9"/>
  <c r="A4106" i="9"/>
  <c r="A4105" i="9"/>
  <c r="A4104" i="9"/>
  <c r="A4103" i="9"/>
  <c r="A4102" i="9"/>
  <c r="A4101" i="9"/>
  <c r="A4100" i="9"/>
  <c r="A4099" i="9"/>
  <c r="A4098" i="9"/>
  <c r="A4097" i="9"/>
  <c r="A4096" i="9"/>
  <c r="A4095" i="9"/>
  <c r="A4094" i="9"/>
  <c r="A4093" i="9"/>
  <c r="A4092" i="9"/>
  <c r="A4091" i="9"/>
  <c r="A4090" i="9"/>
  <c r="A4089" i="9"/>
  <c r="A4088" i="9"/>
  <c r="A4087" i="9"/>
  <c r="A4086" i="9"/>
  <c r="A4085" i="9"/>
  <c r="A4084" i="9"/>
  <c r="A4083" i="9"/>
  <c r="A4082" i="9"/>
  <c r="A4081" i="9"/>
  <c r="A4080" i="9"/>
  <c r="A4079" i="9"/>
  <c r="A4078" i="9"/>
  <c r="A4077" i="9"/>
  <c r="A4076" i="9"/>
  <c r="A4075" i="9"/>
  <c r="A4074" i="9"/>
  <c r="A4073" i="9"/>
  <c r="A4072" i="9"/>
  <c r="A4071" i="9"/>
  <c r="A4070" i="9"/>
  <c r="A4069" i="9"/>
  <c r="A4068" i="9"/>
  <c r="A4067" i="9"/>
  <c r="A4066" i="9"/>
  <c r="A4065" i="9"/>
  <c r="A4064" i="9"/>
  <c r="A4063" i="9"/>
  <c r="A4062" i="9"/>
  <c r="A4061" i="9"/>
  <c r="A4060" i="9"/>
  <c r="A4059" i="9"/>
  <c r="A4058" i="9"/>
  <c r="A4057" i="9"/>
  <c r="A4056" i="9"/>
  <c r="A4055" i="9"/>
  <c r="A4054" i="9"/>
  <c r="A4053" i="9"/>
  <c r="A4052" i="9"/>
  <c r="A4051" i="9"/>
  <c r="A4050" i="9"/>
  <c r="A4049" i="9"/>
  <c r="A4048" i="9"/>
  <c r="A4047" i="9"/>
  <c r="A4046" i="9"/>
  <c r="A4045" i="9"/>
  <c r="A4044" i="9"/>
  <c r="A4043" i="9"/>
  <c r="A4042" i="9"/>
  <c r="A4041" i="9"/>
  <c r="A4040" i="9"/>
  <c r="A4039" i="9"/>
  <c r="A4038" i="9"/>
  <c r="A4037" i="9"/>
  <c r="A4036" i="9"/>
  <c r="A4035" i="9"/>
  <c r="A4034" i="9"/>
  <c r="A4033" i="9"/>
  <c r="A4032" i="9"/>
  <c r="A4031" i="9"/>
  <c r="A4030" i="9"/>
  <c r="A4029" i="9"/>
  <c r="A4028" i="9"/>
  <c r="A4027" i="9"/>
  <c r="A4026" i="9"/>
  <c r="A4025" i="9"/>
  <c r="A4024" i="9"/>
  <c r="A4023" i="9"/>
  <c r="A4022" i="9"/>
  <c r="A4021" i="9"/>
  <c r="A4020" i="9"/>
  <c r="A4019" i="9"/>
  <c r="A4018" i="9"/>
  <c r="A4017" i="9"/>
  <c r="A4016" i="9"/>
  <c r="A4015" i="9"/>
  <c r="A4014" i="9"/>
  <c r="A4013" i="9"/>
  <c r="A4012" i="9"/>
  <c r="A4011" i="9"/>
  <c r="A4010" i="9"/>
  <c r="A4009" i="9"/>
  <c r="A4008" i="9"/>
  <c r="A4007" i="9"/>
  <c r="A4006" i="9"/>
  <c r="A4005" i="9"/>
  <c r="A4004" i="9"/>
  <c r="A4003" i="9"/>
  <c r="A4002" i="9"/>
  <c r="A4001" i="9"/>
  <c r="A4000" i="9"/>
  <c r="A3999" i="9"/>
  <c r="A3998" i="9"/>
  <c r="A3997" i="9"/>
  <c r="A3996" i="9"/>
  <c r="A3995" i="9"/>
  <c r="A3994" i="9"/>
  <c r="A3993" i="9"/>
  <c r="A3992" i="9"/>
  <c r="A3991" i="9"/>
  <c r="A3990" i="9"/>
  <c r="A3989" i="9"/>
  <c r="A3988" i="9"/>
  <c r="A3987" i="9"/>
  <c r="A3986" i="9"/>
  <c r="A3985" i="9"/>
  <c r="A3984" i="9"/>
  <c r="A3983" i="9"/>
  <c r="A3982" i="9"/>
  <c r="A3981" i="9"/>
  <c r="A3980" i="9"/>
  <c r="A3979" i="9"/>
  <c r="A3978" i="9"/>
  <c r="A3977" i="9"/>
  <c r="A3976" i="9"/>
  <c r="A3975" i="9"/>
  <c r="A3974" i="9"/>
  <c r="A3973" i="9"/>
  <c r="A3972" i="9"/>
  <c r="A3971" i="9"/>
  <c r="A3970" i="9"/>
  <c r="A3969" i="9"/>
  <c r="A3968" i="9"/>
  <c r="A3967" i="9"/>
  <c r="A3966" i="9"/>
  <c r="A3965" i="9"/>
  <c r="A3964" i="9"/>
  <c r="A3963" i="9"/>
  <c r="A3962" i="9"/>
  <c r="A3961" i="9"/>
  <c r="A3960" i="9"/>
  <c r="A3959" i="9"/>
  <c r="A3958" i="9"/>
  <c r="A3957" i="9"/>
  <c r="A3956" i="9"/>
  <c r="A3955" i="9"/>
  <c r="A3954" i="9"/>
  <c r="A3953" i="9"/>
  <c r="A3952" i="9"/>
  <c r="A3951" i="9"/>
  <c r="A3950" i="9"/>
  <c r="A3949" i="9"/>
  <c r="A3948" i="9"/>
  <c r="A3947" i="9"/>
  <c r="A3946" i="9"/>
  <c r="A3945" i="9"/>
  <c r="A3944" i="9"/>
  <c r="A3943" i="9"/>
  <c r="A3942" i="9"/>
  <c r="A3941" i="9"/>
  <c r="A3940" i="9"/>
  <c r="A3939" i="9"/>
  <c r="A3938" i="9"/>
  <c r="A3937" i="9"/>
  <c r="A3936" i="9"/>
  <c r="A3935" i="9"/>
  <c r="A3934" i="9"/>
  <c r="A3933" i="9"/>
  <c r="A3932" i="9"/>
  <c r="A3931" i="9"/>
  <c r="A3930" i="9"/>
  <c r="A3929" i="9"/>
  <c r="A3928" i="9"/>
  <c r="A3927" i="9"/>
  <c r="A3926" i="9"/>
  <c r="A3925" i="9"/>
  <c r="A3924" i="9"/>
  <c r="A3923" i="9"/>
  <c r="A3922" i="9"/>
  <c r="A3921" i="9"/>
  <c r="A3920" i="9"/>
  <c r="A3919" i="9"/>
  <c r="A3918" i="9"/>
  <c r="A3917" i="9"/>
  <c r="A3916" i="9"/>
  <c r="A3915" i="9"/>
  <c r="A3914" i="9"/>
  <c r="A3913" i="9"/>
  <c r="A3912" i="9"/>
  <c r="A3911" i="9"/>
  <c r="A3910" i="9"/>
  <c r="A3909" i="9"/>
  <c r="A3908" i="9"/>
  <c r="A3907" i="9"/>
  <c r="A3906" i="9"/>
  <c r="A3905" i="9"/>
  <c r="A3904" i="9"/>
  <c r="A3903" i="9"/>
  <c r="A3902" i="9"/>
  <c r="A3901" i="9"/>
  <c r="A3900" i="9"/>
  <c r="A3899" i="9"/>
  <c r="A3898" i="9"/>
  <c r="A3897" i="9"/>
  <c r="A3896" i="9"/>
  <c r="A3895" i="9"/>
  <c r="A3894" i="9"/>
  <c r="A3893" i="9"/>
  <c r="A3892" i="9"/>
  <c r="A3891" i="9"/>
  <c r="A3890" i="9"/>
  <c r="A3889" i="9"/>
  <c r="A3888" i="9"/>
  <c r="A3887" i="9"/>
  <c r="A3886" i="9"/>
  <c r="A3885" i="9"/>
  <c r="A3884" i="9"/>
  <c r="A3883" i="9"/>
  <c r="A3882" i="9"/>
  <c r="A3881" i="9"/>
  <c r="A3880" i="9"/>
  <c r="A3879" i="9"/>
  <c r="A3878" i="9"/>
  <c r="A3877" i="9"/>
  <c r="A3876" i="9"/>
  <c r="A3875" i="9"/>
  <c r="A3874" i="9"/>
  <c r="A3873" i="9"/>
  <c r="A3872" i="9"/>
  <c r="A3871" i="9"/>
  <c r="A3870" i="9"/>
  <c r="A3869" i="9"/>
  <c r="A3868" i="9"/>
  <c r="A3867" i="9"/>
  <c r="A3866" i="9"/>
  <c r="A3865" i="9"/>
  <c r="A3864" i="9"/>
  <c r="A3863" i="9"/>
  <c r="A3862" i="9"/>
  <c r="A3861" i="9"/>
  <c r="A3860" i="9"/>
  <c r="A3859" i="9"/>
  <c r="A3858" i="9"/>
  <c r="A3857" i="9"/>
  <c r="A3856" i="9"/>
  <c r="A3855" i="9"/>
  <c r="A3854" i="9"/>
  <c r="A3853" i="9"/>
  <c r="A3852" i="9"/>
  <c r="A3851" i="9"/>
  <c r="A3850" i="9"/>
  <c r="A3849" i="9"/>
  <c r="A3848" i="9"/>
  <c r="A3847" i="9"/>
  <c r="A3846" i="9"/>
  <c r="A3845" i="9"/>
  <c r="A3844" i="9"/>
  <c r="A3843" i="9"/>
  <c r="A3842" i="9"/>
  <c r="A3841" i="9"/>
  <c r="A3840" i="9"/>
  <c r="A3839" i="9"/>
  <c r="A3838" i="9"/>
  <c r="A3837" i="9"/>
  <c r="A3836" i="9"/>
  <c r="A3835" i="9"/>
  <c r="A3834" i="9"/>
  <c r="A3833" i="9"/>
  <c r="A3832" i="9"/>
  <c r="A3831" i="9"/>
  <c r="A3830" i="9"/>
  <c r="A3829" i="9"/>
  <c r="A3828" i="9"/>
  <c r="A3827" i="9"/>
  <c r="A3826" i="9"/>
  <c r="A3825" i="9"/>
  <c r="A3824" i="9"/>
  <c r="A3823" i="9"/>
  <c r="A3822" i="9"/>
  <c r="A3821" i="9"/>
  <c r="A3820" i="9"/>
  <c r="A3819" i="9"/>
  <c r="A3818" i="9"/>
  <c r="A3817" i="9"/>
  <c r="A3816" i="9"/>
  <c r="A3815" i="9"/>
  <c r="A3814" i="9"/>
  <c r="A3813" i="9"/>
  <c r="A3812" i="9"/>
  <c r="A3811" i="9"/>
  <c r="A3810" i="9"/>
  <c r="A3809" i="9"/>
  <c r="A3808" i="9"/>
  <c r="A3807" i="9"/>
  <c r="A3806" i="9"/>
  <c r="A3805" i="9"/>
  <c r="A3804" i="9"/>
  <c r="A3803" i="9"/>
  <c r="A3802" i="9"/>
  <c r="A3801" i="9"/>
  <c r="A3800" i="9"/>
  <c r="A3799" i="9"/>
  <c r="A3798" i="9"/>
  <c r="A3797" i="9"/>
  <c r="A3796" i="9"/>
  <c r="A3795" i="9"/>
  <c r="A3794" i="9"/>
  <c r="A3793" i="9"/>
  <c r="A3792" i="9"/>
  <c r="A3791" i="9"/>
  <c r="A3790" i="9"/>
  <c r="A3789" i="9"/>
  <c r="A3788" i="9"/>
  <c r="A3787" i="9"/>
  <c r="A3786" i="9"/>
  <c r="A3785" i="9"/>
  <c r="A3784" i="9"/>
  <c r="A3783" i="9"/>
  <c r="A3782" i="9"/>
  <c r="A3781" i="9"/>
  <c r="A3780" i="9"/>
  <c r="A3779" i="9"/>
  <c r="A3778" i="9"/>
  <c r="A3777" i="9"/>
  <c r="A3776" i="9"/>
  <c r="A3775" i="9"/>
  <c r="A3774" i="9"/>
  <c r="A3773" i="9"/>
  <c r="A3772" i="9"/>
  <c r="A3771" i="9"/>
  <c r="A3770" i="9"/>
  <c r="A3769" i="9"/>
  <c r="A3768" i="9"/>
  <c r="A3767" i="9"/>
  <c r="A3766" i="9"/>
  <c r="A3765" i="9"/>
  <c r="A3764" i="9"/>
  <c r="A3763" i="9"/>
  <c r="A3762" i="9"/>
  <c r="A3761" i="9"/>
  <c r="A3760" i="9"/>
  <c r="A3759" i="9"/>
  <c r="A3758" i="9"/>
  <c r="A3757" i="9"/>
  <c r="A3756" i="9"/>
  <c r="A3755" i="9"/>
  <c r="A3754" i="9"/>
  <c r="A3753" i="9"/>
  <c r="A3752" i="9"/>
  <c r="A3751" i="9"/>
  <c r="A3750" i="9"/>
  <c r="A3749" i="9"/>
  <c r="A3748" i="9"/>
  <c r="A3747" i="9"/>
  <c r="A3746" i="9"/>
  <c r="A3745" i="9"/>
  <c r="A3744" i="9"/>
  <c r="A3743" i="9"/>
  <c r="A3742" i="9"/>
  <c r="A3741" i="9"/>
  <c r="A3740" i="9"/>
  <c r="A3739" i="9"/>
  <c r="A3738" i="9"/>
  <c r="A3737" i="9"/>
  <c r="A3736" i="9"/>
  <c r="A3735" i="9"/>
  <c r="A3734" i="9"/>
  <c r="A3733" i="9"/>
  <c r="A3732" i="9"/>
  <c r="A3731" i="9"/>
  <c r="A3730" i="9"/>
  <c r="A3729" i="9"/>
  <c r="A3728" i="9"/>
  <c r="A3727" i="9"/>
  <c r="A3726" i="9"/>
  <c r="A3725" i="9"/>
  <c r="A3724" i="9"/>
  <c r="A3723" i="9"/>
  <c r="A3722" i="9"/>
  <c r="A3721" i="9"/>
  <c r="A3720" i="9"/>
  <c r="A3719" i="9"/>
  <c r="A3718" i="9"/>
  <c r="A3717" i="9"/>
  <c r="A3716" i="9"/>
  <c r="A3715" i="9"/>
  <c r="A3714" i="9"/>
  <c r="A3713" i="9"/>
  <c r="A3712" i="9"/>
  <c r="A3711" i="9"/>
  <c r="A3710" i="9"/>
  <c r="A3709" i="9"/>
  <c r="A3708" i="9"/>
  <c r="A3707" i="9"/>
  <c r="A3706" i="9"/>
  <c r="A3705" i="9"/>
  <c r="A3704" i="9"/>
  <c r="A3703" i="9"/>
  <c r="A3702" i="9"/>
  <c r="A3701" i="9"/>
  <c r="A3700" i="9"/>
  <c r="A3699" i="9"/>
  <c r="A3698" i="9"/>
  <c r="A3697" i="9"/>
  <c r="A3696" i="9"/>
  <c r="A3695" i="9"/>
  <c r="A3694" i="9"/>
  <c r="A3693" i="9"/>
  <c r="A3692" i="9"/>
  <c r="A3691" i="9"/>
  <c r="A3690" i="9"/>
  <c r="A3689" i="9"/>
  <c r="A3688" i="9"/>
  <c r="A3687" i="9"/>
  <c r="A3686" i="9"/>
  <c r="A3685" i="9"/>
  <c r="A3684" i="9"/>
  <c r="A3683" i="9"/>
  <c r="A3682" i="9"/>
  <c r="A3681" i="9"/>
  <c r="A3680" i="9"/>
  <c r="A3679" i="9"/>
  <c r="A3678" i="9"/>
  <c r="A3677" i="9"/>
  <c r="A3676" i="9"/>
  <c r="A3675" i="9"/>
  <c r="A3674" i="9"/>
  <c r="A3673" i="9"/>
  <c r="A3672" i="9"/>
  <c r="A3671" i="9"/>
  <c r="A3670" i="9"/>
  <c r="A3669" i="9"/>
  <c r="A3668" i="9"/>
  <c r="A3667" i="9"/>
  <c r="A3666" i="9"/>
  <c r="A3665" i="9"/>
  <c r="A3664" i="9"/>
  <c r="A3663" i="9"/>
  <c r="A3662" i="9"/>
  <c r="A3661" i="9"/>
  <c r="A3660" i="9"/>
  <c r="A3659" i="9"/>
  <c r="A3658" i="9"/>
  <c r="A3657" i="9"/>
  <c r="A3656" i="9"/>
  <c r="A3655" i="9"/>
  <c r="A3654" i="9"/>
  <c r="A3653" i="9"/>
  <c r="A3652" i="9"/>
  <c r="A3651" i="9"/>
  <c r="A3650" i="9"/>
  <c r="A3649" i="9"/>
  <c r="A3648" i="9"/>
  <c r="A3647" i="9"/>
  <c r="A3646" i="9"/>
  <c r="A3645" i="9"/>
  <c r="A3644" i="9"/>
  <c r="A3643" i="9"/>
  <c r="A3642" i="9"/>
  <c r="A3641" i="9"/>
  <c r="A3640" i="9"/>
  <c r="A3639" i="9"/>
  <c r="A3638" i="9"/>
  <c r="A3637" i="9"/>
  <c r="A3636" i="9"/>
  <c r="A3635" i="9"/>
  <c r="A3634" i="9"/>
  <c r="A3633" i="9"/>
  <c r="A3632" i="9"/>
  <c r="A3631" i="9"/>
  <c r="A3630" i="9"/>
  <c r="A3629" i="9"/>
  <c r="A3628" i="9"/>
  <c r="A3627" i="9"/>
  <c r="A3626" i="9"/>
  <c r="A3625" i="9"/>
  <c r="A3624" i="9"/>
  <c r="A3623" i="9"/>
  <c r="A3622" i="9"/>
  <c r="A3621" i="9"/>
  <c r="A3620" i="9"/>
  <c r="A3619" i="9"/>
  <c r="A3618" i="9"/>
  <c r="A3617" i="9"/>
  <c r="A3616" i="9"/>
  <c r="A3615" i="9"/>
  <c r="A3614" i="9"/>
  <c r="A3613" i="9"/>
  <c r="A3612" i="9"/>
  <c r="A3611" i="9"/>
  <c r="A3610" i="9"/>
  <c r="A3609" i="9"/>
  <c r="A3608" i="9"/>
  <c r="A3607" i="9"/>
  <c r="A3606" i="9"/>
  <c r="A3605" i="9"/>
  <c r="A3604" i="9"/>
  <c r="A3603" i="9"/>
  <c r="A3602" i="9"/>
  <c r="A3601" i="9"/>
  <c r="A3600" i="9"/>
  <c r="A3599" i="9"/>
  <c r="A3598" i="9"/>
  <c r="A3597" i="9"/>
  <c r="A3596" i="9"/>
  <c r="A3595" i="9"/>
  <c r="A3594" i="9"/>
  <c r="A3593" i="9"/>
  <c r="A3592" i="9"/>
  <c r="A3591" i="9"/>
  <c r="A3590" i="9"/>
  <c r="A3589" i="9"/>
  <c r="A3588" i="9"/>
  <c r="A3587" i="9"/>
  <c r="A3586" i="9"/>
  <c r="A3585" i="9"/>
  <c r="A3584" i="9"/>
  <c r="A3583" i="9"/>
  <c r="A3582" i="9"/>
  <c r="A3581" i="9"/>
  <c r="A3580" i="9"/>
  <c r="A3579" i="9"/>
  <c r="A3578" i="9"/>
  <c r="A3577" i="9"/>
  <c r="A3576" i="9"/>
  <c r="A3575" i="9"/>
  <c r="A3574" i="9"/>
  <c r="A3573" i="9"/>
  <c r="A3572" i="9"/>
  <c r="A3571" i="9"/>
  <c r="A3570" i="9"/>
  <c r="A3569" i="9"/>
  <c r="A3568" i="9"/>
  <c r="A3567" i="9"/>
  <c r="A3566" i="9"/>
  <c r="A3565" i="9"/>
  <c r="A3564" i="9"/>
  <c r="A3563" i="9"/>
  <c r="A3562" i="9"/>
  <c r="A3561" i="9"/>
  <c r="A3560" i="9"/>
  <c r="A3559" i="9"/>
  <c r="A3558" i="9"/>
  <c r="A3557" i="9"/>
  <c r="A3556" i="9"/>
  <c r="A3555" i="9"/>
  <c r="A3554" i="9"/>
  <c r="A3553" i="9"/>
  <c r="A3552" i="9"/>
  <c r="A3551" i="9"/>
  <c r="A3550" i="9"/>
  <c r="A3549" i="9"/>
  <c r="A3548" i="9"/>
  <c r="A3547" i="9"/>
  <c r="A3546" i="9"/>
  <c r="A3545" i="9"/>
  <c r="A3544" i="9"/>
  <c r="A3543" i="9"/>
  <c r="A3542" i="9"/>
  <c r="A3541" i="9"/>
  <c r="A3540" i="9"/>
  <c r="A3539" i="9"/>
  <c r="A3538" i="9"/>
  <c r="A3537" i="9"/>
  <c r="A3536" i="9"/>
  <c r="A3535" i="9"/>
  <c r="A3534" i="9"/>
  <c r="A3533" i="9"/>
  <c r="A3532" i="9"/>
  <c r="A3531" i="9"/>
  <c r="A3530" i="9"/>
  <c r="A3529" i="9"/>
  <c r="A3528" i="9"/>
  <c r="A3527" i="9"/>
  <c r="A3526" i="9"/>
  <c r="A3525" i="9"/>
  <c r="A3524" i="9"/>
  <c r="A3523" i="9"/>
  <c r="A3522" i="9"/>
  <c r="A3521" i="9"/>
  <c r="A3520" i="9"/>
  <c r="A3519" i="9"/>
  <c r="A3518" i="9"/>
  <c r="A3517" i="9"/>
  <c r="A3516" i="9"/>
  <c r="A3515" i="9"/>
  <c r="A3514" i="9"/>
  <c r="A3513" i="9"/>
  <c r="A3512" i="9"/>
  <c r="A3511" i="9"/>
  <c r="A3510" i="9"/>
  <c r="A3509" i="9"/>
  <c r="A3508" i="9"/>
  <c r="A3507" i="9"/>
  <c r="A3506" i="9"/>
  <c r="A3505" i="9"/>
  <c r="A3504" i="9"/>
  <c r="A3503" i="9"/>
  <c r="A3502" i="9"/>
  <c r="A3501" i="9"/>
  <c r="A3500" i="9"/>
  <c r="A3499" i="9"/>
  <c r="A3498" i="9"/>
  <c r="A3497" i="9"/>
  <c r="A3496" i="9"/>
  <c r="A3495" i="9"/>
  <c r="A3494" i="9"/>
  <c r="A3493" i="9"/>
  <c r="A3492" i="9"/>
  <c r="A3491" i="9"/>
  <c r="A3490" i="9"/>
  <c r="A3489" i="9"/>
  <c r="A3488" i="9"/>
  <c r="A3487" i="9"/>
  <c r="A3486" i="9"/>
  <c r="A3485" i="9"/>
  <c r="A3484" i="9"/>
  <c r="A3483" i="9"/>
  <c r="A3482" i="9"/>
  <c r="A3481" i="9"/>
  <c r="A3480" i="9"/>
  <c r="A3479" i="9"/>
  <c r="A3478" i="9"/>
  <c r="A3477" i="9"/>
  <c r="A3476" i="9"/>
  <c r="A3475" i="9"/>
  <c r="A3474" i="9"/>
  <c r="A3473" i="9"/>
  <c r="A3472" i="9"/>
  <c r="A3471" i="9"/>
  <c r="A3470" i="9"/>
  <c r="A3469" i="9"/>
  <c r="A3468" i="9"/>
  <c r="A3467" i="9"/>
  <c r="A3466" i="9"/>
  <c r="A3465" i="9"/>
  <c r="A3464" i="9"/>
  <c r="A3463" i="9"/>
  <c r="A3462" i="9"/>
  <c r="A3461" i="9"/>
  <c r="A3460" i="9"/>
  <c r="A3459" i="9"/>
  <c r="A3458" i="9"/>
  <c r="A3457" i="9"/>
  <c r="A3456" i="9"/>
  <c r="A3455" i="9"/>
  <c r="A3454" i="9"/>
  <c r="A3453" i="9"/>
  <c r="A3452" i="9"/>
  <c r="A3451" i="9"/>
  <c r="A3450" i="9"/>
  <c r="A3449" i="9"/>
  <c r="A3448" i="9"/>
  <c r="A3447" i="9"/>
  <c r="A3446" i="9"/>
  <c r="A3445" i="9"/>
  <c r="A3444" i="9"/>
  <c r="A3443" i="9"/>
  <c r="A3442" i="9"/>
  <c r="A3441" i="9"/>
  <c r="A3440" i="9"/>
  <c r="A3439" i="9"/>
  <c r="A3438" i="9"/>
  <c r="A3437" i="9"/>
  <c r="A3436" i="9"/>
  <c r="A3435" i="9"/>
  <c r="A3434" i="9"/>
  <c r="A3433" i="9"/>
  <c r="A3432" i="9"/>
  <c r="A3431" i="9"/>
  <c r="A3430" i="9"/>
  <c r="A3429" i="9"/>
  <c r="A3428" i="9"/>
  <c r="A3427" i="9"/>
  <c r="A3426" i="9"/>
  <c r="A3425" i="9"/>
  <c r="A3424" i="9"/>
  <c r="A3423" i="9"/>
  <c r="A3422" i="9"/>
  <c r="A3421" i="9"/>
  <c r="A3420" i="9"/>
  <c r="A3419" i="9"/>
  <c r="A3418" i="9"/>
  <c r="A3417" i="9"/>
  <c r="A3416" i="9"/>
  <c r="A3415" i="9"/>
  <c r="A3414" i="9"/>
  <c r="A3413" i="9"/>
  <c r="A3412" i="9"/>
  <c r="A3411" i="9"/>
  <c r="A3410" i="9"/>
  <c r="A3409" i="9"/>
  <c r="A3408" i="9"/>
  <c r="A3407" i="9"/>
  <c r="A3406" i="9"/>
  <c r="A3405" i="9"/>
  <c r="A3404" i="9"/>
  <c r="A3403" i="9"/>
  <c r="A3402" i="9"/>
  <c r="A3401" i="9"/>
  <c r="A3400" i="9"/>
  <c r="A3399" i="9"/>
  <c r="A3398" i="9"/>
  <c r="A3397" i="9"/>
  <c r="A3396" i="9"/>
  <c r="A3395" i="9"/>
  <c r="A3394" i="9"/>
  <c r="A3393" i="9"/>
  <c r="A3392" i="9"/>
  <c r="A3391" i="9"/>
  <c r="A3390" i="9"/>
  <c r="A3389" i="9"/>
  <c r="A3388" i="9"/>
  <c r="A3387" i="9"/>
  <c r="A3386" i="9"/>
  <c r="A3385" i="9"/>
  <c r="A3384" i="9"/>
  <c r="A3383" i="9"/>
  <c r="A3382" i="9"/>
  <c r="A3381" i="9"/>
  <c r="A3380" i="9"/>
  <c r="A3379" i="9"/>
  <c r="A3378" i="9"/>
  <c r="A3377" i="9"/>
  <c r="A3376" i="9"/>
  <c r="A3375" i="9"/>
  <c r="A3374" i="9"/>
  <c r="A3373" i="9"/>
  <c r="A3372" i="9"/>
  <c r="A3371" i="9"/>
  <c r="A3370" i="9"/>
  <c r="A3369" i="9"/>
  <c r="A3368" i="9"/>
  <c r="A3367" i="9"/>
  <c r="A3366" i="9"/>
  <c r="A3365" i="9"/>
  <c r="A3364" i="9"/>
  <c r="A3363" i="9"/>
  <c r="A3362" i="9"/>
  <c r="A3361" i="9"/>
  <c r="A3360" i="9"/>
  <c r="A3359" i="9"/>
  <c r="A3358" i="9"/>
  <c r="A3357" i="9"/>
  <c r="A3356" i="9"/>
  <c r="A3355" i="9"/>
  <c r="A3354" i="9"/>
  <c r="A3353" i="9"/>
  <c r="A3352" i="9"/>
  <c r="A3351" i="9"/>
  <c r="A3350" i="9"/>
  <c r="A3349" i="9"/>
  <c r="A3348" i="9"/>
  <c r="A3347" i="9"/>
  <c r="A3346" i="9"/>
  <c r="A3345" i="9"/>
  <c r="A3344" i="9"/>
  <c r="A3343" i="9"/>
  <c r="A3342" i="9"/>
  <c r="A3341" i="9"/>
  <c r="A3340" i="9"/>
  <c r="A3339" i="9"/>
  <c r="A3338" i="9"/>
  <c r="A3337" i="9"/>
  <c r="A3336" i="9"/>
  <c r="A3335" i="9"/>
  <c r="A3334" i="9"/>
  <c r="A3333" i="9"/>
  <c r="A3332" i="9"/>
  <c r="A3331" i="9"/>
  <c r="A3330" i="9"/>
  <c r="A3329" i="9"/>
  <c r="A3328" i="9"/>
  <c r="A3327" i="9"/>
  <c r="A3326" i="9"/>
  <c r="A3325" i="9"/>
  <c r="A3324" i="9"/>
  <c r="A3323" i="9"/>
  <c r="A3322" i="9"/>
  <c r="A3321" i="9"/>
  <c r="A3320" i="9"/>
  <c r="A3319" i="9"/>
  <c r="A3318" i="9"/>
  <c r="A3317" i="9"/>
  <c r="A3316" i="9"/>
  <c r="A3315" i="9"/>
  <c r="A3314" i="9"/>
  <c r="A3313" i="9"/>
  <c r="A3312" i="9"/>
  <c r="A3311" i="9"/>
  <c r="A3310" i="9"/>
  <c r="A3309" i="9"/>
  <c r="A3308" i="9"/>
  <c r="A3307" i="9"/>
  <c r="A3306" i="9"/>
  <c r="A3305" i="9"/>
  <c r="A3304" i="9"/>
  <c r="A3303" i="9"/>
  <c r="A3302" i="9"/>
  <c r="A3301" i="9"/>
  <c r="A3300" i="9"/>
  <c r="A3299" i="9"/>
  <c r="A3298" i="9"/>
  <c r="A3297" i="9"/>
  <c r="A3296" i="9"/>
  <c r="A3295" i="9"/>
  <c r="A3294" i="9"/>
  <c r="A3293" i="9"/>
  <c r="A3292" i="9"/>
  <c r="A3291" i="9"/>
  <c r="A3290" i="9"/>
  <c r="A3289" i="9"/>
  <c r="A3288" i="9"/>
  <c r="A3287" i="9"/>
  <c r="A3286" i="9"/>
  <c r="A3285" i="9"/>
  <c r="A3284" i="9"/>
  <c r="A3283" i="9"/>
  <c r="A3282" i="9"/>
  <c r="A3281" i="9"/>
  <c r="A3280" i="9"/>
  <c r="A3279" i="9"/>
  <c r="A3278" i="9"/>
  <c r="A3277" i="9"/>
  <c r="A3276" i="9"/>
  <c r="A3275" i="9"/>
  <c r="A3274" i="9"/>
  <c r="A3273" i="9"/>
  <c r="A3272" i="9"/>
  <c r="A3271" i="9"/>
  <c r="A3270" i="9"/>
  <c r="A3269" i="9"/>
  <c r="A3268" i="9"/>
  <c r="A3267" i="9"/>
  <c r="A3266" i="9"/>
  <c r="A3265" i="9"/>
  <c r="A3264" i="9"/>
  <c r="A3263" i="9"/>
  <c r="A3262" i="9"/>
  <c r="A3261" i="9"/>
  <c r="A3260" i="9"/>
  <c r="A3259" i="9"/>
  <c r="A3258" i="9"/>
  <c r="A3257" i="9"/>
  <c r="A3256" i="9"/>
  <c r="A3255" i="9"/>
  <c r="A3254" i="9"/>
  <c r="A3253" i="9"/>
  <c r="A3252" i="9"/>
  <c r="A3251" i="9"/>
  <c r="A3250" i="9"/>
  <c r="A3249" i="9"/>
  <c r="A3248" i="9"/>
  <c r="A3247" i="9"/>
  <c r="A3246" i="9"/>
  <c r="A3245" i="9"/>
  <c r="A3244" i="9"/>
  <c r="A3243" i="9"/>
  <c r="A3242" i="9"/>
  <c r="A3241" i="9"/>
  <c r="A3240" i="9"/>
  <c r="A3239" i="9"/>
  <c r="A3238" i="9"/>
  <c r="A3237" i="9"/>
  <c r="A3236" i="9"/>
  <c r="A3235" i="9"/>
  <c r="A3234" i="9"/>
  <c r="A3233" i="9"/>
  <c r="A3232" i="9"/>
  <c r="A3231" i="9"/>
  <c r="A3230" i="9"/>
  <c r="A3229" i="9"/>
  <c r="A3228" i="9"/>
  <c r="A3227" i="9"/>
  <c r="A3226" i="9"/>
  <c r="A3225" i="9"/>
  <c r="A3224" i="9"/>
  <c r="A3223" i="9"/>
  <c r="A3222" i="9"/>
  <c r="A3221" i="9"/>
  <c r="A3220" i="9"/>
  <c r="A3219" i="9"/>
  <c r="A3218" i="9"/>
  <c r="A3217" i="9"/>
  <c r="A3216" i="9"/>
  <c r="A3215" i="9"/>
  <c r="A3214" i="9"/>
  <c r="A3213" i="9"/>
  <c r="A3212" i="9"/>
  <c r="A3211" i="9"/>
  <c r="A3210" i="9"/>
  <c r="A3209" i="9"/>
  <c r="A3208" i="9"/>
  <c r="A3207" i="9"/>
  <c r="A3206" i="9"/>
  <c r="A3205" i="9"/>
  <c r="A3204" i="9"/>
  <c r="A3203" i="9"/>
  <c r="A3202" i="9"/>
  <c r="A3201" i="9"/>
  <c r="A3200" i="9"/>
  <c r="A3199" i="9"/>
  <c r="A3198" i="9"/>
  <c r="A3197" i="9"/>
  <c r="A3196" i="9"/>
  <c r="A3195" i="9"/>
  <c r="A3194" i="9"/>
  <c r="A3193" i="9"/>
  <c r="A3192" i="9"/>
  <c r="A3191" i="9"/>
  <c r="A3190" i="9"/>
  <c r="A3189" i="9"/>
  <c r="A3188" i="9"/>
  <c r="A3187" i="9"/>
  <c r="A3186" i="9"/>
  <c r="A3185" i="9"/>
  <c r="A3184" i="9"/>
  <c r="A3183" i="9"/>
  <c r="A3182" i="9"/>
  <c r="A3181" i="9"/>
  <c r="A3180" i="9"/>
  <c r="A3179" i="9"/>
  <c r="A3178" i="9"/>
  <c r="A3177" i="9"/>
  <c r="A3176" i="9"/>
  <c r="A3175" i="9"/>
  <c r="A3174" i="9"/>
  <c r="A3173" i="9"/>
  <c r="A3172" i="9"/>
  <c r="A3171" i="9"/>
  <c r="A3170" i="9"/>
  <c r="A3169" i="9"/>
  <c r="A3168" i="9"/>
  <c r="A3167" i="9"/>
  <c r="A3166" i="9"/>
  <c r="A3165" i="9"/>
  <c r="A3164" i="9"/>
  <c r="A3163" i="9"/>
  <c r="A3162" i="9"/>
  <c r="A3161" i="9"/>
  <c r="A3160" i="9"/>
  <c r="A3159" i="9"/>
  <c r="A3158" i="9"/>
  <c r="A3157" i="9"/>
  <c r="A3156" i="9"/>
  <c r="A3155" i="9"/>
  <c r="A3154" i="9"/>
  <c r="A3153" i="9"/>
  <c r="A3152" i="9"/>
  <c r="A3151" i="9"/>
  <c r="A3150" i="9"/>
  <c r="A3149" i="9"/>
  <c r="A3148" i="9"/>
  <c r="A3147" i="9"/>
  <c r="A3146" i="9"/>
  <c r="A3145" i="9"/>
  <c r="A3144" i="9"/>
  <c r="A3143" i="9"/>
  <c r="A3142" i="9"/>
  <c r="A3141" i="9"/>
  <c r="A3140" i="9"/>
  <c r="A3139" i="9"/>
  <c r="A3138" i="9"/>
  <c r="A3137" i="9"/>
  <c r="A3136" i="9"/>
  <c r="A3135" i="9"/>
  <c r="A3134" i="9"/>
  <c r="A3133" i="9"/>
  <c r="A3132" i="9"/>
  <c r="A3131" i="9"/>
  <c r="A3130" i="9"/>
  <c r="A3129" i="9"/>
  <c r="A3128" i="9"/>
  <c r="A3127" i="9"/>
  <c r="A3126" i="9"/>
  <c r="A3125" i="9"/>
  <c r="A3124" i="9"/>
  <c r="A3123" i="9"/>
  <c r="A3122" i="9"/>
  <c r="A3121" i="9"/>
  <c r="A3120" i="9"/>
  <c r="A3119" i="9"/>
  <c r="A3118" i="9"/>
  <c r="A3117" i="9"/>
  <c r="A3116" i="9"/>
  <c r="A3115" i="9"/>
  <c r="A3114" i="9"/>
  <c r="A3113" i="9"/>
  <c r="A3112" i="9"/>
  <c r="A3111" i="9"/>
  <c r="A3110" i="9"/>
  <c r="A3109" i="9"/>
  <c r="A3108" i="9"/>
  <c r="A3107" i="9"/>
  <c r="A3106" i="9"/>
  <c r="A3105" i="9"/>
  <c r="A3104" i="9"/>
  <c r="A3103" i="9"/>
  <c r="A3102" i="9"/>
  <c r="A3101" i="9"/>
  <c r="A3100" i="9"/>
  <c r="A3099" i="9"/>
  <c r="A3098" i="9"/>
  <c r="A3097" i="9"/>
  <c r="A3096" i="9"/>
  <c r="A3095" i="9"/>
  <c r="A3094" i="9"/>
  <c r="A3093" i="9"/>
  <c r="A3092" i="9"/>
  <c r="A3091" i="9"/>
  <c r="A3090" i="9"/>
  <c r="A3089" i="9"/>
  <c r="A3088" i="9"/>
  <c r="A3087" i="9"/>
  <c r="A3086" i="9"/>
  <c r="A3085" i="9"/>
  <c r="A3084" i="9"/>
  <c r="A3083" i="9"/>
  <c r="A3082" i="9"/>
  <c r="A3081" i="9"/>
  <c r="A3080" i="9"/>
  <c r="A3079" i="9"/>
  <c r="A3078" i="9"/>
  <c r="A3077" i="9"/>
  <c r="A3076" i="9"/>
  <c r="A3075" i="9"/>
  <c r="A3074" i="9"/>
  <c r="A3073" i="9"/>
  <c r="A3072" i="9"/>
  <c r="A3071" i="9"/>
  <c r="A3070" i="9"/>
  <c r="A3069" i="9"/>
  <c r="A3068" i="9"/>
  <c r="A3067" i="9"/>
  <c r="A3066" i="9"/>
  <c r="A3065" i="9"/>
  <c r="A3064" i="9"/>
  <c r="A3063" i="9"/>
  <c r="A3062" i="9"/>
  <c r="A3061" i="9"/>
  <c r="A3060" i="9"/>
  <c r="A3059" i="9"/>
  <c r="A3058" i="9"/>
  <c r="A3057" i="9"/>
  <c r="A3056" i="9"/>
  <c r="A3055" i="9"/>
  <c r="A3054" i="9"/>
  <c r="A3053" i="9"/>
  <c r="A3052" i="9"/>
  <c r="A3051" i="9"/>
  <c r="A3050" i="9"/>
  <c r="A3049" i="9"/>
  <c r="A3048" i="9"/>
  <c r="A3047" i="9"/>
  <c r="A3046" i="9"/>
  <c r="A3045" i="9"/>
  <c r="A3044" i="9"/>
  <c r="A3043" i="9"/>
  <c r="A3042" i="9"/>
  <c r="A3041" i="9"/>
  <c r="A3040" i="9"/>
  <c r="A3039" i="9"/>
  <c r="A3038" i="9"/>
  <c r="A3037" i="9"/>
  <c r="A3036" i="9"/>
  <c r="A3035" i="9"/>
  <c r="A3034" i="9"/>
  <c r="A3033" i="9"/>
  <c r="A3032" i="9"/>
  <c r="A3031" i="9"/>
  <c r="A3030" i="9"/>
  <c r="A3029" i="9"/>
  <c r="A3028" i="9"/>
  <c r="A3027" i="9"/>
  <c r="A3026" i="9"/>
  <c r="A3025" i="9"/>
  <c r="A3024" i="9"/>
  <c r="A3023" i="9"/>
  <c r="A3022" i="9"/>
  <c r="A3021" i="9"/>
  <c r="A3020" i="9"/>
  <c r="A3019" i="9"/>
  <c r="A3018" i="9"/>
  <c r="A3017" i="9"/>
  <c r="A3016" i="9"/>
  <c r="A3015" i="9"/>
  <c r="A3014" i="9"/>
  <c r="A3013" i="9"/>
  <c r="A3012" i="9"/>
  <c r="A3011" i="9"/>
  <c r="A3010" i="9"/>
  <c r="A3009" i="9"/>
  <c r="A3008" i="9"/>
  <c r="A3007" i="9"/>
  <c r="A3006" i="9"/>
  <c r="A3005" i="9"/>
  <c r="A3004" i="9"/>
  <c r="A3003" i="9"/>
  <c r="A3002" i="9"/>
  <c r="A3001" i="9"/>
  <c r="A3000" i="9"/>
  <c r="A2999" i="9"/>
  <c r="A2998" i="9"/>
  <c r="A2997" i="9"/>
  <c r="A2996" i="9"/>
  <c r="A2995" i="9"/>
  <c r="A2994" i="9"/>
  <c r="A2993" i="9"/>
  <c r="A2992" i="9"/>
  <c r="A2991" i="9"/>
  <c r="A2990" i="9"/>
  <c r="A2989" i="9"/>
  <c r="A2988" i="9"/>
  <c r="A2987" i="9"/>
  <c r="A2986" i="9"/>
  <c r="A2985" i="9"/>
  <c r="A2984" i="9"/>
  <c r="A2983" i="9"/>
  <c r="A2982" i="9"/>
  <c r="A2981" i="9"/>
  <c r="A2980" i="9"/>
  <c r="A2979" i="9"/>
  <c r="A2978" i="9"/>
  <c r="A2977" i="9"/>
  <c r="A2976" i="9"/>
  <c r="A2975" i="9"/>
  <c r="A2974" i="9"/>
  <c r="A2973" i="9"/>
  <c r="A2972" i="9"/>
  <c r="A2971" i="9"/>
  <c r="A2970" i="9"/>
  <c r="A2969" i="9"/>
  <c r="A2968" i="9"/>
  <c r="A2967" i="9"/>
  <c r="A2966" i="9"/>
  <c r="A2965" i="9"/>
  <c r="A2964" i="9"/>
  <c r="A2963" i="9"/>
  <c r="A2962" i="9"/>
  <c r="A2961" i="9"/>
  <c r="A2960" i="9"/>
  <c r="A2959" i="9"/>
  <c r="A2958" i="9"/>
  <c r="A2957" i="9"/>
  <c r="A2956" i="9"/>
  <c r="A2955" i="9"/>
  <c r="A2954" i="9"/>
  <c r="A2953" i="9"/>
  <c r="A2952" i="9"/>
  <c r="A2951" i="9"/>
  <c r="A2950" i="9"/>
  <c r="A2949" i="9"/>
  <c r="A2948" i="9"/>
  <c r="A2947" i="9"/>
  <c r="A2946" i="9"/>
  <c r="A2945" i="9"/>
  <c r="A2944" i="9"/>
  <c r="A2943" i="9"/>
  <c r="A2942" i="9"/>
  <c r="A2941" i="9"/>
  <c r="A2940" i="9"/>
  <c r="A2939" i="9"/>
  <c r="A2938" i="9"/>
  <c r="A2937" i="9"/>
  <c r="A2936" i="9"/>
  <c r="A2935" i="9"/>
  <c r="A2934" i="9"/>
  <c r="A2933" i="9"/>
  <c r="A2932" i="9"/>
  <c r="A2931" i="9"/>
  <c r="A2930" i="9"/>
  <c r="A2929" i="9"/>
  <c r="A2928" i="9"/>
  <c r="A2927" i="9"/>
  <c r="A2926" i="9"/>
  <c r="A2925" i="9"/>
  <c r="A2924" i="9"/>
  <c r="A2923" i="9"/>
  <c r="A2922" i="9"/>
  <c r="A2921" i="9"/>
  <c r="A2920" i="9"/>
  <c r="A2919" i="9"/>
  <c r="A2918" i="9"/>
  <c r="A2917" i="9"/>
  <c r="A2916" i="9"/>
  <c r="A2915" i="9"/>
  <c r="A2914" i="9"/>
  <c r="A2913" i="9"/>
  <c r="A2912" i="9"/>
  <c r="A2911" i="9"/>
  <c r="A2910" i="9"/>
  <c r="A2909" i="9"/>
  <c r="A2908" i="9"/>
  <c r="A2907" i="9"/>
  <c r="A2906" i="9"/>
  <c r="A2905" i="9"/>
  <c r="A2904" i="9"/>
  <c r="A2903" i="9"/>
  <c r="A2902" i="9"/>
  <c r="A2901" i="9"/>
  <c r="A2900" i="9"/>
  <c r="A2899" i="9"/>
  <c r="A2898" i="9"/>
  <c r="A2897" i="9"/>
  <c r="A2896" i="9"/>
  <c r="A2895" i="9"/>
  <c r="A2894" i="9"/>
  <c r="A2893" i="9"/>
  <c r="A2892" i="9"/>
  <c r="A2891" i="9"/>
  <c r="A2890" i="9"/>
  <c r="A2889" i="9"/>
  <c r="A2888" i="9"/>
  <c r="A2887" i="9"/>
  <c r="A2886" i="9"/>
  <c r="A2885" i="9"/>
  <c r="A2884" i="9"/>
  <c r="A2883" i="9"/>
  <c r="A2882" i="9"/>
  <c r="A2881" i="9"/>
  <c r="A2880" i="9"/>
  <c r="A2879" i="9"/>
  <c r="A2878" i="9"/>
  <c r="A2877" i="9"/>
  <c r="A2876" i="9"/>
  <c r="A2875" i="9"/>
  <c r="A2874" i="9"/>
  <c r="A2873" i="9"/>
  <c r="A2872" i="9"/>
  <c r="A2871" i="9"/>
  <c r="A2870" i="9"/>
  <c r="A2869" i="9"/>
  <c r="A2868" i="9"/>
  <c r="A2867" i="9"/>
  <c r="A2866" i="9"/>
  <c r="A2865" i="9"/>
  <c r="A2864" i="9"/>
  <c r="A2863" i="9"/>
  <c r="A2862" i="9"/>
  <c r="A2861" i="9"/>
  <c r="A2860" i="9"/>
  <c r="A2859" i="9"/>
  <c r="A2858" i="9"/>
  <c r="A2857" i="9"/>
  <c r="A2856" i="9"/>
  <c r="A2855" i="9"/>
  <c r="A2854" i="9"/>
  <c r="A2853" i="9"/>
  <c r="A2852" i="9"/>
  <c r="A2851" i="9"/>
  <c r="A2850" i="9"/>
  <c r="A2849" i="9"/>
  <c r="A2848" i="9"/>
  <c r="A2847" i="9"/>
  <c r="A2846" i="9"/>
  <c r="A2845" i="9"/>
  <c r="A2844" i="9"/>
  <c r="A2843" i="9"/>
  <c r="A2842" i="9"/>
  <c r="A2841" i="9"/>
  <c r="A2840" i="9"/>
  <c r="A2839" i="9"/>
  <c r="A2838" i="9"/>
  <c r="A2837" i="9"/>
  <c r="A2836" i="9"/>
  <c r="A2835" i="9"/>
  <c r="A2834" i="9"/>
  <c r="A2833" i="9"/>
  <c r="A2832" i="9"/>
  <c r="A2831" i="9"/>
  <c r="A2830" i="9"/>
  <c r="A2829" i="9"/>
  <c r="A2828" i="9"/>
  <c r="A2827" i="9"/>
  <c r="A2826" i="9"/>
  <c r="A2825" i="9"/>
  <c r="A2824" i="9"/>
  <c r="A2823" i="9"/>
  <c r="A2822" i="9"/>
  <c r="A2821" i="9"/>
  <c r="A2820" i="9"/>
  <c r="A2819" i="9"/>
  <c r="A2818" i="9"/>
  <c r="A2817" i="9"/>
  <c r="A2816" i="9"/>
  <c r="A2815" i="9"/>
  <c r="A2814" i="9"/>
  <c r="A2813" i="9"/>
  <c r="A2812" i="9"/>
  <c r="A2811" i="9"/>
  <c r="A2810" i="9"/>
  <c r="A2809" i="9"/>
  <c r="A2808" i="9"/>
  <c r="A2807" i="9"/>
  <c r="A2806" i="9"/>
  <c r="A2805" i="9"/>
  <c r="A2804" i="9"/>
  <c r="A2803" i="9"/>
  <c r="A2802" i="9"/>
  <c r="A2801" i="9"/>
  <c r="A2800" i="9"/>
  <c r="A2799" i="9"/>
  <c r="A2798" i="9"/>
  <c r="A2797" i="9"/>
  <c r="A2796" i="9"/>
  <c r="A2795" i="9"/>
  <c r="A2794" i="9"/>
  <c r="A2793" i="9"/>
  <c r="A2792" i="9"/>
  <c r="A2791" i="9"/>
  <c r="A2790" i="9"/>
  <c r="A2789" i="9"/>
  <c r="A2788" i="9"/>
  <c r="A2787" i="9"/>
  <c r="A2786" i="9"/>
  <c r="A2785" i="9"/>
  <c r="A2784" i="9"/>
  <c r="A2783" i="9"/>
  <c r="A2782" i="9"/>
  <c r="A2781" i="9"/>
  <c r="A2780" i="9"/>
  <c r="A2779" i="9"/>
  <c r="A2778" i="9"/>
  <c r="A2777" i="9"/>
  <c r="A2776" i="9"/>
  <c r="A2775" i="9"/>
  <c r="A2774" i="9"/>
  <c r="A2773" i="9"/>
  <c r="A2772" i="9"/>
  <c r="A2771" i="9"/>
  <c r="A2770" i="9"/>
  <c r="A2769" i="9"/>
  <c r="A2768" i="9"/>
  <c r="A2767" i="9"/>
  <c r="A2766" i="9"/>
  <c r="A2765" i="9"/>
  <c r="A2764" i="9"/>
  <c r="A2763" i="9"/>
  <c r="A2762" i="9"/>
  <c r="A2761" i="9"/>
  <c r="A2760" i="9"/>
  <c r="A2759" i="9"/>
  <c r="A2758" i="9"/>
  <c r="A2757" i="9"/>
  <c r="A2756" i="9"/>
  <c r="A2755" i="9"/>
  <c r="A2754" i="9"/>
  <c r="A2753" i="9"/>
  <c r="A2752" i="9"/>
  <c r="A2751" i="9"/>
  <c r="A2750" i="9"/>
  <c r="A2749" i="9"/>
  <c r="A2748" i="9"/>
  <c r="A2747" i="9"/>
  <c r="A2746" i="9"/>
  <c r="A2745" i="9"/>
  <c r="A2744" i="9"/>
  <c r="A2743" i="9"/>
  <c r="A2742" i="9"/>
  <c r="A2741" i="9"/>
  <c r="A2740" i="9"/>
  <c r="A2739" i="9"/>
  <c r="A2738" i="9"/>
  <c r="A2737" i="9"/>
  <c r="A2736" i="9"/>
  <c r="A2735" i="9"/>
  <c r="A2734" i="9"/>
  <c r="A2733" i="9"/>
  <c r="A2732" i="9"/>
  <c r="A2731" i="9"/>
  <c r="A2730" i="9"/>
  <c r="A2729" i="9"/>
  <c r="A2728" i="9"/>
  <c r="A2727" i="9"/>
  <c r="A2726" i="9"/>
  <c r="A2725" i="9"/>
  <c r="A2724" i="9"/>
  <c r="A2723" i="9"/>
  <c r="A2722" i="9"/>
  <c r="A2721" i="9"/>
  <c r="A2720" i="9"/>
  <c r="A2719" i="9"/>
  <c r="A2718" i="9"/>
  <c r="A2717" i="9"/>
  <c r="A2716" i="9"/>
  <c r="A2715" i="9"/>
  <c r="A2714" i="9"/>
  <c r="A2713" i="9"/>
  <c r="A2712" i="9"/>
  <c r="A2711" i="9"/>
  <c r="A2710" i="9"/>
  <c r="A2709" i="9"/>
  <c r="A2708" i="9"/>
  <c r="A2707" i="9"/>
  <c r="A2706" i="9"/>
  <c r="A2705" i="9"/>
  <c r="A2704" i="9"/>
  <c r="A2703" i="9"/>
  <c r="A2702" i="9"/>
  <c r="A2701" i="9"/>
  <c r="A2700" i="9"/>
  <c r="A2699" i="9"/>
  <c r="A2698" i="9"/>
  <c r="A2697" i="9"/>
  <c r="A2696" i="9"/>
  <c r="A2695" i="9"/>
  <c r="A2694" i="9"/>
  <c r="A2693" i="9"/>
  <c r="A2692" i="9"/>
  <c r="A2691" i="9"/>
  <c r="A2690" i="9"/>
  <c r="A2689" i="9"/>
  <c r="A2688" i="9"/>
  <c r="A2687" i="9"/>
  <c r="A2686" i="9"/>
  <c r="A2685" i="9"/>
  <c r="A2684" i="9"/>
  <c r="A2683" i="9"/>
  <c r="A2682" i="9"/>
  <c r="A2681" i="9"/>
  <c r="A2680" i="9"/>
  <c r="A2679" i="9"/>
  <c r="A2678" i="9"/>
  <c r="A2677" i="9"/>
  <c r="A2676" i="9"/>
  <c r="A2675" i="9"/>
  <c r="A2674" i="9"/>
  <c r="A2673" i="9"/>
  <c r="A2672" i="9"/>
  <c r="A2671" i="9"/>
  <c r="A2670" i="9"/>
  <c r="A2669" i="9"/>
  <c r="A2668" i="9"/>
  <c r="A2667" i="9"/>
  <c r="A2666" i="9"/>
  <c r="A2665" i="9"/>
  <c r="A2664" i="9"/>
  <c r="A2663" i="9"/>
  <c r="A2662" i="9"/>
  <c r="A2661" i="9"/>
  <c r="A2660" i="9"/>
  <c r="A2659" i="9"/>
  <c r="A2658" i="9"/>
  <c r="A2657" i="9"/>
  <c r="A2656" i="9"/>
  <c r="A2655" i="9"/>
  <c r="A2654" i="9"/>
  <c r="A2653" i="9"/>
  <c r="A2652" i="9"/>
  <c r="A2651" i="9"/>
  <c r="A2650" i="9"/>
  <c r="A2649" i="9"/>
  <c r="A2648" i="9"/>
  <c r="A2647" i="9"/>
  <c r="A2646" i="9"/>
  <c r="A2645" i="9"/>
  <c r="A2644" i="9"/>
  <c r="A2643" i="9"/>
  <c r="A2642" i="9"/>
  <c r="A2641" i="9"/>
  <c r="A2640" i="9"/>
  <c r="A2639" i="9"/>
  <c r="A2638" i="9"/>
  <c r="A2637" i="9"/>
  <c r="A2636" i="9"/>
  <c r="A2635" i="9"/>
  <c r="A2634" i="9"/>
  <c r="A2633" i="9"/>
  <c r="A2632" i="9"/>
  <c r="A2631" i="9"/>
  <c r="A2630" i="9"/>
  <c r="A2629" i="9"/>
  <c r="A2628" i="9"/>
  <c r="A2627" i="9"/>
  <c r="A2626" i="9"/>
  <c r="A2625" i="9"/>
  <c r="A2624" i="9"/>
  <c r="A2623" i="9"/>
  <c r="A2622" i="9"/>
  <c r="A2621" i="9"/>
  <c r="A2620" i="9"/>
  <c r="A2619" i="9"/>
  <c r="A2618" i="9"/>
  <c r="A2617" i="9"/>
  <c r="A2616" i="9"/>
  <c r="A2615" i="9"/>
  <c r="A2614" i="9"/>
  <c r="A2613" i="9"/>
  <c r="A2612" i="9"/>
  <c r="A2611" i="9"/>
  <c r="A2610" i="9"/>
  <c r="A2609" i="9"/>
  <c r="A2608" i="9"/>
  <c r="A2607" i="9"/>
  <c r="A2606" i="9"/>
  <c r="A2605" i="9"/>
  <c r="A2604" i="9"/>
  <c r="A2603" i="9"/>
  <c r="A2602" i="9"/>
  <c r="A2601" i="9"/>
  <c r="A2600" i="9"/>
  <c r="A2599" i="9"/>
  <c r="A2598" i="9"/>
  <c r="A2597" i="9"/>
  <c r="A2596" i="9"/>
  <c r="A2595" i="9"/>
  <c r="A2594" i="9"/>
  <c r="A2593" i="9"/>
  <c r="A2592" i="9"/>
  <c r="A2591" i="9"/>
  <c r="A2590" i="9"/>
  <c r="A2589" i="9"/>
  <c r="A2588" i="9"/>
  <c r="A2587" i="9"/>
  <c r="A2586" i="9"/>
  <c r="A2585" i="9"/>
  <c r="A2584" i="9"/>
  <c r="A2583" i="9"/>
  <c r="A2582" i="9"/>
  <c r="A2581" i="9"/>
  <c r="A2580" i="9"/>
  <c r="A2579" i="9"/>
  <c r="A2578" i="9"/>
  <c r="A2577" i="9"/>
  <c r="A2576" i="9"/>
  <c r="A2575" i="9"/>
  <c r="A2574" i="9"/>
  <c r="A2573" i="9"/>
  <c r="A2572" i="9"/>
  <c r="A2571" i="9"/>
  <c r="A2570" i="9"/>
  <c r="A2569" i="9"/>
  <c r="A2568" i="9"/>
  <c r="A2567" i="9"/>
  <c r="A2566" i="9"/>
  <c r="A2565" i="9"/>
  <c r="A2564" i="9"/>
  <c r="A2563" i="9"/>
  <c r="A2562" i="9"/>
  <c r="A2561" i="9"/>
  <c r="A2560" i="9"/>
  <c r="A2559" i="9"/>
  <c r="A2558" i="9"/>
  <c r="A2557" i="9"/>
  <c r="A2556" i="9"/>
  <c r="A2555" i="9"/>
  <c r="A2554" i="9"/>
  <c r="A2553" i="9"/>
  <c r="A2552" i="9"/>
  <c r="A2551" i="9"/>
  <c r="A2550" i="9"/>
  <c r="A2549" i="9"/>
  <c r="A2548" i="9"/>
  <c r="A2547" i="9"/>
  <c r="A2546" i="9"/>
  <c r="A2545" i="9"/>
  <c r="A2544" i="9"/>
  <c r="A2543" i="9"/>
  <c r="A2542" i="9"/>
  <c r="A2541" i="9"/>
  <c r="A2540" i="9"/>
  <c r="A2539" i="9"/>
  <c r="A2538" i="9"/>
  <c r="A2537" i="9"/>
  <c r="A2536" i="9"/>
  <c r="A2535" i="9"/>
  <c r="A2534" i="9"/>
  <c r="A2533" i="9"/>
  <c r="A2532" i="9"/>
  <c r="A2531" i="9"/>
  <c r="A2530" i="9"/>
  <c r="A2529" i="9"/>
  <c r="A2528" i="9"/>
  <c r="A2527" i="9"/>
  <c r="A2526" i="9"/>
  <c r="A2525" i="9"/>
  <c r="A2524" i="9"/>
  <c r="A2523" i="9"/>
  <c r="A2522" i="9"/>
  <c r="A2521" i="9"/>
  <c r="A2520" i="9"/>
  <c r="A2519" i="9"/>
  <c r="A2518" i="9"/>
  <c r="A2517" i="9"/>
  <c r="A2516" i="9"/>
  <c r="A2515" i="9"/>
  <c r="A2514" i="9"/>
  <c r="A2513" i="9"/>
  <c r="A2512" i="9"/>
  <c r="A2511" i="9"/>
  <c r="A2510" i="9"/>
  <c r="A2509" i="9"/>
  <c r="A2508" i="9"/>
  <c r="A2507" i="9"/>
  <c r="A2506" i="9"/>
  <c r="A2505" i="9"/>
  <c r="A2504" i="9"/>
  <c r="A2503" i="9"/>
  <c r="A2502" i="9"/>
  <c r="A2501" i="9"/>
  <c r="A2500" i="9"/>
  <c r="A2499" i="9"/>
  <c r="A2498" i="9"/>
  <c r="A2497" i="9"/>
  <c r="A2496" i="9"/>
  <c r="A2495" i="9"/>
  <c r="A2494" i="9"/>
  <c r="A2493" i="9"/>
  <c r="A2492" i="9"/>
  <c r="A2491" i="9"/>
  <c r="A2490" i="9"/>
  <c r="A2489" i="9"/>
  <c r="A2488" i="9"/>
  <c r="A2487" i="9"/>
  <c r="A2486" i="9"/>
  <c r="A2485" i="9"/>
  <c r="A2484" i="9"/>
  <c r="A2483" i="9"/>
  <c r="A2482" i="9"/>
  <c r="A2481" i="9"/>
  <c r="A2480" i="9"/>
  <c r="A2479" i="9"/>
  <c r="A2478" i="9"/>
  <c r="A2477" i="9"/>
  <c r="A2476" i="9"/>
  <c r="A2475" i="9"/>
  <c r="A2474" i="9"/>
  <c r="A2473" i="9"/>
  <c r="A2472" i="9"/>
  <c r="A2471" i="9"/>
  <c r="A2470" i="9"/>
  <c r="A2469" i="9"/>
  <c r="A2468" i="9"/>
  <c r="A2467" i="9"/>
  <c r="A2466" i="9"/>
  <c r="A2465" i="9"/>
  <c r="A2464" i="9"/>
  <c r="A2463" i="9"/>
  <c r="A2462" i="9"/>
  <c r="A2461" i="9"/>
  <c r="A2460" i="9"/>
  <c r="A2459" i="9"/>
  <c r="A2458" i="9"/>
  <c r="A2457" i="9"/>
  <c r="A2456" i="9"/>
  <c r="A2455" i="9"/>
  <c r="A2454" i="9"/>
  <c r="A2453" i="9"/>
  <c r="A2452" i="9"/>
  <c r="A2451" i="9"/>
  <c r="A2450" i="9"/>
  <c r="A2449" i="9"/>
  <c r="A2448" i="9"/>
  <c r="A2447" i="9"/>
  <c r="A2446" i="9"/>
  <c r="A2445" i="9"/>
  <c r="A2444" i="9"/>
  <c r="A2443" i="9"/>
  <c r="A2442" i="9"/>
  <c r="A2441" i="9"/>
  <c r="A2440" i="9"/>
  <c r="A2439" i="9"/>
  <c r="A2438" i="9"/>
  <c r="A2437" i="9"/>
  <c r="A2436" i="9"/>
  <c r="A2435" i="9"/>
  <c r="A2434" i="9"/>
  <c r="A2433" i="9"/>
  <c r="A2432" i="9"/>
  <c r="A2431" i="9"/>
  <c r="A2430" i="9"/>
  <c r="A2429" i="9"/>
  <c r="A2428" i="9"/>
  <c r="A2427" i="9"/>
  <c r="A2426" i="9"/>
  <c r="A2425" i="9"/>
  <c r="A2424" i="9"/>
  <c r="A2423" i="9"/>
  <c r="A2422" i="9"/>
  <c r="A2421" i="9"/>
  <c r="A2420" i="9"/>
  <c r="A2419" i="9"/>
  <c r="A2418" i="9"/>
  <c r="A2417" i="9"/>
  <c r="A2416" i="9"/>
  <c r="A2415" i="9"/>
  <c r="A2414" i="9"/>
  <c r="A2413" i="9"/>
  <c r="A2412" i="9"/>
  <c r="A2411" i="9"/>
  <c r="A2410" i="9"/>
  <c r="A2409" i="9"/>
  <c r="A2408" i="9"/>
  <c r="A2407" i="9"/>
  <c r="A2406" i="9"/>
  <c r="A2405" i="9"/>
  <c r="A2404" i="9"/>
  <c r="A2403" i="9"/>
  <c r="A2402" i="9"/>
  <c r="A2401" i="9"/>
  <c r="A2400" i="9"/>
  <c r="A2399" i="9"/>
  <c r="A2398" i="9"/>
  <c r="A2397" i="9"/>
  <c r="A2396" i="9"/>
  <c r="A2395" i="9"/>
  <c r="A2394" i="9"/>
  <c r="A2393" i="9"/>
  <c r="A2392" i="9"/>
  <c r="A2391" i="9"/>
  <c r="A2390" i="9"/>
  <c r="A2389" i="9"/>
  <c r="A2388" i="9"/>
  <c r="A2387" i="9"/>
  <c r="A2386" i="9"/>
  <c r="A2385" i="9"/>
  <c r="A2384" i="9"/>
  <c r="A2383" i="9"/>
  <c r="A2382" i="9"/>
  <c r="A2381" i="9"/>
  <c r="A2380" i="9"/>
  <c r="A2379" i="9"/>
  <c r="A2378" i="9"/>
  <c r="A2377" i="9"/>
  <c r="A2376" i="9"/>
  <c r="A2375" i="9"/>
  <c r="A2374" i="9"/>
  <c r="A2373" i="9"/>
  <c r="A2372" i="9"/>
  <c r="A2371" i="9"/>
  <c r="A2370" i="9"/>
  <c r="A2369" i="9"/>
  <c r="A2368" i="9"/>
  <c r="A2367" i="9"/>
  <c r="A2366" i="9"/>
  <c r="A2365" i="9"/>
  <c r="A2364" i="9"/>
  <c r="A2363" i="9"/>
  <c r="A2362" i="9"/>
  <c r="A2361" i="9"/>
  <c r="A2360" i="9"/>
  <c r="A2359" i="9"/>
  <c r="A2358" i="9"/>
  <c r="A2357" i="9"/>
  <c r="A2356" i="9"/>
  <c r="A2355" i="9"/>
  <c r="A2354" i="9"/>
  <c r="A2353" i="9"/>
  <c r="A2352" i="9"/>
  <c r="A2351" i="9"/>
  <c r="A2350" i="9"/>
  <c r="A2349" i="9"/>
  <c r="A2348" i="9"/>
  <c r="A2347" i="9"/>
  <c r="A2346" i="9"/>
  <c r="A2345" i="9"/>
  <c r="A2344" i="9"/>
  <c r="A2343" i="9"/>
  <c r="A2342" i="9"/>
  <c r="A2341" i="9"/>
  <c r="A2340" i="9"/>
  <c r="A2339" i="9"/>
  <c r="A2338" i="9"/>
  <c r="A2337" i="9"/>
  <c r="A2336" i="9"/>
  <c r="A2335" i="9"/>
  <c r="A2334" i="9"/>
  <c r="A2333" i="9"/>
  <c r="A2332" i="9"/>
  <c r="A2331" i="9"/>
  <c r="A2330" i="9"/>
  <c r="A2329" i="9"/>
  <c r="A2328" i="9"/>
  <c r="A2327" i="9"/>
  <c r="A2326" i="9"/>
  <c r="A2325" i="9"/>
  <c r="A2324" i="9"/>
  <c r="A2323" i="9"/>
  <c r="A2322" i="9"/>
  <c r="A2321" i="9"/>
  <c r="A2320" i="9"/>
  <c r="A2319" i="9"/>
  <c r="A2318" i="9"/>
  <c r="A2317" i="9"/>
  <c r="A2316" i="9"/>
  <c r="A2315" i="9"/>
  <c r="A2314" i="9"/>
  <c r="A2313" i="9"/>
  <c r="A2312" i="9"/>
  <c r="A2311" i="9"/>
  <c r="A2310" i="9"/>
  <c r="A2309" i="9"/>
  <c r="A2308" i="9"/>
  <c r="A2307" i="9"/>
  <c r="A2306" i="9"/>
  <c r="A2305" i="9"/>
  <c r="A2304" i="9"/>
  <c r="A2303" i="9"/>
  <c r="A2302" i="9"/>
  <c r="A2301" i="9"/>
  <c r="A2300" i="9"/>
  <c r="A2299" i="9"/>
  <c r="A2298" i="9"/>
  <c r="A2297" i="9"/>
  <c r="A2296" i="9"/>
  <c r="A2295" i="9"/>
  <c r="A2294" i="9"/>
  <c r="A2293" i="9"/>
  <c r="A2292" i="9"/>
  <c r="A2291" i="9"/>
  <c r="A2290" i="9"/>
  <c r="A2289" i="9"/>
  <c r="A2288" i="9"/>
  <c r="A2287" i="9"/>
  <c r="A2286" i="9"/>
  <c r="A2285" i="9"/>
  <c r="A2284" i="9"/>
  <c r="A2283" i="9"/>
  <c r="A2282" i="9"/>
  <c r="A2281" i="9"/>
  <c r="A2280" i="9"/>
  <c r="A2279" i="9"/>
  <c r="A2278" i="9"/>
  <c r="A2277" i="9"/>
  <c r="A2276" i="9"/>
  <c r="A2275" i="9"/>
  <c r="A2274" i="9"/>
  <c r="A2273" i="9"/>
  <c r="A2272" i="9"/>
  <c r="A2271" i="9"/>
  <c r="A2270" i="9"/>
  <c r="A2269" i="9"/>
  <c r="A2268" i="9"/>
  <c r="A2267" i="9"/>
  <c r="A2266" i="9"/>
  <c r="A2265" i="9"/>
  <c r="A2264" i="9"/>
  <c r="A2263" i="9"/>
  <c r="A2262" i="9"/>
  <c r="A2261" i="9"/>
  <c r="A2260" i="9"/>
  <c r="A2259" i="9"/>
  <c r="A2258" i="9"/>
  <c r="A2257" i="9"/>
  <c r="A2256" i="9"/>
  <c r="A2255" i="9"/>
  <c r="A2254" i="9"/>
  <c r="A2253" i="9"/>
  <c r="A2252" i="9"/>
  <c r="A2251" i="9"/>
  <c r="A2250" i="9"/>
  <c r="A2249" i="9"/>
  <c r="A2248" i="9"/>
  <c r="A2247" i="9"/>
  <c r="A2246" i="9"/>
  <c r="A2245" i="9"/>
  <c r="A2244" i="9"/>
  <c r="A2243" i="9"/>
  <c r="A2242" i="9"/>
  <c r="A2241" i="9"/>
  <c r="A2240" i="9"/>
  <c r="A2239" i="9"/>
  <c r="A2238" i="9"/>
  <c r="A2237" i="9"/>
  <c r="A2236" i="9"/>
  <c r="A2235" i="9"/>
  <c r="A2234" i="9"/>
  <c r="A2233" i="9"/>
  <c r="A2232" i="9"/>
  <c r="A2231" i="9"/>
  <c r="A2230" i="9"/>
  <c r="A2229" i="9"/>
  <c r="A2228" i="9"/>
  <c r="A2227" i="9"/>
  <c r="A2226" i="9"/>
  <c r="A2225" i="9"/>
  <c r="A2224" i="9"/>
  <c r="A2223" i="9"/>
  <c r="A2222" i="9"/>
  <c r="A2221" i="9"/>
  <c r="A2220" i="9"/>
  <c r="A2219" i="9"/>
  <c r="A2218" i="9"/>
  <c r="A2217" i="9"/>
  <c r="A2216" i="9"/>
  <c r="A2215" i="9"/>
  <c r="A2214" i="9"/>
  <c r="A2213" i="9"/>
  <c r="A2212" i="9"/>
  <c r="A2211" i="9"/>
  <c r="A2210" i="9"/>
  <c r="A2209" i="9"/>
  <c r="A2208" i="9"/>
  <c r="A2207" i="9"/>
  <c r="A2206" i="9"/>
  <c r="A2205" i="9"/>
  <c r="A2204" i="9"/>
  <c r="A2203" i="9"/>
  <c r="A2202" i="9"/>
  <c r="A2201" i="9"/>
  <c r="A2200" i="9"/>
  <c r="A2199" i="9"/>
  <c r="A2198" i="9"/>
  <c r="A2197" i="9"/>
  <c r="A2196" i="9"/>
  <c r="A2195" i="9"/>
  <c r="A2194" i="9"/>
  <c r="A2193" i="9"/>
  <c r="A2192" i="9"/>
  <c r="A2191" i="9"/>
  <c r="A2190" i="9"/>
  <c r="A2189" i="9"/>
  <c r="A2188" i="9"/>
  <c r="A2187" i="9"/>
  <c r="A2186" i="9"/>
  <c r="A2185" i="9"/>
  <c r="A2184" i="9"/>
  <c r="A2183" i="9"/>
  <c r="A2182" i="9"/>
  <c r="A2181" i="9"/>
  <c r="A2180" i="9"/>
  <c r="A2179" i="9"/>
  <c r="A2178" i="9"/>
  <c r="A2177" i="9"/>
  <c r="A2176" i="9"/>
  <c r="A2175" i="9"/>
  <c r="A2174" i="9"/>
  <c r="A2173" i="9"/>
  <c r="A2172" i="9"/>
  <c r="A2171" i="9"/>
  <c r="A2170" i="9"/>
  <c r="A2169" i="9"/>
  <c r="A2168" i="9"/>
  <c r="A2167" i="9"/>
  <c r="A2166" i="9"/>
  <c r="A2165" i="9"/>
  <c r="A2164" i="9"/>
  <c r="A2163" i="9"/>
  <c r="A2162" i="9"/>
  <c r="A2161" i="9"/>
  <c r="A2160" i="9"/>
  <c r="A2159" i="9"/>
  <c r="A2158" i="9"/>
  <c r="A2157" i="9"/>
  <c r="A2156" i="9"/>
  <c r="A2155" i="9"/>
  <c r="A2154" i="9"/>
  <c r="A2153" i="9"/>
  <c r="A2152" i="9"/>
  <c r="A2151" i="9"/>
  <c r="A2150" i="9"/>
  <c r="A2149" i="9"/>
  <c r="A2148" i="9"/>
  <c r="A2147" i="9"/>
  <c r="A2146" i="9"/>
  <c r="A2145" i="9"/>
  <c r="A2144" i="9"/>
  <c r="A2143" i="9"/>
  <c r="A2142" i="9"/>
  <c r="A2141" i="9"/>
  <c r="A2140" i="9"/>
  <c r="A2139" i="9"/>
  <c r="A2138" i="9"/>
  <c r="A2137" i="9"/>
  <c r="A2136" i="9"/>
  <c r="A2135" i="9"/>
  <c r="A2134" i="9"/>
  <c r="A2133" i="9"/>
  <c r="A2132" i="9"/>
  <c r="A2131" i="9"/>
  <c r="A2130" i="9"/>
  <c r="A2129" i="9"/>
  <c r="A2128" i="9"/>
  <c r="A2127" i="9"/>
  <c r="A2126" i="9"/>
  <c r="A2125" i="9"/>
  <c r="A2124" i="9"/>
  <c r="A2123" i="9"/>
  <c r="A2122" i="9"/>
  <c r="A2121" i="9"/>
  <c r="A2120" i="9"/>
  <c r="A2119" i="9"/>
  <c r="A2118" i="9"/>
  <c r="A2117" i="9"/>
  <c r="A2116" i="9"/>
  <c r="A2115" i="9"/>
  <c r="A2114" i="9"/>
  <c r="A2113" i="9"/>
  <c r="A2112" i="9"/>
  <c r="A2111" i="9"/>
  <c r="A2110" i="9"/>
  <c r="A2109" i="9"/>
  <c r="A2108" i="9"/>
  <c r="A2107" i="9"/>
  <c r="A2106" i="9"/>
  <c r="A2105" i="9"/>
  <c r="A2104" i="9"/>
  <c r="A2103" i="9"/>
  <c r="A2102" i="9"/>
  <c r="A2101" i="9"/>
  <c r="A2100" i="9"/>
  <c r="A2099" i="9"/>
  <c r="A2098" i="9"/>
  <c r="A2097" i="9"/>
  <c r="A2096" i="9"/>
  <c r="A2095" i="9"/>
  <c r="A2094" i="9"/>
  <c r="A2093" i="9"/>
  <c r="A2092" i="9"/>
  <c r="A2091" i="9"/>
  <c r="A2090" i="9"/>
  <c r="A2089" i="9"/>
  <c r="A2088" i="9"/>
  <c r="A2087" i="9"/>
  <c r="A2086" i="9"/>
  <c r="A2085" i="9"/>
  <c r="A2084" i="9"/>
  <c r="A2083" i="9"/>
  <c r="A2082" i="9"/>
  <c r="A2081" i="9"/>
  <c r="A2080" i="9"/>
  <c r="A2079" i="9"/>
  <c r="A2078" i="9"/>
  <c r="A2077" i="9"/>
  <c r="A2076" i="9"/>
  <c r="A2075" i="9"/>
  <c r="A2074" i="9"/>
  <c r="A2073" i="9"/>
  <c r="A2072" i="9"/>
  <c r="A2071" i="9"/>
  <c r="A2070" i="9"/>
  <c r="A2069" i="9"/>
  <c r="A2068" i="9"/>
  <c r="A2067" i="9"/>
  <c r="A2066" i="9"/>
  <c r="A2065" i="9"/>
  <c r="A2064" i="9"/>
  <c r="A2063" i="9"/>
  <c r="A2062" i="9"/>
  <c r="A2061" i="9"/>
  <c r="A2060" i="9"/>
  <c r="A2059" i="9"/>
  <c r="A2058" i="9"/>
  <c r="A2057" i="9"/>
  <c r="A2056" i="9"/>
  <c r="A2055" i="9"/>
  <c r="A2054" i="9"/>
  <c r="A2053" i="9"/>
  <c r="A2052" i="9"/>
  <c r="A2051" i="9"/>
  <c r="A2050" i="9"/>
  <c r="A2049" i="9"/>
  <c r="A2048" i="9"/>
  <c r="A2047" i="9"/>
  <c r="A2046" i="9"/>
  <c r="A2045" i="9"/>
  <c r="A2044" i="9"/>
  <c r="A2043" i="9"/>
  <c r="A2042" i="9"/>
  <c r="A2041" i="9"/>
  <c r="A2040" i="9"/>
  <c r="A2039" i="9"/>
  <c r="A2038" i="9"/>
  <c r="A2037" i="9"/>
  <c r="A2036" i="9"/>
  <c r="A2035" i="9"/>
  <c r="A2034" i="9"/>
  <c r="A2033" i="9"/>
  <c r="A2032" i="9"/>
  <c r="A2031" i="9"/>
  <c r="A2030" i="9"/>
  <c r="A2029" i="9"/>
  <c r="A2028" i="9"/>
  <c r="A2027" i="9"/>
  <c r="A2026" i="9"/>
  <c r="A2025" i="9"/>
  <c r="A2024" i="9"/>
  <c r="A2023" i="9"/>
  <c r="A2022" i="9"/>
  <c r="A2021" i="9"/>
  <c r="A2020" i="9"/>
  <c r="A2019" i="9"/>
  <c r="A2018" i="9"/>
  <c r="A2017" i="9"/>
  <c r="A2016" i="9"/>
  <c r="A2015" i="9"/>
  <c r="A2014" i="9"/>
  <c r="A2013" i="9"/>
  <c r="A2012" i="9"/>
  <c r="A2011" i="9"/>
  <c r="A2010" i="9"/>
  <c r="A2009" i="9"/>
  <c r="A2008" i="9"/>
  <c r="A2007" i="9"/>
  <c r="A2006" i="9"/>
  <c r="A2005" i="9"/>
  <c r="A2004" i="9"/>
  <c r="A2003" i="9"/>
  <c r="A2002" i="9"/>
  <c r="A2001" i="9"/>
  <c r="A2000" i="9"/>
  <c r="A1999" i="9"/>
  <c r="A1998" i="9"/>
  <c r="A1997" i="9"/>
  <c r="A1996" i="9"/>
  <c r="A1995" i="9"/>
  <c r="A1994" i="9"/>
  <c r="A1993" i="9"/>
  <c r="A1992" i="9"/>
  <c r="A1991" i="9"/>
  <c r="A1990" i="9"/>
  <c r="A1989" i="9"/>
  <c r="A1988" i="9"/>
  <c r="A1987" i="9"/>
  <c r="A1986" i="9"/>
  <c r="A1985" i="9"/>
  <c r="A1984" i="9"/>
  <c r="A1983" i="9"/>
  <c r="A1982" i="9"/>
  <c r="A1981" i="9"/>
  <c r="A1980" i="9"/>
  <c r="A1979" i="9"/>
  <c r="A1978" i="9"/>
  <c r="A1977" i="9"/>
  <c r="A1976" i="9"/>
  <c r="A1975" i="9"/>
  <c r="A1974" i="9"/>
  <c r="A1973" i="9"/>
  <c r="A1972" i="9"/>
  <c r="A1971" i="9"/>
  <c r="A1970" i="9"/>
  <c r="A1969" i="9"/>
  <c r="A1968" i="9"/>
  <c r="A1967" i="9"/>
  <c r="A1966" i="9"/>
  <c r="A1965" i="9"/>
  <c r="A1964" i="9"/>
  <c r="A1963" i="9"/>
  <c r="A1962" i="9"/>
  <c r="A1961" i="9"/>
  <c r="A1960" i="9"/>
  <c r="A1959" i="9"/>
  <c r="A1958" i="9"/>
  <c r="A1957" i="9"/>
  <c r="A1956" i="9"/>
  <c r="A1955" i="9"/>
  <c r="A1954" i="9"/>
  <c r="A1953" i="9"/>
  <c r="A1952" i="9"/>
  <c r="A1951" i="9"/>
  <c r="A1950" i="9"/>
  <c r="A1949" i="9"/>
  <c r="A1948" i="9"/>
  <c r="A1947" i="9"/>
  <c r="A1946" i="9"/>
  <c r="A1945" i="9"/>
  <c r="A1944" i="9"/>
  <c r="A1943" i="9"/>
  <c r="A1942" i="9"/>
  <c r="A1941" i="9"/>
  <c r="A1940" i="9"/>
  <c r="A1939" i="9"/>
  <c r="A1938" i="9"/>
  <c r="A1937" i="9"/>
  <c r="A1936" i="9"/>
  <c r="A1935" i="9"/>
  <c r="A1934" i="9"/>
  <c r="A1933" i="9"/>
  <c r="A1932" i="9"/>
  <c r="A1931" i="9"/>
  <c r="A1930" i="9"/>
  <c r="A1929" i="9"/>
  <c r="A1928" i="9"/>
  <c r="A1927" i="9"/>
  <c r="A1926" i="9"/>
  <c r="A1925" i="9"/>
  <c r="A1924" i="9"/>
  <c r="A1923" i="9"/>
  <c r="A1922" i="9"/>
  <c r="A1921" i="9"/>
  <c r="A1920" i="9"/>
  <c r="A1919" i="9"/>
  <c r="A1918" i="9"/>
  <c r="A1917" i="9"/>
  <c r="A1916" i="9"/>
  <c r="A1915" i="9"/>
  <c r="A1914" i="9"/>
  <c r="A1913" i="9"/>
  <c r="A1912" i="9"/>
  <c r="A1911" i="9"/>
  <c r="A1910" i="9"/>
  <c r="A1909" i="9"/>
  <c r="A1908" i="9"/>
  <c r="A1907" i="9"/>
  <c r="A1906" i="9"/>
  <c r="A1905" i="9"/>
  <c r="A1904" i="9"/>
  <c r="A1903" i="9"/>
  <c r="A1902" i="9"/>
  <c r="A1901" i="9"/>
  <c r="A1900" i="9"/>
  <c r="A1899" i="9"/>
  <c r="A1898" i="9"/>
  <c r="A1897" i="9"/>
  <c r="A1896" i="9"/>
  <c r="A1895" i="9"/>
  <c r="A1894" i="9"/>
  <c r="A1893" i="9"/>
  <c r="A1892" i="9"/>
  <c r="A1891" i="9"/>
  <c r="A1890" i="9"/>
  <c r="A1889" i="9"/>
  <c r="A1888" i="9"/>
  <c r="A1887" i="9"/>
  <c r="A1886" i="9"/>
  <c r="A1885" i="9"/>
  <c r="A1884" i="9"/>
  <c r="A1883" i="9"/>
  <c r="A1882" i="9"/>
  <c r="A1881" i="9"/>
  <c r="A1880" i="9"/>
  <c r="A1879" i="9"/>
  <c r="A1878" i="9"/>
  <c r="A1877" i="9"/>
  <c r="A1876" i="9"/>
  <c r="A1875" i="9"/>
  <c r="A1874" i="9"/>
  <c r="A1873" i="9"/>
  <c r="A1872" i="9"/>
  <c r="A1871" i="9"/>
  <c r="A1870" i="9"/>
  <c r="A1869" i="9"/>
  <c r="A1868" i="9"/>
  <c r="A1867" i="9"/>
  <c r="A1866" i="9"/>
  <c r="A1865" i="9"/>
  <c r="A1864" i="9"/>
  <c r="A1863" i="9"/>
  <c r="A1862" i="9"/>
  <c r="A1861" i="9"/>
  <c r="A1860" i="9"/>
  <c r="A1859" i="9"/>
  <c r="A1858" i="9"/>
  <c r="A1857" i="9"/>
  <c r="A1856" i="9"/>
  <c r="A1855" i="9"/>
  <c r="A1854" i="9"/>
  <c r="A1853" i="9"/>
  <c r="A1852" i="9"/>
  <c r="A1851" i="9"/>
  <c r="A1850" i="9"/>
  <c r="A1849" i="9"/>
  <c r="A1848" i="9"/>
  <c r="A1847" i="9"/>
  <c r="A1846" i="9"/>
  <c r="A1845" i="9"/>
  <c r="A1844" i="9"/>
  <c r="A1843" i="9"/>
  <c r="A1842" i="9"/>
  <c r="A1841" i="9"/>
  <c r="A1840" i="9"/>
  <c r="A1839" i="9"/>
  <c r="A1838" i="9"/>
  <c r="A1837" i="9"/>
  <c r="A1836" i="9"/>
  <c r="A1835" i="9"/>
  <c r="A1834" i="9"/>
  <c r="A1833" i="9"/>
  <c r="A1832" i="9"/>
  <c r="A1831" i="9"/>
  <c r="A1830" i="9"/>
  <c r="A1829" i="9"/>
  <c r="A1828" i="9"/>
  <c r="A1827" i="9"/>
  <c r="A1826" i="9"/>
  <c r="A1825" i="9"/>
  <c r="A1824" i="9"/>
  <c r="A1823" i="9"/>
  <c r="A1822" i="9"/>
  <c r="A1821" i="9"/>
  <c r="A1820" i="9"/>
  <c r="A1819" i="9"/>
  <c r="A1818" i="9"/>
  <c r="A1817" i="9"/>
  <c r="A1816" i="9"/>
  <c r="A1815" i="9"/>
  <c r="A1814" i="9"/>
  <c r="A1813" i="9"/>
  <c r="A1812" i="9"/>
  <c r="A1811" i="9"/>
  <c r="A1810" i="9"/>
  <c r="A1809" i="9"/>
  <c r="A1808" i="9"/>
  <c r="A1807" i="9"/>
  <c r="A1806" i="9"/>
  <c r="A1805" i="9"/>
  <c r="A1804" i="9"/>
  <c r="A1803" i="9"/>
  <c r="A1802" i="9"/>
  <c r="A1801" i="9"/>
  <c r="A1800" i="9"/>
  <c r="A1799" i="9"/>
  <c r="A1798" i="9"/>
  <c r="A1797" i="9"/>
  <c r="A1796" i="9"/>
  <c r="A1795" i="9"/>
  <c r="A1794" i="9"/>
  <c r="A1793" i="9"/>
  <c r="A1792" i="9"/>
  <c r="A1791" i="9"/>
  <c r="A1790" i="9"/>
  <c r="A1789" i="9"/>
  <c r="A1788" i="9"/>
  <c r="A1787" i="9"/>
  <c r="A1786" i="9"/>
  <c r="A1785" i="9"/>
  <c r="A1784" i="9"/>
  <c r="A1783" i="9"/>
  <c r="A1782" i="9"/>
  <c r="A1781" i="9"/>
  <c r="A1780" i="9"/>
  <c r="A1779" i="9"/>
  <c r="A1778" i="9"/>
  <c r="A1777" i="9"/>
  <c r="A1776" i="9"/>
  <c r="A1775" i="9"/>
  <c r="A1774" i="9"/>
  <c r="A1773" i="9"/>
  <c r="A1772" i="9"/>
  <c r="A1771" i="9"/>
  <c r="A1770" i="9"/>
  <c r="A1769" i="9"/>
  <c r="A1768" i="9"/>
  <c r="A1767" i="9"/>
  <c r="A1766" i="9"/>
  <c r="A1765" i="9"/>
  <c r="A1764" i="9"/>
  <c r="A1763" i="9"/>
  <c r="A1762" i="9"/>
  <c r="A1761" i="9"/>
  <c r="A1760" i="9"/>
  <c r="A1759" i="9"/>
  <c r="A1758" i="9"/>
  <c r="A1757" i="9"/>
  <c r="A1756" i="9"/>
  <c r="A1755" i="9"/>
  <c r="A1754" i="9"/>
  <c r="A1753" i="9"/>
  <c r="A1752" i="9"/>
  <c r="A1751" i="9"/>
  <c r="A1750" i="9"/>
  <c r="A1749" i="9"/>
  <c r="A1748" i="9"/>
  <c r="A1747" i="9"/>
  <c r="A1746" i="9"/>
  <c r="A1745" i="9"/>
  <c r="A1744" i="9"/>
  <c r="A1743" i="9"/>
  <c r="A1742" i="9"/>
  <c r="A1741" i="9"/>
  <c r="A1740" i="9"/>
  <c r="A1739" i="9"/>
  <c r="A1738" i="9"/>
  <c r="A1737" i="9"/>
  <c r="A1736" i="9"/>
  <c r="A1735" i="9"/>
  <c r="A1734" i="9"/>
  <c r="A1733" i="9"/>
  <c r="A1732" i="9"/>
  <c r="A1731" i="9"/>
  <c r="A1730" i="9"/>
  <c r="A1729" i="9"/>
  <c r="A1728" i="9"/>
  <c r="A1727" i="9"/>
  <c r="A1726" i="9"/>
  <c r="A1725" i="9"/>
  <c r="A1724" i="9"/>
  <c r="A1723" i="9"/>
  <c r="A1722" i="9"/>
  <c r="A1721" i="9"/>
  <c r="A1720" i="9"/>
  <c r="A1719" i="9"/>
  <c r="A1718" i="9"/>
  <c r="A1717" i="9"/>
  <c r="A1716" i="9"/>
  <c r="A1715" i="9"/>
  <c r="A1714" i="9"/>
  <c r="A1713" i="9"/>
  <c r="A1712" i="9"/>
  <c r="A1711" i="9"/>
  <c r="A1710" i="9"/>
  <c r="A1709" i="9"/>
  <c r="A1708" i="9"/>
  <c r="A1707" i="9"/>
  <c r="A1706" i="9"/>
  <c r="A1705" i="9"/>
  <c r="A1704" i="9"/>
  <c r="A1703" i="9"/>
  <c r="A1702" i="9"/>
  <c r="A1701" i="9"/>
  <c r="A1700" i="9"/>
  <c r="A1699" i="9"/>
  <c r="A1698" i="9"/>
  <c r="A1697" i="9"/>
  <c r="A1696" i="9"/>
  <c r="A1695" i="9"/>
  <c r="A1694" i="9"/>
  <c r="A1693" i="9"/>
  <c r="A1692" i="9"/>
  <c r="A1691" i="9"/>
  <c r="A1690" i="9"/>
  <c r="A1689" i="9"/>
  <c r="A1688" i="9"/>
  <c r="A1687" i="9"/>
  <c r="A1686" i="9"/>
  <c r="A1685" i="9"/>
  <c r="A1684" i="9"/>
  <c r="A1683" i="9"/>
  <c r="A1682" i="9"/>
  <c r="A1681" i="9"/>
  <c r="A1680" i="9"/>
  <c r="A1679" i="9"/>
  <c r="A1678" i="9"/>
  <c r="A1677" i="9"/>
  <c r="A1676" i="9"/>
  <c r="A1675" i="9"/>
  <c r="A1674" i="9"/>
  <c r="A1673" i="9"/>
  <c r="A1672" i="9"/>
  <c r="A1671" i="9"/>
  <c r="A1670" i="9"/>
  <c r="A1669" i="9"/>
  <c r="A1668" i="9"/>
  <c r="A1667" i="9"/>
  <c r="A1666" i="9"/>
  <c r="A1665" i="9"/>
  <c r="A1664" i="9"/>
  <c r="A1663" i="9"/>
  <c r="A1662" i="9"/>
  <c r="A1661" i="9"/>
  <c r="A1660" i="9"/>
  <c r="A1659" i="9"/>
  <c r="A1658" i="9"/>
  <c r="A1657" i="9"/>
  <c r="A1656" i="9"/>
  <c r="A1655" i="9"/>
  <c r="A1654" i="9"/>
  <c r="A1653" i="9"/>
  <c r="A1652" i="9"/>
  <c r="A1651" i="9"/>
  <c r="A1650" i="9"/>
  <c r="A1649" i="9"/>
  <c r="A1648" i="9"/>
  <c r="A1647" i="9"/>
  <c r="A1646" i="9"/>
  <c r="A1645" i="9"/>
  <c r="A1644" i="9"/>
  <c r="A1643" i="9"/>
  <c r="A1642" i="9"/>
  <c r="A1641" i="9"/>
  <c r="A1640" i="9"/>
  <c r="A1639" i="9"/>
  <c r="A1638" i="9"/>
  <c r="A1637" i="9"/>
  <c r="A1636" i="9"/>
  <c r="A1635" i="9"/>
  <c r="A1634" i="9"/>
  <c r="A1633" i="9"/>
  <c r="A1632" i="9"/>
  <c r="A1631" i="9"/>
  <c r="A1630" i="9"/>
  <c r="A1629" i="9"/>
  <c r="A1628" i="9"/>
  <c r="A1627" i="9"/>
  <c r="A1626" i="9"/>
  <c r="A1625" i="9"/>
  <c r="A1624" i="9"/>
  <c r="A1623" i="9"/>
  <c r="A1622" i="9"/>
  <c r="A1621" i="9"/>
  <c r="A1620" i="9"/>
  <c r="A1619" i="9"/>
  <c r="A1618" i="9"/>
  <c r="A1617" i="9"/>
  <c r="A1616" i="9"/>
  <c r="A1615" i="9"/>
  <c r="A1614" i="9"/>
  <c r="A1613" i="9"/>
  <c r="A1612" i="9"/>
  <c r="A1611" i="9"/>
  <c r="A1610" i="9"/>
  <c r="A1609" i="9"/>
  <c r="A1608" i="9"/>
  <c r="A1607" i="9"/>
  <c r="A1606" i="9"/>
  <c r="A1605" i="9"/>
  <c r="A1604" i="9"/>
  <c r="A1603" i="9"/>
  <c r="A1602" i="9"/>
  <c r="A1601" i="9"/>
  <c r="A1600" i="9"/>
  <c r="A1599" i="9"/>
  <c r="A1598" i="9"/>
  <c r="A1597" i="9"/>
  <c r="A1596" i="9"/>
  <c r="A1595" i="9"/>
  <c r="A1594" i="9"/>
  <c r="A1593" i="9"/>
  <c r="A1592" i="9"/>
  <c r="A1591" i="9"/>
  <c r="A1590" i="9"/>
  <c r="A1589" i="9"/>
  <c r="A1588" i="9"/>
  <c r="A1587" i="9"/>
  <c r="A1586" i="9"/>
  <c r="A1585" i="9"/>
  <c r="A1584" i="9"/>
  <c r="A1583" i="9"/>
  <c r="A1582" i="9"/>
  <c r="A1581" i="9"/>
  <c r="A1580" i="9"/>
  <c r="A1579" i="9"/>
  <c r="A1578" i="9"/>
  <c r="A1577" i="9"/>
  <c r="A1576" i="9"/>
  <c r="A1575" i="9"/>
  <c r="A1574" i="9"/>
  <c r="A1573" i="9"/>
  <c r="A1572" i="9"/>
  <c r="A1571" i="9"/>
  <c r="A1570" i="9"/>
  <c r="A1569" i="9"/>
  <c r="A1568" i="9"/>
  <c r="A1567" i="9"/>
  <c r="A1566" i="9"/>
  <c r="A1565" i="9"/>
  <c r="A1564" i="9"/>
  <c r="A1563" i="9"/>
  <c r="A1562" i="9"/>
  <c r="A1561" i="9"/>
  <c r="A1560" i="9"/>
  <c r="A1559" i="9"/>
  <c r="A1558" i="9"/>
  <c r="A1557" i="9"/>
  <c r="A1556" i="9"/>
  <c r="A1555" i="9"/>
  <c r="A1554" i="9"/>
  <c r="A1553" i="9"/>
  <c r="A1552" i="9"/>
  <c r="A1551" i="9"/>
  <c r="A1550" i="9"/>
  <c r="A1549" i="9"/>
  <c r="A1548" i="9"/>
  <c r="A1547" i="9"/>
  <c r="A1546" i="9"/>
  <c r="A1545" i="9"/>
  <c r="A1544" i="9"/>
  <c r="A1543" i="9"/>
  <c r="A1542" i="9"/>
  <c r="A1541" i="9"/>
  <c r="A1540" i="9"/>
  <c r="A1539" i="9"/>
  <c r="A1538" i="9"/>
  <c r="A1537" i="9"/>
  <c r="A1536" i="9"/>
  <c r="A1535" i="9"/>
  <c r="A1534" i="9"/>
  <c r="A1533" i="9"/>
  <c r="A1532" i="9"/>
  <c r="A1531" i="9"/>
  <c r="A1530" i="9"/>
  <c r="A1529" i="9"/>
  <c r="A1528" i="9"/>
  <c r="A1527" i="9"/>
  <c r="A1526" i="9"/>
  <c r="A1525" i="9"/>
  <c r="A1524" i="9"/>
  <c r="A1523" i="9"/>
  <c r="A1522" i="9"/>
  <c r="A1521" i="9"/>
  <c r="A1520" i="9"/>
  <c r="A1519" i="9"/>
  <c r="A1518" i="9"/>
  <c r="A1517" i="9"/>
  <c r="A1516" i="9"/>
  <c r="A1515" i="9"/>
  <c r="A1514" i="9"/>
  <c r="A1513" i="9"/>
  <c r="A1512" i="9"/>
  <c r="A1511" i="9"/>
  <c r="A1510" i="9"/>
  <c r="A1509" i="9"/>
  <c r="A1508" i="9"/>
  <c r="A1507" i="9"/>
  <c r="A1506" i="9"/>
  <c r="A1505" i="9"/>
  <c r="A1504" i="9"/>
  <c r="A1503" i="9"/>
  <c r="A1502" i="9"/>
  <c r="A1501" i="9"/>
  <c r="A1500" i="9"/>
  <c r="A1499" i="9"/>
  <c r="A1498" i="9"/>
  <c r="A1497" i="9"/>
  <c r="A1496" i="9"/>
  <c r="A1495" i="9"/>
  <c r="A1494" i="9"/>
  <c r="A1493" i="9"/>
  <c r="A1492" i="9"/>
  <c r="A1491" i="9"/>
  <c r="A1490" i="9"/>
  <c r="A1489" i="9"/>
  <c r="A1488" i="9"/>
  <c r="A1487" i="9"/>
  <c r="A1486" i="9"/>
  <c r="A1485" i="9"/>
  <c r="A1484" i="9"/>
  <c r="A1483" i="9"/>
  <c r="A1482" i="9"/>
  <c r="A1481" i="9"/>
  <c r="A1480" i="9"/>
  <c r="A1479" i="9"/>
  <c r="A1478" i="9"/>
  <c r="A1477" i="9"/>
  <c r="A1476" i="9"/>
  <c r="A1475" i="9"/>
  <c r="A1474" i="9"/>
  <c r="A1473" i="9"/>
  <c r="A1472" i="9"/>
  <c r="A1471" i="9"/>
  <c r="A1470" i="9"/>
  <c r="A1469" i="9"/>
  <c r="A1468" i="9"/>
  <c r="A1467" i="9"/>
  <c r="A1466" i="9"/>
  <c r="A1465" i="9"/>
  <c r="A1464" i="9"/>
  <c r="A1463" i="9"/>
  <c r="A1462" i="9"/>
  <c r="A1461" i="9"/>
  <c r="A1460" i="9"/>
  <c r="A1459" i="9"/>
  <c r="A1458" i="9"/>
  <c r="A1457" i="9"/>
  <c r="A1456" i="9"/>
  <c r="A1455" i="9"/>
  <c r="A1454" i="9"/>
  <c r="A1453" i="9"/>
  <c r="A1452" i="9"/>
  <c r="A1451" i="9"/>
  <c r="A1450" i="9"/>
  <c r="A1449" i="9"/>
  <c r="A1448" i="9"/>
  <c r="A1447" i="9"/>
  <c r="A1446" i="9"/>
  <c r="A1445" i="9"/>
  <c r="A1444" i="9"/>
  <c r="A1443" i="9"/>
  <c r="A1442" i="9"/>
  <c r="A1441" i="9"/>
  <c r="A1440" i="9"/>
  <c r="A1439" i="9"/>
  <c r="A1438" i="9"/>
  <c r="A1437" i="9"/>
  <c r="A1436" i="9"/>
  <c r="A1435" i="9"/>
  <c r="A1434" i="9"/>
  <c r="A1433" i="9"/>
  <c r="A1432" i="9"/>
  <c r="A1431" i="9"/>
  <c r="A1430" i="9"/>
  <c r="A1429" i="9"/>
  <c r="A1428" i="9"/>
  <c r="A1427" i="9"/>
  <c r="A1426" i="9"/>
  <c r="A1425" i="9"/>
  <c r="A1424" i="9"/>
  <c r="A1423" i="9"/>
  <c r="A1422" i="9"/>
  <c r="A1421" i="9"/>
  <c r="A1420" i="9"/>
  <c r="A1419" i="9"/>
  <c r="A1418" i="9"/>
  <c r="A1417" i="9"/>
  <c r="A1416" i="9"/>
  <c r="A1415" i="9"/>
  <c r="A1414" i="9"/>
  <c r="A1413" i="9"/>
  <c r="A1412" i="9"/>
  <c r="A1411" i="9"/>
  <c r="A1410" i="9"/>
  <c r="A1409" i="9"/>
  <c r="A1408" i="9"/>
  <c r="A1407" i="9"/>
  <c r="A1406" i="9"/>
  <c r="A1405" i="9"/>
  <c r="A1404" i="9"/>
  <c r="A1403" i="9"/>
  <c r="A1402" i="9"/>
  <c r="A1401" i="9"/>
  <c r="A1400" i="9"/>
  <c r="A1399" i="9"/>
  <c r="A1398" i="9"/>
  <c r="A1397" i="9"/>
  <c r="A1396" i="9"/>
  <c r="A1395" i="9"/>
  <c r="A1394" i="9"/>
  <c r="A1393" i="9"/>
  <c r="A1392" i="9"/>
  <c r="A1391" i="9"/>
  <c r="A1390" i="9"/>
  <c r="A1389" i="9"/>
  <c r="A1388" i="9"/>
  <c r="A1387" i="9"/>
  <c r="A1386" i="9"/>
  <c r="A1385" i="9"/>
  <c r="A1384" i="9"/>
  <c r="A1383" i="9"/>
  <c r="A1382" i="9"/>
  <c r="A1381" i="9"/>
  <c r="A1380" i="9"/>
  <c r="A1379" i="9"/>
  <c r="A1378" i="9"/>
  <c r="A1377" i="9"/>
  <c r="A1376" i="9"/>
  <c r="A1375" i="9"/>
  <c r="A1374" i="9"/>
  <c r="A1373" i="9"/>
  <c r="A1372" i="9"/>
  <c r="A1371" i="9"/>
  <c r="A1370" i="9"/>
  <c r="A1369" i="9"/>
  <c r="A1368" i="9"/>
  <c r="A1367" i="9"/>
  <c r="A1366" i="9"/>
  <c r="A1365" i="9"/>
  <c r="A1364" i="9"/>
  <c r="A1363" i="9"/>
  <c r="A1362" i="9"/>
  <c r="A1361" i="9"/>
  <c r="A1360" i="9"/>
  <c r="A1359" i="9"/>
  <c r="A1358" i="9"/>
  <c r="A1357" i="9"/>
  <c r="A1356" i="9"/>
  <c r="A1355" i="9"/>
  <c r="A1354" i="9"/>
  <c r="A1353" i="9"/>
  <c r="A1352" i="9"/>
  <c r="A1351" i="9"/>
  <c r="A1350" i="9"/>
  <c r="A1349" i="9"/>
  <c r="A1348" i="9"/>
  <c r="A1347" i="9"/>
  <c r="A1346" i="9"/>
  <c r="A1345" i="9"/>
  <c r="A1344" i="9"/>
  <c r="A1343" i="9"/>
  <c r="A1342" i="9"/>
  <c r="A1341" i="9"/>
  <c r="A1340" i="9"/>
  <c r="A1339" i="9"/>
  <c r="A1338" i="9"/>
  <c r="A1337" i="9"/>
  <c r="A1336" i="9"/>
  <c r="A1335" i="9"/>
  <c r="A1334" i="9"/>
  <c r="A1333" i="9"/>
  <c r="A1332" i="9"/>
  <c r="A1331" i="9"/>
  <c r="A1330" i="9"/>
  <c r="A1329" i="9"/>
  <c r="A1328" i="9"/>
  <c r="A1327" i="9"/>
  <c r="A1326" i="9"/>
  <c r="A1325" i="9"/>
  <c r="A1324" i="9"/>
  <c r="A1323" i="9"/>
  <c r="A1322" i="9"/>
  <c r="A1321" i="9"/>
  <c r="A1320" i="9"/>
  <c r="A1319" i="9"/>
  <c r="A1318" i="9"/>
  <c r="A1317" i="9"/>
  <c r="A1316" i="9"/>
  <c r="A1315" i="9"/>
  <c r="A1314" i="9"/>
  <c r="A1313" i="9"/>
  <c r="A1312" i="9"/>
  <c r="A1311" i="9"/>
  <c r="A1310" i="9"/>
  <c r="A1309" i="9"/>
  <c r="A1308" i="9"/>
  <c r="A1307" i="9"/>
  <c r="A1306" i="9"/>
  <c r="A1305" i="9"/>
  <c r="A1304" i="9"/>
  <c r="A1303" i="9"/>
  <c r="A1302" i="9"/>
  <c r="A1301" i="9"/>
  <c r="A1300" i="9"/>
  <c r="A1299" i="9"/>
  <c r="A1298" i="9"/>
  <c r="A1297" i="9"/>
  <c r="A1296" i="9"/>
  <c r="A1295" i="9"/>
  <c r="A1294" i="9"/>
  <c r="A1293" i="9"/>
  <c r="A1292" i="9"/>
  <c r="A1291" i="9"/>
  <c r="A1290" i="9"/>
  <c r="A1289" i="9"/>
  <c r="A1288" i="9"/>
  <c r="A1287" i="9"/>
  <c r="A1286" i="9"/>
  <c r="A1285" i="9"/>
  <c r="A1284" i="9"/>
  <c r="A1283" i="9"/>
  <c r="A1282" i="9"/>
  <c r="A1281" i="9"/>
  <c r="A1280" i="9"/>
  <c r="A1279" i="9"/>
  <c r="A1278" i="9"/>
  <c r="A1277" i="9"/>
  <c r="A1276" i="9"/>
  <c r="A1275" i="9"/>
  <c r="A1274" i="9"/>
  <c r="A1273" i="9"/>
  <c r="A1272" i="9"/>
  <c r="A1271" i="9"/>
  <c r="A1270" i="9"/>
  <c r="A1269" i="9"/>
  <c r="A1268" i="9"/>
  <c r="A1267" i="9"/>
  <c r="A1266" i="9"/>
  <c r="A1265" i="9"/>
  <c r="A1264" i="9"/>
  <c r="A1263" i="9"/>
  <c r="A1262" i="9"/>
  <c r="A1261" i="9"/>
  <c r="A1260" i="9"/>
  <c r="A1259" i="9"/>
  <c r="A1258" i="9"/>
  <c r="A1257" i="9"/>
  <c r="A1256" i="9"/>
  <c r="A1255" i="9"/>
  <c r="A1254" i="9"/>
  <c r="A1253" i="9"/>
  <c r="A1252" i="9"/>
  <c r="A1251" i="9"/>
  <c r="A1250" i="9"/>
  <c r="A1249" i="9"/>
  <c r="A1248" i="9"/>
  <c r="A1247" i="9"/>
  <c r="A1246" i="9"/>
  <c r="A1245" i="9"/>
  <c r="A1244" i="9"/>
  <c r="A1243" i="9"/>
  <c r="A1242" i="9"/>
  <c r="A1241" i="9"/>
  <c r="A1240" i="9"/>
  <c r="A1239" i="9"/>
  <c r="A1238" i="9"/>
  <c r="A1237" i="9"/>
  <c r="A1236" i="9"/>
  <c r="A1235" i="9"/>
  <c r="A1234" i="9"/>
  <c r="A1233" i="9"/>
  <c r="A1232" i="9"/>
  <c r="A1231" i="9"/>
  <c r="A1230" i="9"/>
  <c r="A1229" i="9"/>
  <c r="A1228" i="9"/>
  <c r="A1227" i="9"/>
  <c r="A1226" i="9"/>
  <c r="A1225" i="9"/>
  <c r="A1224" i="9"/>
  <c r="A1223" i="9"/>
  <c r="A1222" i="9"/>
  <c r="A1221" i="9"/>
  <c r="A1220" i="9"/>
  <c r="A1219" i="9"/>
  <c r="A1218" i="9"/>
  <c r="A1217" i="9"/>
  <c r="A1216" i="9"/>
  <c r="A1215" i="9"/>
  <c r="A1214" i="9"/>
  <c r="A1213" i="9"/>
  <c r="A1212" i="9"/>
  <c r="A1211" i="9"/>
  <c r="A1210" i="9"/>
  <c r="A1209" i="9"/>
  <c r="A1208" i="9"/>
  <c r="A1207" i="9"/>
  <c r="A1206" i="9"/>
  <c r="A1205" i="9"/>
  <c r="A1204" i="9"/>
  <c r="A1203" i="9"/>
  <c r="A1202" i="9"/>
  <c r="A1201" i="9"/>
  <c r="A1200" i="9"/>
  <c r="A1199" i="9"/>
  <c r="A1198" i="9"/>
  <c r="A1197" i="9"/>
  <c r="A1196" i="9"/>
  <c r="A1195" i="9"/>
  <c r="A1194" i="9"/>
  <c r="A1193" i="9"/>
  <c r="A1192" i="9"/>
  <c r="A1191" i="9"/>
  <c r="A1190" i="9"/>
  <c r="A1189" i="9"/>
  <c r="A1188" i="9"/>
  <c r="A1187" i="9"/>
  <c r="A1186" i="9"/>
  <c r="A1185" i="9"/>
  <c r="A1184" i="9"/>
  <c r="A1183" i="9"/>
  <c r="A1182" i="9"/>
  <c r="A1181" i="9"/>
  <c r="A1180" i="9"/>
  <c r="A1179" i="9"/>
  <c r="A1178" i="9"/>
  <c r="A1177" i="9"/>
  <c r="A1176" i="9"/>
  <c r="A1175" i="9"/>
  <c r="A1174" i="9"/>
  <c r="A1173" i="9"/>
  <c r="A1172" i="9"/>
  <c r="A1171" i="9"/>
  <c r="A1170" i="9"/>
  <c r="A1169" i="9"/>
  <c r="A1168" i="9"/>
  <c r="A1167" i="9"/>
  <c r="A1166" i="9"/>
  <c r="A1165" i="9"/>
  <c r="A1164" i="9"/>
  <c r="A1163" i="9"/>
  <c r="A1162" i="9"/>
  <c r="A1161" i="9"/>
  <c r="A1160" i="9"/>
  <c r="A1159" i="9"/>
  <c r="A1158" i="9"/>
  <c r="A1157" i="9"/>
  <c r="A1156" i="9"/>
  <c r="A1155" i="9"/>
  <c r="A1154" i="9"/>
  <c r="A1153" i="9"/>
  <c r="A1152" i="9"/>
  <c r="A1151" i="9"/>
  <c r="A1150" i="9"/>
  <c r="A1149" i="9"/>
  <c r="A1148" i="9"/>
  <c r="A1147" i="9"/>
  <c r="A1146" i="9"/>
  <c r="A1145" i="9"/>
  <c r="A1144" i="9"/>
  <c r="A1143" i="9"/>
  <c r="A1142" i="9"/>
  <c r="A1141" i="9"/>
  <c r="A1140" i="9"/>
  <c r="A1139" i="9"/>
  <c r="A1138" i="9"/>
  <c r="A1137" i="9"/>
  <c r="A1136" i="9"/>
  <c r="A1135" i="9"/>
  <c r="A1134" i="9"/>
  <c r="A1133" i="9"/>
  <c r="A1132" i="9"/>
  <c r="A1131" i="9"/>
  <c r="A1130" i="9"/>
  <c r="A1129" i="9"/>
  <c r="A1128" i="9"/>
  <c r="A1127" i="9"/>
  <c r="A1126" i="9"/>
  <c r="A1125" i="9"/>
  <c r="A1124" i="9"/>
  <c r="A1123" i="9"/>
  <c r="A1122" i="9"/>
  <c r="A1121" i="9"/>
  <c r="A1120" i="9"/>
  <c r="A1119" i="9"/>
  <c r="A1118" i="9"/>
  <c r="A1117" i="9"/>
  <c r="A1116" i="9"/>
  <c r="A1115" i="9"/>
  <c r="A1114" i="9"/>
  <c r="A1113" i="9"/>
  <c r="A1112" i="9"/>
  <c r="A1111" i="9"/>
  <c r="A1110" i="9"/>
  <c r="A1109" i="9"/>
  <c r="A1108" i="9"/>
  <c r="A1107" i="9"/>
  <c r="A1106" i="9"/>
  <c r="A1105" i="9"/>
  <c r="A1104" i="9"/>
  <c r="A1103" i="9"/>
  <c r="A1102" i="9"/>
  <c r="A1101" i="9"/>
  <c r="A1100" i="9"/>
  <c r="A1099" i="9"/>
  <c r="A1098" i="9"/>
  <c r="A1097" i="9"/>
  <c r="A1096" i="9"/>
  <c r="A1095" i="9"/>
  <c r="A1094" i="9"/>
  <c r="A1093" i="9"/>
  <c r="A1092" i="9"/>
  <c r="A1091" i="9"/>
  <c r="A1090" i="9"/>
  <c r="A1089" i="9"/>
  <c r="A1088" i="9"/>
  <c r="A1087" i="9"/>
  <c r="A1086" i="9"/>
  <c r="A1085" i="9"/>
  <c r="A1084" i="9"/>
  <c r="A1083" i="9"/>
  <c r="A1082" i="9"/>
  <c r="A1081" i="9"/>
  <c r="A1080" i="9"/>
  <c r="A1079" i="9"/>
  <c r="A1078" i="9"/>
  <c r="A1077" i="9"/>
  <c r="A1076" i="9"/>
  <c r="A1075" i="9"/>
  <c r="A1074" i="9"/>
  <c r="A1073" i="9"/>
  <c r="A1072" i="9"/>
  <c r="A1071" i="9"/>
  <c r="A1070" i="9"/>
  <c r="A1069" i="9"/>
  <c r="A1068" i="9"/>
  <c r="A1067" i="9"/>
  <c r="A1066" i="9"/>
  <c r="A1065" i="9"/>
  <c r="A1064" i="9"/>
  <c r="A1063" i="9"/>
  <c r="A1062" i="9"/>
  <c r="A1061" i="9"/>
  <c r="A1060" i="9"/>
  <c r="A1059" i="9"/>
  <c r="A1058" i="9"/>
  <c r="A1057" i="9"/>
  <c r="A1056" i="9"/>
  <c r="A1055" i="9"/>
  <c r="A1054" i="9"/>
  <c r="A1053" i="9"/>
  <c r="A1052" i="9"/>
  <c r="A1051" i="9"/>
  <c r="A1050" i="9"/>
  <c r="A1049" i="9"/>
  <c r="A1048" i="9"/>
  <c r="A1047" i="9"/>
  <c r="A1046" i="9"/>
  <c r="A1045" i="9"/>
  <c r="A1044" i="9"/>
  <c r="A1043" i="9"/>
  <c r="A1042" i="9"/>
  <c r="A1041" i="9"/>
  <c r="A1040" i="9"/>
  <c r="A1039" i="9"/>
  <c r="A1038" i="9"/>
  <c r="A1037" i="9"/>
  <c r="A1036" i="9"/>
  <c r="A1035" i="9"/>
  <c r="A1034" i="9"/>
  <c r="A1033" i="9"/>
  <c r="A1032" i="9"/>
  <c r="A1031" i="9"/>
  <c r="A1030" i="9"/>
  <c r="A1029" i="9"/>
  <c r="A1028" i="9"/>
  <c r="A1027" i="9"/>
  <c r="A1026" i="9"/>
  <c r="A1025" i="9"/>
  <c r="A1024" i="9"/>
  <c r="A1023" i="9"/>
  <c r="A1022" i="9"/>
  <c r="A1021" i="9"/>
  <c r="A1020" i="9"/>
  <c r="A1019" i="9"/>
  <c r="A1018" i="9"/>
  <c r="A1017" i="9"/>
  <c r="A1016" i="9"/>
  <c r="A1015" i="9"/>
  <c r="A1014" i="9"/>
  <c r="A1013" i="9"/>
  <c r="A1012" i="9"/>
  <c r="A1011" i="9"/>
  <c r="A1010" i="9"/>
  <c r="A1009" i="9"/>
  <c r="A1008" i="9"/>
  <c r="A1007" i="9"/>
  <c r="A1006" i="9"/>
  <c r="A1005" i="9"/>
  <c r="A1004" i="9"/>
  <c r="A1003" i="9"/>
  <c r="A1002" i="9"/>
  <c r="A1001" i="9"/>
  <c r="A1000" i="9"/>
  <c r="A999" i="9"/>
  <c r="A998" i="9"/>
  <c r="A997" i="9"/>
  <c r="A996" i="9"/>
  <c r="A995" i="9"/>
  <c r="A994" i="9"/>
  <c r="A993" i="9"/>
  <c r="A992" i="9"/>
  <c r="A991" i="9"/>
  <c r="A990" i="9"/>
  <c r="A989" i="9"/>
  <c r="A988" i="9"/>
  <c r="A987" i="9"/>
  <c r="A986" i="9"/>
  <c r="A985" i="9"/>
  <c r="A984" i="9"/>
  <c r="A983" i="9"/>
  <c r="A982" i="9"/>
  <c r="A981" i="9"/>
  <c r="A980" i="9"/>
  <c r="A979" i="9"/>
  <c r="A978" i="9"/>
  <c r="A977" i="9"/>
  <c r="A976" i="9"/>
  <c r="A975" i="9"/>
  <c r="A974" i="9"/>
  <c r="A973" i="9"/>
  <c r="A972" i="9"/>
  <c r="A971" i="9"/>
  <c r="A970" i="9"/>
  <c r="A969" i="9"/>
  <c r="A968" i="9"/>
  <c r="A967" i="9"/>
  <c r="A966" i="9"/>
  <c r="A965" i="9"/>
  <c r="A964" i="9"/>
  <c r="A963" i="9"/>
  <c r="A962" i="9"/>
  <c r="A961" i="9"/>
  <c r="A960" i="9"/>
  <c r="A959" i="9"/>
  <c r="A958" i="9"/>
  <c r="A957" i="9"/>
  <c r="A956" i="9"/>
  <c r="A955" i="9"/>
  <c r="A954" i="9"/>
  <c r="A953" i="9"/>
  <c r="A952" i="9"/>
  <c r="A951" i="9"/>
  <c r="A950" i="9"/>
  <c r="A949" i="9"/>
  <c r="A948" i="9"/>
  <c r="A947" i="9"/>
  <c r="A946" i="9"/>
  <c r="A945" i="9"/>
  <c r="A944" i="9"/>
  <c r="A943" i="9"/>
  <c r="A942" i="9"/>
  <c r="A941" i="9"/>
  <c r="A940" i="9"/>
  <c r="A939" i="9"/>
  <c r="A938" i="9"/>
  <c r="A937" i="9"/>
  <c r="A936" i="9"/>
  <c r="A935" i="9"/>
  <c r="A934" i="9"/>
  <c r="A933" i="9"/>
  <c r="A932" i="9"/>
  <c r="A931" i="9"/>
  <c r="A930" i="9"/>
  <c r="A929" i="9"/>
  <c r="A928" i="9"/>
  <c r="A927" i="9"/>
  <c r="A926" i="9"/>
  <c r="A925" i="9"/>
  <c r="A924" i="9"/>
  <c r="A923" i="9"/>
  <c r="A922" i="9"/>
  <c r="A921" i="9"/>
  <c r="A920" i="9"/>
  <c r="A919" i="9"/>
  <c r="A918" i="9"/>
  <c r="A917" i="9"/>
  <c r="A916" i="9"/>
  <c r="A915" i="9"/>
  <c r="A914" i="9"/>
  <c r="A913" i="9"/>
  <c r="A912" i="9"/>
  <c r="A911" i="9"/>
  <c r="A910" i="9"/>
  <c r="A909" i="9"/>
  <c r="A908" i="9"/>
  <c r="A907" i="9"/>
  <c r="A906" i="9"/>
  <c r="A905" i="9"/>
  <c r="A904" i="9"/>
  <c r="A903" i="9"/>
  <c r="A902" i="9"/>
  <c r="A901" i="9"/>
  <c r="A900" i="9"/>
  <c r="A899" i="9"/>
  <c r="A898" i="9"/>
  <c r="A897" i="9"/>
  <c r="A896" i="9"/>
  <c r="A895" i="9"/>
  <c r="A894" i="9"/>
  <c r="A893" i="9"/>
  <c r="A892" i="9"/>
  <c r="A891" i="9"/>
  <c r="A890" i="9"/>
  <c r="A889" i="9"/>
  <c r="A888" i="9"/>
  <c r="A887" i="9"/>
  <c r="A886" i="9"/>
  <c r="A885" i="9"/>
  <c r="A884" i="9"/>
  <c r="A883" i="9"/>
  <c r="A882" i="9"/>
  <c r="A881" i="9"/>
  <c r="A880" i="9"/>
  <c r="A879" i="9"/>
  <c r="A878" i="9"/>
  <c r="A877" i="9"/>
  <c r="A876" i="9"/>
  <c r="A875" i="9"/>
  <c r="A874" i="9"/>
  <c r="A873" i="9"/>
  <c r="A872" i="9"/>
  <c r="A871" i="9"/>
  <c r="A870" i="9"/>
  <c r="A869" i="9"/>
  <c r="A868" i="9"/>
  <c r="A867" i="9"/>
  <c r="A866" i="9"/>
  <c r="A865" i="9"/>
  <c r="A864" i="9"/>
  <c r="A863" i="9"/>
  <c r="A862" i="9"/>
  <c r="A861" i="9"/>
  <c r="A860" i="9"/>
  <c r="A859" i="9"/>
  <c r="A858" i="9"/>
  <c r="A857" i="9"/>
  <c r="A856" i="9"/>
  <c r="A855" i="9"/>
  <c r="A854" i="9"/>
  <c r="A853" i="9"/>
  <c r="A852" i="9"/>
  <c r="A851" i="9"/>
  <c r="A850" i="9"/>
  <c r="A849" i="9"/>
  <c r="A848" i="9"/>
  <c r="A847" i="9"/>
  <c r="A846" i="9"/>
  <c r="A845" i="9"/>
  <c r="A844" i="9"/>
  <c r="A843" i="9"/>
  <c r="A842" i="9"/>
  <c r="A841" i="9"/>
  <c r="A840" i="9"/>
  <c r="A839" i="9"/>
  <c r="A838" i="9"/>
  <c r="A837" i="9"/>
  <c r="A836" i="9"/>
  <c r="A835" i="9"/>
  <c r="A834" i="9"/>
  <c r="A833" i="9"/>
  <c r="A832" i="9"/>
  <c r="A831" i="9"/>
  <c r="A830" i="9"/>
  <c r="A829" i="9"/>
  <c r="A828" i="9"/>
  <c r="A827" i="9"/>
  <c r="A826" i="9"/>
  <c r="A825" i="9"/>
  <c r="A824" i="9"/>
  <c r="A823" i="9"/>
  <c r="A822" i="9"/>
  <c r="A821" i="9"/>
  <c r="A820" i="9"/>
  <c r="A819" i="9"/>
  <c r="A818" i="9"/>
  <c r="A817" i="9"/>
  <c r="A816" i="9"/>
  <c r="A815" i="9"/>
  <c r="A814" i="9"/>
  <c r="A813" i="9"/>
  <c r="A812" i="9"/>
  <c r="A811" i="9"/>
  <c r="A810" i="9"/>
  <c r="A809" i="9"/>
  <c r="A808" i="9"/>
  <c r="A807" i="9"/>
  <c r="A806" i="9"/>
  <c r="A805" i="9"/>
  <c r="A804" i="9"/>
  <c r="A803" i="9"/>
  <c r="A802" i="9"/>
  <c r="A801" i="9"/>
  <c r="A800" i="9"/>
  <c r="A799" i="9"/>
  <c r="A798" i="9"/>
  <c r="A797" i="9"/>
  <c r="A796" i="9"/>
  <c r="A795" i="9"/>
  <c r="A794" i="9"/>
  <c r="A793" i="9"/>
  <c r="A792" i="9"/>
  <c r="A791" i="9"/>
  <c r="A790" i="9"/>
  <c r="A789" i="9"/>
  <c r="A788" i="9"/>
  <c r="A787" i="9"/>
  <c r="A786" i="9"/>
  <c r="A785" i="9"/>
  <c r="A784" i="9"/>
  <c r="A783" i="9"/>
  <c r="A782" i="9"/>
  <c r="A781" i="9"/>
  <c r="A780" i="9"/>
  <c r="A779" i="9"/>
  <c r="A778" i="9"/>
  <c r="A777" i="9"/>
  <c r="A776" i="9"/>
  <c r="A775" i="9"/>
  <c r="A774" i="9"/>
  <c r="A773" i="9"/>
  <c r="A772" i="9"/>
  <c r="A771" i="9"/>
  <c r="A770" i="9"/>
  <c r="A769" i="9"/>
  <c r="A768" i="9"/>
  <c r="A767" i="9"/>
  <c r="A766" i="9"/>
  <c r="A765" i="9"/>
  <c r="A764" i="9"/>
  <c r="A763" i="9"/>
  <c r="A762" i="9"/>
  <c r="A761" i="9"/>
  <c r="A760" i="9"/>
  <c r="A759" i="9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C22" i="12" a="1"/>
  <c r="C22" i="12" s="1"/>
  <c r="E17" i="12"/>
  <c r="E40" i="12"/>
  <c r="E38" i="12"/>
  <c r="E37" i="12"/>
  <c r="E34" i="12"/>
  <c r="E32" i="12"/>
  <c r="E31" i="12"/>
  <c r="E30" i="12"/>
  <c r="F24" i="12"/>
  <c r="E24" i="12"/>
  <c r="D24" i="12"/>
  <c r="F23" i="12"/>
  <c r="E23" i="12"/>
  <c r="D23" i="12"/>
  <c r="G22" i="12"/>
  <c r="G23" i="12" s="1"/>
  <c r="G24" i="12" s="1"/>
  <c r="F22" i="12"/>
  <c r="E22" i="12"/>
  <c r="D22" i="12"/>
  <c r="H20" i="3"/>
  <c r="H18" i="3"/>
  <c r="I9" i="3"/>
  <c r="J6" i="3"/>
  <c r="I6" i="3"/>
  <c r="D6" i="3"/>
  <c r="D7" i="3"/>
  <c r="D8" i="3"/>
  <c r="D9" i="3"/>
  <c r="D10" i="3"/>
  <c r="D11" i="3"/>
  <c r="D12" i="3"/>
  <c r="D13" i="3"/>
  <c r="D14" i="3"/>
  <c r="D15" i="3"/>
  <c r="D16" i="3"/>
  <c r="D17" i="3"/>
  <c r="B21" i="3"/>
  <c r="B20" i="3"/>
  <c r="B19" i="3"/>
  <c r="E10" i="3" s="1"/>
  <c r="E7" i="3"/>
  <c r="E8" i="3"/>
  <c r="E9" i="3"/>
  <c r="E15" i="3"/>
  <c r="E16" i="3"/>
  <c r="E17" i="3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K7" i="6"/>
  <c r="K6" i="6"/>
  <c r="J9" i="3" l="1"/>
  <c r="I7" i="9"/>
  <c r="I9" i="9"/>
  <c r="I17" i="9"/>
  <c r="I6" i="9"/>
  <c r="I14" i="9"/>
  <c r="I21" i="9"/>
  <c r="I13" i="9"/>
  <c r="I20" i="9"/>
  <c r="I12" i="9"/>
  <c r="I22" i="9"/>
  <c r="I19" i="9"/>
  <c r="I11" i="9"/>
  <c r="I18" i="9"/>
  <c r="I10" i="9"/>
  <c r="I25" i="9"/>
  <c r="I24" i="9"/>
  <c r="I16" i="9"/>
  <c r="I8" i="9"/>
  <c r="I23" i="9"/>
  <c r="I15" i="9"/>
  <c r="F9" i="9"/>
  <c r="F7" i="9"/>
  <c r="F8" i="9"/>
  <c r="F5" i="9"/>
  <c r="F6" i="9"/>
  <c r="E14" i="3"/>
  <c r="E6" i="3"/>
  <c r="E13" i="3"/>
  <c r="E12" i="3"/>
  <c r="E11" i="3"/>
  <c r="C103" i="6"/>
  <c r="C47" i="6"/>
  <c r="C20" i="6"/>
  <c r="C99" i="6"/>
  <c r="C75" i="6"/>
  <c r="C59" i="6"/>
  <c r="C23" i="6"/>
  <c r="C114" i="6"/>
  <c r="C106" i="6"/>
  <c r="C98" i="6"/>
  <c r="C90" i="6"/>
  <c r="C82" i="6"/>
  <c r="C74" i="6"/>
  <c r="C66" i="6"/>
  <c r="C58" i="6"/>
  <c r="C50" i="6"/>
  <c r="C42" i="6"/>
  <c r="C34" i="6"/>
  <c r="C26" i="6"/>
  <c r="C30" i="6"/>
  <c r="C83" i="6"/>
  <c r="C43" i="6"/>
  <c r="C113" i="6"/>
  <c r="C105" i="6"/>
  <c r="C97" i="6"/>
  <c r="C89" i="6"/>
  <c r="C81" i="6"/>
  <c r="C73" i="6"/>
  <c r="C65" i="6"/>
  <c r="C57" i="6"/>
  <c r="C49" i="6"/>
  <c r="C41" i="6"/>
  <c r="C33" i="6"/>
  <c r="C25" i="6"/>
  <c r="C17" i="6"/>
  <c r="C115" i="6"/>
  <c r="C27" i="6"/>
  <c r="C112" i="6"/>
  <c r="C104" i="6"/>
  <c r="C96" i="6"/>
  <c r="C88" i="6"/>
  <c r="C80" i="6"/>
  <c r="C72" i="6"/>
  <c r="C64" i="6"/>
  <c r="C56" i="6"/>
  <c r="C48" i="6"/>
  <c r="C40" i="6"/>
  <c r="C32" i="6"/>
  <c r="C24" i="6"/>
  <c r="C16" i="6"/>
  <c r="C107" i="6"/>
  <c r="C91" i="6"/>
  <c r="C67" i="6"/>
  <c r="C35" i="6"/>
  <c r="C51" i="6"/>
  <c r="C31" i="6"/>
  <c r="C110" i="6"/>
  <c r="C46" i="6"/>
  <c r="C109" i="6"/>
  <c r="C101" i="6"/>
  <c r="C93" i="6"/>
  <c r="C85" i="6"/>
  <c r="C77" i="6"/>
  <c r="C69" i="6"/>
  <c r="C61" i="6"/>
  <c r="C53" i="6"/>
  <c r="C45" i="6"/>
  <c r="C37" i="6"/>
  <c r="C29" i="6"/>
  <c r="C21" i="6"/>
  <c r="C95" i="6"/>
  <c r="C55" i="6"/>
  <c r="C38" i="6"/>
  <c r="C108" i="6"/>
  <c r="C100" i="6"/>
  <c r="C92" i="6"/>
  <c r="C84" i="6"/>
  <c r="C76" i="6"/>
  <c r="C68" i="6"/>
  <c r="C28" i="6"/>
  <c r="C111" i="6"/>
  <c r="C79" i="6"/>
  <c r="C71" i="6"/>
  <c r="C63" i="6"/>
  <c r="C62" i="6"/>
  <c r="C44" i="6"/>
  <c r="C19" i="6"/>
  <c r="C39" i="6"/>
  <c r="C102" i="6"/>
  <c r="C54" i="6"/>
  <c r="C36" i="6"/>
  <c r="C18" i="6"/>
  <c r="C87" i="6"/>
  <c r="C94" i="6"/>
  <c r="C78" i="6"/>
  <c r="C70" i="6"/>
  <c r="C22" i="6"/>
  <c r="C60" i="6"/>
  <c r="C86" i="6"/>
  <c r="C52" i="6"/>
  <c r="K8" i="6"/>
  <c r="E18" i="3" l="1"/>
  <c r="F16" i="6"/>
  <c r="G16" i="6" s="1" a="1"/>
  <c r="G16" i="6" s="1"/>
  <c r="F24" i="6"/>
  <c r="G24" i="6" s="1" a="1"/>
  <c r="G24" i="6" s="1"/>
  <c r="F32" i="6"/>
  <c r="G32" i="6" s="1" a="1"/>
  <c r="G32" i="6" s="1"/>
  <c r="F40" i="6"/>
  <c r="G40" i="6" s="1" a="1"/>
  <c r="G40" i="6" s="1"/>
  <c r="F48" i="6"/>
  <c r="G48" i="6" s="1" a="1"/>
  <c r="G48" i="6" s="1"/>
  <c r="F56" i="6"/>
  <c r="G56" i="6" s="1" a="1"/>
  <c r="G56" i="6" s="1"/>
  <c r="F64" i="6"/>
  <c r="G64" i="6" s="1" a="1"/>
  <c r="G64" i="6" s="1"/>
  <c r="F72" i="6"/>
  <c r="G72" i="6" s="1" a="1"/>
  <c r="G72" i="6" s="1"/>
  <c r="F80" i="6"/>
  <c r="G80" i="6" s="1" a="1"/>
  <c r="G80" i="6" s="1"/>
  <c r="F88" i="6"/>
  <c r="G88" i="6" s="1" a="1"/>
  <c r="G88" i="6" s="1"/>
  <c r="F96" i="6"/>
  <c r="G96" i="6" s="1" a="1"/>
  <c r="G96" i="6" s="1"/>
  <c r="F104" i="6"/>
  <c r="G104" i="6" s="1" a="1"/>
  <c r="G104" i="6" s="1"/>
  <c r="F112" i="6"/>
  <c r="G112" i="6" s="1" a="1"/>
  <c r="G112" i="6" s="1"/>
  <c r="F25" i="6"/>
  <c r="G25" i="6" s="1" a="1"/>
  <c r="G25" i="6" s="1"/>
  <c r="F73" i="6"/>
  <c r="G73" i="6" s="1" a="1"/>
  <c r="G73" i="6" s="1"/>
  <c r="F89" i="6"/>
  <c r="G89" i="6" s="1" a="1"/>
  <c r="G89" i="6" s="1"/>
  <c r="F113" i="6"/>
  <c r="G113" i="6" s="1" a="1"/>
  <c r="G113" i="6" s="1"/>
  <c r="F17" i="6"/>
  <c r="G17" i="6" s="1" a="1"/>
  <c r="G17" i="6" s="1"/>
  <c r="F33" i="6"/>
  <c r="G33" i="6" s="1" a="1"/>
  <c r="G33" i="6" s="1"/>
  <c r="F41" i="6"/>
  <c r="G41" i="6" s="1" a="1"/>
  <c r="G41" i="6" s="1"/>
  <c r="F49" i="6"/>
  <c r="G49" i="6" s="1" a="1"/>
  <c r="G49" i="6" s="1"/>
  <c r="F57" i="6"/>
  <c r="G57" i="6" s="1" a="1"/>
  <c r="G57" i="6" s="1"/>
  <c r="F65" i="6"/>
  <c r="G65" i="6" s="1" a="1"/>
  <c r="G65" i="6" s="1"/>
  <c r="F81" i="6"/>
  <c r="G81" i="6" s="1" a="1"/>
  <c r="G81" i="6" s="1"/>
  <c r="F97" i="6"/>
  <c r="G97" i="6" s="1" a="1"/>
  <c r="G97" i="6" s="1"/>
  <c r="F105" i="6"/>
  <c r="G105" i="6" s="1" a="1"/>
  <c r="G105" i="6" s="1"/>
  <c r="F18" i="6"/>
  <c r="G18" i="6" s="1" a="1"/>
  <c r="G18" i="6" s="1"/>
  <c r="F26" i="6"/>
  <c r="G26" i="6" s="1" a="1"/>
  <c r="G26" i="6" s="1"/>
  <c r="F34" i="6"/>
  <c r="G34" i="6" s="1" a="1"/>
  <c r="G34" i="6" s="1"/>
  <c r="F42" i="6"/>
  <c r="G42" i="6" s="1" a="1"/>
  <c r="G42" i="6" s="1"/>
  <c r="F50" i="6"/>
  <c r="G50" i="6" s="1" a="1"/>
  <c r="G50" i="6" s="1"/>
  <c r="F58" i="6"/>
  <c r="G58" i="6" s="1" a="1"/>
  <c r="G58" i="6" s="1"/>
  <c r="F66" i="6"/>
  <c r="G66" i="6" s="1" a="1"/>
  <c r="G66" i="6" s="1"/>
  <c r="F74" i="6"/>
  <c r="G74" i="6" s="1" a="1"/>
  <c r="G74" i="6" s="1"/>
  <c r="F82" i="6"/>
  <c r="G82" i="6" s="1" a="1"/>
  <c r="G82" i="6" s="1"/>
  <c r="F90" i="6"/>
  <c r="G90" i="6" s="1" a="1"/>
  <c r="G90" i="6" s="1"/>
  <c r="F98" i="6"/>
  <c r="G98" i="6" s="1" a="1"/>
  <c r="G98" i="6" s="1"/>
  <c r="F106" i="6"/>
  <c r="G106" i="6" s="1" a="1"/>
  <c r="G106" i="6" s="1"/>
  <c r="F114" i="6"/>
  <c r="G114" i="6" s="1" a="1"/>
  <c r="G114" i="6" s="1"/>
  <c r="F19" i="6"/>
  <c r="G19" i="6" s="1" a="1"/>
  <c r="G19" i="6" s="1"/>
  <c r="F27" i="6"/>
  <c r="G27" i="6" s="1" a="1"/>
  <c r="G27" i="6" s="1"/>
  <c r="F35" i="6"/>
  <c r="G35" i="6" s="1" a="1"/>
  <c r="G35" i="6" s="1"/>
  <c r="F43" i="6"/>
  <c r="G43" i="6" s="1" a="1"/>
  <c r="G43" i="6" s="1"/>
  <c r="F51" i="6"/>
  <c r="G51" i="6" s="1" a="1"/>
  <c r="G51" i="6" s="1"/>
  <c r="F59" i="6"/>
  <c r="G59" i="6" s="1" a="1"/>
  <c r="G59" i="6" s="1"/>
  <c r="F67" i="6"/>
  <c r="G67" i="6" s="1" a="1"/>
  <c r="G67" i="6" s="1"/>
  <c r="F75" i="6"/>
  <c r="G75" i="6" s="1" a="1"/>
  <c r="G75" i="6" s="1"/>
  <c r="F83" i="6"/>
  <c r="G83" i="6" s="1" a="1"/>
  <c r="G83" i="6" s="1"/>
  <c r="F91" i="6"/>
  <c r="G91" i="6" s="1" a="1"/>
  <c r="G91" i="6" s="1"/>
  <c r="F99" i="6"/>
  <c r="G99" i="6" s="1" a="1"/>
  <c r="G99" i="6" s="1"/>
  <c r="F107" i="6"/>
  <c r="G107" i="6" s="1" a="1"/>
  <c r="G107" i="6" s="1"/>
  <c r="F115" i="6"/>
  <c r="G115" i="6" s="1" a="1"/>
  <c r="G115" i="6" s="1"/>
  <c r="F31" i="6"/>
  <c r="G31" i="6" s="1" a="1"/>
  <c r="G31" i="6" s="1"/>
  <c r="F79" i="6"/>
  <c r="G79" i="6" s="1" a="1"/>
  <c r="G79" i="6" s="1"/>
  <c r="F20" i="6"/>
  <c r="G20" i="6" s="1" a="1"/>
  <c r="G20" i="6" s="1"/>
  <c r="F28" i="6"/>
  <c r="G28" i="6" s="1" a="1"/>
  <c r="G28" i="6" s="1"/>
  <c r="F36" i="6"/>
  <c r="G36" i="6" s="1" a="1"/>
  <c r="G36" i="6" s="1"/>
  <c r="F44" i="6"/>
  <c r="G44" i="6" s="1" a="1"/>
  <c r="G44" i="6" s="1"/>
  <c r="F52" i="6"/>
  <c r="G52" i="6" s="1" a="1"/>
  <c r="G52" i="6" s="1"/>
  <c r="F60" i="6"/>
  <c r="G60" i="6" s="1" a="1"/>
  <c r="G60" i="6" s="1"/>
  <c r="F68" i="6"/>
  <c r="G68" i="6" s="1" a="1"/>
  <c r="G68" i="6" s="1"/>
  <c r="F76" i="6"/>
  <c r="G76" i="6" s="1" a="1"/>
  <c r="G76" i="6" s="1"/>
  <c r="F84" i="6"/>
  <c r="G84" i="6" s="1" a="1"/>
  <c r="G84" i="6" s="1"/>
  <c r="F92" i="6"/>
  <c r="G92" i="6" s="1" a="1"/>
  <c r="G92" i="6" s="1"/>
  <c r="F100" i="6"/>
  <c r="G100" i="6" s="1" a="1"/>
  <c r="G100" i="6" s="1"/>
  <c r="F108" i="6"/>
  <c r="G108" i="6" s="1" a="1"/>
  <c r="G108" i="6" s="1"/>
  <c r="F23" i="6"/>
  <c r="G23" i="6" s="1" a="1"/>
  <c r="G23" i="6" s="1"/>
  <c r="F47" i="6"/>
  <c r="G47" i="6" s="1" a="1"/>
  <c r="G47" i="6" s="1"/>
  <c r="F55" i="6"/>
  <c r="G55" i="6" s="1" a="1"/>
  <c r="G55" i="6" s="1"/>
  <c r="F63" i="6"/>
  <c r="G63" i="6" s="1" a="1"/>
  <c r="G63" i="6" s="1"/>
  <c r="F71" i="6"/>
  <c r="G71" i="6" s="1" a="1"/>
  <c r="G71" i="6" s="1"/>
  <c r="F87" i="6"/>
  <c r="G87" i="6" s="1" a="1"/>
  <c r="G87" i="6" s="1"/>
  <c r="F103" i="6"/>
  <c r="G103" i="6" s="1" a="1"/>
  <c r="G103" i="6" s="1"/>
  <c r="F21" i="6"/>
  <c r="G21" i="6" s="1" a="1"/>
  <c r="G21" i="6" s="1"/>
  <c r="F29" i="6"/>
  <c r="G29" i="6" s="1" a="1"/>
  <c r="G29" i="6" s="1"/>
  <c r="F37" i="6"/>
  <c r="G37" i="6" s="1" a="1"/>
  <c r="G37" i="6" s="1"/>
  <c r="F45" i="6"/>
  <c r="G45" i="6" s="1" a="1"/>
  <c r="G45" i="6" s="1"/>
  <c r="F53" i="6"/>
  <c r="G53" i="6" s="1" a="1"/>
  <c r="G53" i="6" s="1"/>
  <c r="F61" i="6"/>
  <c r="G61" i="6" s="1" a="1"/>
  <c r="G61" i="6" s="1"/>
  <c r="F69" i="6"/>
  <c r="G69" i="6" s="1" a="1"/>
  <c r="G69" i="6" s="1"/>
  <c r="F77" i="6"/>
  <c r="G77" i="6" s="1" a="1"/>
  <c r="G77" i="6" s="1"/>
  <c r="F85" i="6"/>
  <c r="G85" i="6" s="1" a="1"/>
  <c r="G85" i="6" s="1"/>
  <c r="F93" i="6"/>
  <c r="G93" i="6" s="1" a="1"/>
  <c r="G93" i="6" s="1"/>
  <c r="F101" i="6"/>
  <c r="G101" i="6" s="1" a="1"/>
  <c r="G101" i="6" s="1"/>
  <c r="F109" i="6"/>
  <c r="G109" i="6" s="1" a="1"/>
  <c r="G109" i="6" s="1"/>
  <c r="F22" i="6"/>
  <c r="G22" i="6" s="1" a="1"/>
  <c r="G22" i="6" s="1"/>
  <c r="F30" i="6"/>
  <c r="G30" i="6" s="1" a="1"/>
  <c r="G30" i="6" s="1"/>
  <c r="F38" i="6"/>
  <c r="G38" i="6" s="1" a="1"/>
  <c r="G38" i="6" s="1"/>
  <c r="F46" i="6"/>
  <c r="G46" i="6" s="1" a="1"/>
  <c r="G46" i="6" s="1"/>
  <c r="F54" i="6"/>
  <c r="G54" i="6" s="1" a="1"/>
  <c r="G54" i="6" s="1"/>
  <c r="F62" i="6"/>
  <c r="G62" i="6" s="1" a="1"/>
  <c r="G62" i="6" s="1"/>
  <c r="F70" i="6"/>
  <c r="G70" i="6" s="1" a="1"/>
  <c r="G70" i="6" s="1"/>
  <c r="F78" i="6"/>
  <c r="G78" i="6" s="1" a="1"/>
  <c r="G78" i="6" s="1"/>
  <c r="F86" i="6"/>
  <c r="G86" i="6" s="1" a="1"/>
  <c r="G86" i="6" s="1"/>
  <c r="F94" i="6"/>
  <c r="G94" i="6" s="1" a="1"/>
  <c r="G94" i="6" s="1"/>
  <c r="F102" i="6"/>
  <c r="G102" i="6" s="1" a="1"/>
  <c r="G102" i="6" s="1"/>
  <c r="F110" i="6"/>
  <c r="G110" i="6" s="1" a="1"/>
  <c r="G110" i="6" s="1"/>
  <c r="F39" i="6"/>
  <c r="G39" i="6" s="1" a="1"/>
  <c r="G39" i="6" s="1"/>
  <c r="F95" i="6"/>
  <c r="G95" i="6" s="1" a="1"/>
  <c r="G95" i="6" s="1"/>
  <c r="F111" i="6"/>
  <c r="G111" i="6" s="1" a="1"/>
  <c r="G111" i="6" s="1"/>
  <c r="P5" i="6" l="1"/>
  <c r="P13" i="6"/>
  <c r="P6" i="6"/>
  <c r="P14" i="6"/>
  <c r="P7" i="6"/>
  <c r="P15" i="6"/>
  <c r="P12" i="6"/>
  <c r="P8" i="6"/>
  <c r="P16" i="6"/>
  <c r="P9" i="6"/>
  <c r="P17" i="6"/>
  <c r="P10" i="6"/>
  <c r="P18" i="6"/>
  <c r="P11" i="6"/>
  <c r="P19" i="6"/>
  <c r="L6" i="6"/>
  <c r="K11" i="6" s="1"/>
  <c r="L7" i="6"/>
  <c r="L8" i="6" l="1"/>
  <c r="K13" i="6" s="1"/>
  <c r="K1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<sst xmlns="http://schemas.openxmlformats.org/spreadsheetml/2006/main" count="256" uniqueCount="218">
  <si>
    <t>Coefficient of Variation</t>
  </si>
  <si>
    <t>Mean</t>
  </si>
  <si>
    <t>Fixture</t>
  </si>
  <si>
    <t>Watts</t>
  </si>
  <si>
    <t>kW</t>
  </si>
  <si>
    <t>kWh</t>
  </si>
  <si>
    <t>Total Energy</t>
  </si>
  <si>
    <t>Std Dev</t>
  </si>
  <si>
    <t>Sum</t>
  </si>
  <si>
    <t>Average</t>
  </si>
  <si>
    <t>Count</t>
  </si>
  <si>
    <t>Random #</t>
  </si>
  <si>
    <t>Rank</t>
  </si>
  <si>
    <t>Population</t>
  </si>
  <si>
    <t>CV</t>
  </si>
  <si>
    <t>POPULATION SIMULATION</t>
  </si>
  <si>
    <t>Generate a synthetic population using a normal distribution. Change the Mean and Std Dev inputs to see how the population shape changes.</t>
  </si>
  <si>
    <t>INPUTS</t>
  </si>
  <si>
    <t>POPULATION STATISTICS</t>
  </si>
  <si>
    <t>Population Mean</t>
  </si>
  <si>
    <t>Observed Mean</t>
  </si>
  <si>
    <t>Population Std Dev</t>
  </si>
  <si>
    <t>Observed Std Dev</t>
  </si>
  <si>
    <t>Population Size (N)</t>
  </si>
  <si>
    <t>Min Value</t>
  </si>
  <si>
    <t>Max Value</t>
  </si>
  <si>
    <t>Value</t>
  </si>
  <si>
    <t>RANDOM SAMPLING</t>
  </si>
  <si>
    <t>Draw a random sample from a population of 100 fixtures. Adjust the sample size to see how sample statistics compare to the population.</t>
  </si>
  <si>
    <t>HOW IT WORKS</t>
  </si>
  <si>
    <t>SAMPLE SIZE INPUT</t>
  </si>
  <si>
    <t>POPULATION vs. SAMPLE COMPARISON</t>
  </si>
  <si>
    <t>Step 1</t>
  </si>
  <si>
    <t>100 fixture wattages are generated using NORM.INV(RAND(), Mean, StdDev)</t>
  </si>
  <si>
    <t>Sample Size (n)</t>
  </si>
  <si>
    <t>Sample</t>
  </si>
  <si>
    <t>Step 2</t>
  </si>
  <si>
    <t>Each fixture is assigned a random number using RAND()</t>
  </si>
  <si>
    <t>Step 3</t>
  </si>
  <si>
    <t>Fixtures are ranked by their random number</t>
  </si>
  <si>
    <t>Step 4</t>
  </si>
  <si>
    <t>The top-n ranked fixtures become the random sample</t>
  </si>
  <si>
    <t>Step 5</t>
  </si>
  <si>
    <t>Compare sample statistics to the population to see sampling error</t>
  </si>
  <si>
    <t>% Difference</t>
  </si>
  <si>
    <t>← How much does the sample differ?</t>
  </si>
  <si>
    <t>Wattage</t>
  </si>
  <si>
    <t>#</t>
  </si>
  <si>
    <t>Fixture #</t>
  </si>
  <si>
    <t>Sample Wattage</t>
  </si>
  <si>
    <t>DESCRIPTIVE STATISTICS</t>
  </si>
  <si>
    <t>Step-by-step manual calculation of variance, standard deviation, and coefficient of variation from a sample of fixture wattages.</t>
  </si>
  <si>
    <t>SAMPLE DATA</t>
  </si>
  <si>
    <t>MANUAL CALCULATION</t>
  </si>
  <si>
    <t>xᵢ − x̄</t>
  </si>
  <si>
    <t>(xᵢ − x̄)²</t>
  </si>
  <si>
    <t>Mean (x̄)</t>
  </si>
  <si>
    <t>Count (n)</t>
  </si>
  <si>
    <t>RESULTS</t>
  </si>
  <si>
    <t>EXCEL VERIFICATION</t>
  </si>
  <si>
    <t>Metric</t>
  </si>
  <si>
    <t>Calculated</t>
  </si>
  <si>
    <t>Excel Function</t>
  </si>
  <si>
    <t>Match?</t>
  </si>
  <si>
    <t>Sample Variance</t>
  </si>
  <si>
    <t>Formula:</t>
  </si>
  <si>
    <t>Σ(xᵢ−x̄)² / (n−1)</t>
  </si>
  <si>
    <t>VAR.S()</t>
  </si>
  <si>
    <t>Sample Std Dev</t>
  </si>
  <si>
    <t>√Variance</t>
  </si>
  <si>
    <t>STDEV.S()</t>
  </si>
  <si>
    <t>Std Dev / Mean</t>
  </si>
  <si>
    <t>BASELINE ENERGY ESTIMATE</t>
  </si>
  <si>
    <t>Total Fixtures (N)</t>
  </si>
  <si>
    <t>Avg. Power (from sample)</t>
  </si>
  <si>
    <t>Operating Hours/Year</t>
  </si>
  <si>
    <t>hrs</t>
  </si>
  <si>
    <t>SAMPLE SIZE CALCULATOR</t>
  </si>
  <si>
    <t>Determine the required sample size given a desired confidence level and precision. Compare multiple scenarios side by side.</t>
  </si>
  <si>
    <t>THE SAMPLE SIZE FORMULA</t>
  </si>
  <si>
    <t>Step 1:  n₀ = (Z² × CV²) / P²</t>
  </si>
  <si>
    <t>Where:</t>
  </si>
  <si>
    <t>Uncorrected sample size for an infinite population</t>
  </si>
  <si>
    <t>Z  =  Z-score for desired confidence level</t>
  </si>
  <si>
    <t>CV =  Coefficient of Variation (Std Dev / Mean)</t>
  </si>
  <si>
    <t>Step 2:  n = (n₀ × N) / (n₀ + N)</t>
  </si>
  <si>
    <t>P  =  Margin of Error (precision)</t>
  </si>
  <si>
    <t>Finite population correction — adjusts for small populations</t>
  </si>
  <si>
    <t>N  =  Population size</t>
  </si>
  <si>
    <t>n₀ =  Uncorrected sample size</t>
  </si>
  <si>
    <t>n  =  Final corrected sample size</t>
  </si>
  <si>
    <t>SCENARIO COMPARISON</t>
  </si>
  <si>
    <t>Change the blue inputs below to model different scenarios. The required sample size updates automatically.</t>
  </si>
  <si>
    <t>Description</t>
  </si>
  <si>
    <t>Scenario 1</t>
  </si>
  <si>
    <t>Scenario 2</t>
  </si>
  <si>
    <t>Scenario 3</t>
  </si>
  <si>
    <t>Scenario 4</t>
  </si>
  <si>
    <t>Scenario 5</t>
  </si>
  <si>
    <t>Coefficient of Variation (CV)</t>
  </si>
  <si>
    <t>Confidence Level (CL)</t>
  </si>
  <si>
    <t>Margin of Error (P)</t>
  </si>
  <si>
    <t>Precision / CI</t>
  </si>
  <si>
    <t>Population (N)</t>
  </si>
  <si>
    <t>Z-score</t>
  </si>
  <si>
    <t>n₀ (uncorrected)</t>
  </si>
  <si>
    <t>Z²×CV² / P²</t>
  </si>
  <si>
    <t>n (final sample size)</t>
  </si>
  <si>
    <t>n₀×N / (n₀+N)</t>
  </si>
  <si>
    <t>SAMPLE DATA &amp; BASELINE ESTIMATE</t>
  </si>
  <si>
    <t>Enter sample wattages below. Statistics are computed automatically and feed into Scenario 2's CV.</t>
  </si>
  <si>
    <t>SAMPLE STATISTICS</t>
  </si>
  <si>
    <t>Std Dev (s)</t>
  </si>
  <si>
    <t>CV (Std Dev / Mean)</t>
  </si>
  <si>
    <t>← Feeds into Scenario 2</t>
  </si>
  <si>
    <t>BASELINE ENERGY</t>
  </si>
  <si>
    <t>Total Fixtures</t>
  </si>
  <si>
    <t>Estimated Total Power</t>
  </si>
  <si>
    <t>Hours / Year</t>
  </si>
  <si>
    <t>KEY TAKEAWAY</t>
  </si>
  <si>
    <t>Higher CV (more variability) = more samples needed</t>
  </si>
  <si>
    <t>Higher confidence level = more samples needed</t>
  </si>
  <si>
    <t>Tighter precision (smaller P) = more samples needed</t>
  </si>
  <si>
    <t>Larger population has diminishing effect on sample size</t>
  </si>
  <si>
    <t>Population auto-sizes to match N above (max 5,000). Each cell uses =NORM.INV(RAND(), Mean, StdDev). Press F9 to regenerate.</t>
  </si>
  <si>
    <t>HISTOGRAM DATA</t>
  </si>
  <si>
    <t>Bin</t>
  </si>
  <si>
    <t>Frequency</t>
  </si>
  <si>
    <t>SAMPLING METHODOLOGY — CLASS EXERCISES</t>
  </si>
  <si>
    <t>Work through each exercise in order. Blue cells are for your answers. Refer to the sheet tabs listed for each exercise.</t>
  </si>
  <si>
    <t>Your Name:</t>
  </si>
  <si>
    <t>Date:</t>
  </si>
  <si>
    <t>EXERCISE 1: EXPLORE THE POPULATION</t>
  </si>
  <si>
    <t>Sheet:  1 - Population Simulation</t>
  </si>
  <si>
    <t>Go to the "1 - Population Simulation" tab. Experiment with the inputs and answer the questions below.</t>
  </si>
  <si>
    <t>1a.</t>
  </si>
  <si>
    <t>Set Mean = 100, Std Dev = 25, N = 500. What is the observed mean?</t>
  </si>
  <si>
    <t>Is it exactly 100? Why or why not?</t>
  </si>
  <si>
    <t>1b.</t>
  </si>
  <si>
    <t>Press F9 three times to regenerate. Does the observed mean change each time?</t>
  </si>
  <si>
    <t>1c.</t>
  </si>
  <si>
    <t>1d.</t>
  </si>
  <si>
    <t>Change N from 500 to 50, then to 5000. How does population size affect the distribution shape?</t>
  </si>
  <si>
    <t>1e.</t>
  </si>
  <si>
    <t>Reset to Mean = 100, Std Dev = 25, N = 1000 before moving on.</t>
  </si>
  <si>
    <t>EXERCISE 2: SAMPLING ERROR</t>
  </si>
  <si>
    <t>Sheet:  2 - Random Sampling</t>
  </si>
  <si>
    <t>Go to the "2 - Random Sampling" tab. Change the sample size and observe how the sample statistics compare to the population.</t>
  </si>
  <si>
    <t>2a.</t>
  </si>
  <si>
    <t>Set the sample size to 5. Record the sample average and the % difference from the population:</t>
  </si>
  <si>
    <t>Sample Avg:</t>
  </si>
  <si>
    <t>% Diff:</t>
  </si>
  <si>
    <t>2b.</t>
  </si>
  <si>
    <t>Now set the sample size to 50. Record the same values:</t>
  </si>
  <si>
    <t>2c.</t>
  </si>
  <si>
    <t>What happens to sampling error as you increase the sample size?</t>
  </si>
  <si>
    <t>2d.</t>
  </si>
  <si>
    <t>Compare the sample distribution chart (green) to the population chart (blue) at n=10 vs n=80.</t>
  </si>
  <si>
    <t>At what sample size does the sample distribution start to resemble the population?</t>
  </si>
  <si>
    <t>2e.</t>
  </si>
  <si>
    <t>In energy auditing, why can't we always just sample the entire population?</t>
  </si>
  <si>
    <t>EXERCISE 3: BUILD THE STATISTICS</t>
  </si>
  <si>
    <t>Sheet:  3 - Descriptive Statistics</t>
  </si>
  <si>
    <t>Go to "3 - Descriptive Statistics". The green result cells are blank — you need to build the formulas. Use the manual calculation columns to guide you.</t>
  </si>
  <si>
    <t>3a.</t>
  </si>
  <si>
    <t>In cell H6, enter a formula to calculate the Sample Variance.</t>
  </si>
  <si>
    <t>Hint: Variance = Sum of squared deviations ÷ (n − 1). The sum is in E18, the count is in B21.</t>
  </si>
  <si>
    <t>Your formula:</t>
  </si>
  <si>
    <t>Expected result: 321.33</t>
  </si>
  <si>
    <t>3b.</t>
  </si>
  <si>
    <t>In cell H9, enter a formula to calculate the Sample Standard Deviation.</t>
  </si>
  <si>
    <t>Hint: Std Dev = √Variance. Use the SQRT() function referencing your variance cell.</t>
  </si>
  <si>
    <t>Expected result: 17.93</t>
  </si>
  <si>
    <t>3c.</t>
  </si>
  <si>
    <t>In cell H12, enter a formula to calculate the Coefficient of Variation (CV).</t>
  </si>
  <si>
    <t>Hint: CV = Std Dev ÷ Mean. The mean is in cell B20.</t>
  </si>
  <si>
    <t>Expected result: 0.165</t>
  </si>
  <si>
    <t>3d.</t>
  </si>
  <si>
    <t>Check column J — do your calculated values match the Excel built-in functions? Both should show TRUE.</t>
  </si>
  <si>
    <t>EXERCISE 4: CALCULATE SAMPLE SIZE</t>
  </si>
  <si>
    <t>Sheet:  4 - Sample Size Calculator</t>
  </si>
  <si>
    <t>Go to "4 - Sample Size Calculator". Scenario 5 has blank formulas in the result rows — you need to build them.</t>
  </si>
  <si>
    <t>4a.</t>
  </si>
  <si>
    <t>Look at Scenario 1's formulas (column D, rows 22–24). Understand how Z-score, n₀, and n are calculated.</t>
  </si>
  <si>
    <t>Write down in your own words what each step does:</t>
  </si>
  <si>
    <t>Z-score:</t>
  </si>
  <si>
    <t>n₀:</t>
  </si>
  <si>
    <t>n:</t>
  </si>
  <si>
    <t>4b.</t>
  </si>
  <si>
    <t>Now build the formulas for Scenario 5 (column H). Enter formulas in cells H22, H23, and H24.</t>
  </si>
  <si>
    <t>Hint: Copy the pattern from Scenario 1 but change column references from D to H.</t>
  </si>
  <si>
    <t>What is the required sample size (n) for Scenario 5?</t>
  </si>
  <si>
    <t>4c.</t>
  </si>
  <si>
    <t>Compare Scenarios 1 and 3. Both have N=1000, but Scenario 3 requires 88 samples vs 11.</t>
  </si>
  <si>
    <t>What two input differences explain this? Which has the bigger impact?</t>
  </si>
  <si>
    <t>4d.</t>
  </si>
  <si>
    <t>Real-world scenario: A client has 500 light fixtures. Your initial sample of 10 shows CV = 0.30.</t>
  </si>
  <si>
    <t>They want 90/10 (90% confidence, ±10% precision). Use any scenario column to find n:</t>
  </si>
  <si>
    <t>← Your formula</t>
  </si>
  <si>
    <t>ANSWER KEY (Instructor Only)</t>
  </si>
  <si>
    <t>Exercise 1</t>
  </si>
  <si>
    <t>Exercise 2</t>
  </si>
  <si>
    <t>Sampling error decreases as sample size increases. The sample average converges toward the population average.</t>
  </si>
  <si>
    <t>The observed mean will be close to 100 but not exact. Random sampling introduces variability.</t>
  </si>
  <si>
    <t>Yes. Each F9 press regenerates all random values. The mean fluctuates around 100.</t>
  </si>
  <si>
    <t>N=50: jagged. N=5000: smooth bell curve. Larger N gives a cleaner distribution shape.</t>
  </si>
  <si>
    <t>Around n=30-50 the sample distribution resembles the population (Central Limit Theorem).</t>
  </si>
  <si>
    <t>Cost and time. Measuring every fixture in a large building is impractical. Sampling gives reliable estimates efficiently.</t>
  </si>
  <si>
    <t>Exercise 3 (Formulas)</t>
  </si>
  <si>
    <t>H6:  =E18/(B21-1)    Result: 321.33</t>
  </si>
  <si>
    <t>H9:  =SQRT(H6)       Result: 17.93</t>
  </si>
  <si>
    <t>H12: =H9/B20         Result: 0.165</t>
  </si>
  <si>
    <t>Exercise 4 (Formulas)</t>
  </si>
  <si>
    <t>H22: =TINV(1-H18,10000000)  |  H23: =ROUNDUP((H22^2*H17^2)/H19^2,1)  |  H24: =ROUNDUP((H23*H20)/(H23+H20),0)  |  n=40</t>
  </si>
  <si>
    <t>Scenario 3 has higher CV (0.25 vs 0.20) AND tighter precision (5% vs 10%). Precision has the bigger impact -- halving P quadruples n0.</t>
  </si>
  <si>
    <t>CV=0.30, CL=90%, P=10%, N=500.  Z=1.645, n0=24.4, n = ROUNDUP((24.4x500)/(24.4+500)) = 24 samples required.</t>
  </si>
  <si>
    <t>Now change Std Dev from 25 to 5. What happens to the range of values on the x-axis? Why?</t>
  </si>
  <si>
    <t>The x-axis range shrinks dramatically (from ~10–200 down to ~82–120). A smaller Std Dev means less variability, so all values cluster closer to the mean.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</si>
</sst>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00"/>
    <numFmt numFmtId="167" formatCode="0.0000"/>
    <numFmt numFmtId="168" formatCode="mm/dd/yyyy"/>
  </numFmts>
  <fonts count="4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0"/>
      <color rgb="FF5A6A7A"/>
      <name val="Calibri"/>
      <family val="2"/>
      <scheme val="minor"/>
    </font>
    <font>
      <sz val="10"/>
      <color rgb="FF5A6A7A"/>
      <name val="Calibri"/>
      <family val="2"/>
      <scheme val="minor"/>
    </font>
    <font>
      <i/>
      <sz val="10"/>
      <color rgb="FF5A6A7A"/>
      <name val="Calibri"/>
      <family val="2"/>
      <scheme val="minor"/>
    </font>
    <font>
      <sz val="10"/>
      <color rgb="FF2B3A4E"/>
      <name val="Calibri"/>
      <family val="2"/>
      <scheme val="minor"/>
    </font>
    <font>
      <b/>
      <sz val="10"/>
      <color rgb="FF2B3A4E"/>
      <name val="Calibri"/>
      <family val="2"/>
      <scheme val="minor"/>
    </font>
    <font>
      <sz val="11"/>
      <color rgb="FF2B3A4E"/>
      <name val="Calibri"/>
      <family val="2"/>
      <scheme val="minor"/>
    </font>
    <font>
      <b/>
      <sz val="11"/>
      <color rgb="FF2B3A4E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5A6A7A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9"/>
      <color rgb="FF8899AA"/>
      <name val="Calibri"/>
      <family val="2"/>
      <scheme val="minor"/>
    </font>
    <font>
      <i/>
      <sz val="9"/>
      <color rgb="FF8899AA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0"/>
      <color rgb="FF5A6A7A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8899AA"/>
      <name val="Calibri"/>
      <family val="2"/>
      <scheme val="minor"/>
    </font>
    <font>
      <b/>
      <sz val="10"/>
      <color rgb="FF008000"/>
      <name val="Calibri"/>
      <family val="2"/>
      <scheme val="minor"/>
    </font>
    <font>
      <sz val="10"/>
      <color rgb="FF8899AA"/>
      <name val="Calibri"/>
      <family val="2"/>
      <scheme val="minor"/>
    </font>
    <font>
      <b/>
      <sz val="12"/>
      <color rgb="FF008000"/>
      <name val="Calibri"/>
      <family val="2"/>
      <scheme val="minor"/>
    </font>
    <font>
      <i/>
      <sz val="10"/>
      <color rgb="FF8899AA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2B3A4E"/>
      <name val="Calibri"/>
      <family val="2"/>
      <scheme val="minor"/>
    </font>
    <font>
      <b/>
      <sz val="14"/>
      <color rgb="FF008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5A6A7A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11"/>
      <color rgb="FF5A6A7A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i/>
      <sz val="10"/>
      <color rgb="FFC0C0C0"/>
      <name val="Calibri"/>
      <family val="2"/>
      <scheme val="minor"/>
    </font>
    <font>
      <i/>
      <sz val="10"/>
      <color rgb="FFC0C0C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B3A4E"/>
        <bgColor indexed="64"/>
      </patternFill>
    </fill>
    <fill>
      <patternFill patternType="solid">
        <fgColor rgb="FFE8ECF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0FAF0"/>
        <bgColor indexed="64"/>
      </patternFill>
    </fill>
    <fill>
      <patternFill patternType="solid">
        <fgColor rgb="FF3A7CA5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D0D5DC"/>
      </bottom>
      <diagonal/>
    </border>
    <border>
      <left/>
      <right/>
      <top style="thin">
        <color rgb="FFD0D5DC"/>
      </top>
      <bottom style="thin">
        <color rgb="FFD0D5DC"/>
      </bottom>
      <diagonal/>
    </border>
    <border>
      <left/>
      <right/>
      <top style="thin">
        <color rgb="FFD0D5DC"/>
      </top>
      <bottom/>
      <diagonal/>
    </border>
    <border>
      <left/>
      <right/>
      <top style="thin">
        <color rgb="FFCCCCCC"/>
      </top>
      <bottom/>
      <diagonal/>
    </border>
    <border>
      <left/>
      <right/>
      <top style="medium">
        <color rgb="FF2B3A4E"/>
      </top>
      <bottom style="medium">
        <color rgb="FF2B3A4E"/>
      </bottom>
      <diagonal/>
    </border>
    <border>
      <left/>
      <right/>
      <top style="thin">
        <color rgb="FFD0D5DC"/>
      </top>
      <bottom style="medium">
        <color rgb="FF2B3A4E"/>
      </bottom>
      <diagonal/>
    </border>
    <border>
      <left/>
      <right/>
      <top/>
      <bottom style="thin">
        <color rgb="FFCCCCCC"/>
      </bottom>
      <diagonal/>
    </border>
    <border>
      <left/>
      <right/>
      <top style="thin">
        <color rgb="FFCCCCCC"/>
      </top>
      <bottom style="thin">
        <color rgb="FFCCCCCC"/>
      </bottom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1"/>
    <xf numFmtId="2" fontId="3" fillId="0" borderId="0" xfId="0" applyNumberFormat="1" applyFont="1"/>
    <xf numFmtId="0" fontId="4" fillId="0" borderId="0" xfId="1" applyFont="1"/>
    <xf numFmtId="0" fontId="5" fillId="2" borderId="0" xfId="0" applyFont="1" applyFill="1" applyAlignment="1">
      <alignment horizontal="left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10" fillId="3" borderId="0" xfId="0" applyFont="1" applyFill="1"/>
    <xf numFmtId="0" fontId="0" fillId="3" borderId="0" xfId="0" applyFill="1"/>
    <xf numFmtId="0" fontId="11" fillId="0" borderId="0" xfId="0" applyFont="1"/>
    <xf numFmtId="0" fontId="12" fillId="0" borderId="0" xfId="0" applyFont="1"/>
    <xf numFmtId="1" fontId="15" fillId="0" borderId="0" xfId="0" applyNumberFormat="1" applyFont="1" applyAlignment="1">
      <alignment horizontal="center"/>
    </xf>
    <xf numFmtId="0" fontId="17" fillId="2" borderId="0" xfId="0" applyFont="1" applyFill="1" applyAlignment="1">
      <alignment horizontal="center"/>
    </xf>
    <xf numFmtId="2" fontId="7" fillId="0" borderId="0" xfId="0" applyNumberFormat="1" applyFont="1"/>
    <xf numFmtId="0" fontId="12" fillId="0" borderId="2" xfId="0" applyFont="1" applyBorder="1"/>
    <xf numFmtId="0" fontId="12" fillId="0" borderId="3" xfId="0" applyFont="1" applyBorder="1"/>
    <xf numFmtId="164" fontId="14" fillId="4" borderId="0" xfId="0" applyNumberFormat="1" applyFont="1" applyFill="1" applyAlignment="1">
      <alignment horizontal="center"/>
    </xf>
    <xf numFmtId="0" fontId="12" fillId="0" borderId="4" xfId="0" applyFont="1" applyBorder="1"/>
    <xf numFmtId="164" fontId="14" fillId="4" borderId="4" xfId="0" applyNumberFormat="1" applyFont="1" applyFill="1" applyBorder="1" applyAlignment="1">
      <alignment horizontal="center"/>
    </xf>
    <xf numFmtId="2" fontId="15" fillId="0" borderId="2" xfId="0" applyNumberFormat="1" applyFont="1" applyBorder="1" applyAlignment="1">
      <alignment horizontal="center"/>
    </xf>
    <xf numFmtId="2" fontId="15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/>
    </xf>
    <xf numFmtId="1" fontId="15" fillId="0" borderId="3" xfId="0" applyNumberFormat="1" applyFont="1" applyBorder="1" applyAlignment="1">
      <alignment horizontal="center"/>
    </xf>
    <xf numFmtId="0" fontId="19" fillId="0" borderId="0" xfId="0" applyFont="1"/>
    <xf numFmtId="0" fontId="20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0" fontId="23" fillId="0" borderId="0" xfId="0" applyFont="1"/>
    <xf numFmtId="2" fontId="25" fillId="0" borderId="0" xfId="0" applyNumberFormat="1" applyFont="1"/>
    <xf numFmtId="2" fontId="25" fillId="0" borderId="0" xfId="1" applyNumberFormat="1" applyFont="1"/>
    <xf numFmtId="167" fontId="26" fillId="0" borderId="0" xfId="0" applyNumberFormat="1" applyFont="1"/>
    <xf numFmtId="1" fontId="26" fillId="0" borderId="0" xfId="0" applyNumberFormat="1" applyFont="1"/>
    <xf numFmtId="167" fontId="26" fillId="0" borderId="0" xfId="1" applyNumberFormat="1" applyFont="1"/>
    <xf numFmtId="1" fontId="26" fillId="0" borderId="0" xfId="1" applyNumberFormat="1" applyFont="1"/>
    <xf numFmtId="1" fontId="6" fillId="0" borderId="0" xfId="0" applyNumberFormat="1" applyFont="1" applyAlignment="1">
      <alignment horizontal="center"/>
    </xf>
    <xf numFmtId="1" fontId="6" fillId="0" borderId="0" xfId="1" applyNumberFormat="1" applyFont="1" applyAlignment="1">
      <alignment horizontal="center"/>
    </xf>
    <xf numFmtId="1" fontId="26" fillId="0" borderId="0" xfId="0" applyNumberFormat="1" applyFont="1" applyAlignment="1">
      <alignment horizontal="center"/>
    </xf>
    <xf numFmtId="1" fontId="26" fillId="0" borderId="0" xfId="1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" fontId="27" fillId="0" borderId="0" xfId="1" applyNumberFormat="1" applyFont="1" applyAlignment="1">
      <alignment horizontal="center"/>
    </xf>
    <xf numFmtId="1" fontId="16" fillId="0" borderId="0" xfId="0" applyNumberFormat="1" applyFont="1" applyAlignment="1">
      <alignment horizontal="center"/>
    </xf>
    <xf numFmtId="1" fontId="13" fillId="4" borderId="0" xfId="0" applyNumberFormat="1" applyFont="1" applyFill="1" applyAlignment="1">
      <alignment horizontal="center"/>
    </xf>
    <xf numFmtId="2" fontId="26" fillId="5" borderId="0" xfId="0" applyNumberFormat="1" applyFont="1" applyFill="1" applyAlignment="1">
      <alignment horizontal="center"/>
    </xf>
    <xf numFmtId="2" fontId="28" fillId="5" borderId="5" xfId="0" applyNumberFormat="1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3" fontId="15" fillId="0" borderId="5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1" fillId="0" borderId="2" xfId="0" applyFont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28" fillId="0" borderId="3" xfId="0" applyFont="1" applyBorder="1"/>
    <xf numFmtId="0" fontId="28" fillId="0" borderId="4" xfId="0" applyFont="1" applyBorder="1"/>
    <xf numFmtId="0" fontId="14" fillId="4" borderId="4" xfId="0" applyFont="1" applyFill="1" applyBorder="1" applyAlignment="1">
      <alignment horizontal="center"/>
    </xf>
    <xf numFmtId="3" fontId="29" fillId="0" borderId="3" xfId="0" applyNumberFormat="1" applyFont="1" applyBorder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166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33" fillId="0" borderId="0" xfId="0" applyFont="1"/>
    <xf numFmtId="2" fontId="25" fillId="4" borderId="0" xfId="0" applyNumberFormat="1" applyFont="1" applyFill="1" applyAlignment="1">
      <alignment horizontal="center"/>
    </xf>
    <xf numFmtId="166" fontId="14" fillId="4" borderId="0" xfId="0" applyNumberFormat="1" applyFont="1" applyFill="1" applyAlignment="1">
      <alignment horizontal="center"/>
    </xf>
    <xf numFmtId="165" fontId="14" fillId="4" borderId="4" xfId="0" applyNumberFormat="1" applyFont="1" applyFill="1" applyBorder="1" applyAlignment="1">
      <alignment horizontal="center"/>
    </xf>
    <xf numFmtId="3" fontId="14" fillId="4" borderId="3" xfId="0" applyNumberFormat="1" applyFont="1" applyFill="1" applyBorder="1" applyAlignment="1">
      <alignment horizontal="center"/>
    </xf>
    <xf numFmtId="1" fontId="34" fillId="6" borderId="6" xfId="0" applyNumberFormat="1" applyFont="1" applyFill="1" applyBorder="1" applyAlignment="1">
      <alignment horizontal="center"/>
    </xf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166" fontId="35" fillId="0" borderId="2" xfId="0" applyNumberFormat="1" applyFont="1" applyBorder="1" applyAlignment="1">
      <alignment horizontal="center"/>
    </xf>
    <xf numFmtId="3" fontId="36" fillId="0" borderId="0" xfId="0" applyNumberFormat="1" applyFont="1" applyAlignment="1">
      <alignment horizontal="center"/>
    </xf>
    <xf numFmtId="0" fontId="18" fillId="0" borderId="3" xfId="0" applyFont="1" applyBorder="1"/>
    <xf numFmtId="2" fontId="36" fillId="0" borderId="4" xfId="0" applyNumberFormat="1" applyFont="1" applyBorder="1" applyAlignment="1">
      <alignment horizontal="center"/>
    </xf>
    <xf numFmtId="0" fontId="18" fillId="0" borderId="4" xfId="0" applyFont="1" applyBorder="1"/>
    <xf numFmtId="3" fontId="37" fillId="4" borderId="4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49" fontId="19" fillId="0" borderId="0" xfId="0" applyNumberFormat="1" applyFont="1"/>
    <xf numFmtId="2" fontId="22" fillId="0" borderId="4" xfId="0" applyNumberFormat="1" applyFont="1" applyBorder="1" applyAlignment="1">
      <alignment horizontal="center"/>
    </xf>
    <xf numFmtId="165" fontId="24" fillId="0" borderId="0" xfId="0" applyNumberFormat="1" applyFont="1" applyAlignment="1">
      <alignment horizontal="center"/>
    </xf>
    <xf numFmtId="0" fontId="7" fillId="0" borderId="3" xfId="0" applyFont="1" applyBorder="1"/>
    <xf numFmtId="165" fontId="24" fillId="0" borderId="3" xfId="0" applyNumberFormat="1" applyFont="1" applyBorder="1" applyAlignment="1">
      <alignment horizontal="center"/>
    </xf>
    <xf numFmtId="0" fontId="0" fillId="0" borderId="3" xfId="0" applyBorder="1"/>
    <xf numFmtId="0" fontId="7" fillId="0" borderId="4" xfId="0" applyFont="1" applyBorder="1"/>
    <xf numFmtId="165" fontId="24" fillId="0" borderId="4" xfId="0" applyNumberFormat="1" applyFont="1" applyBorder="1" applyAlignment="1">
      <alignment horizontal="center"/>
    </xf>
    <xf numFmtId="0" fontId="0" fillId="0" borderId="4" xfId="0" applyBorder="1"/>
    <xf numFmtId="166" fontId="15" fillId="0" borderId="4" xfId="0" applyNumberFormat="1" applyFont="1" applyBorder="1" applyAlignment="1">
      <alignment horizontal="center"/>
    </xf>
    <xf numFmtId="166" fontId="22" fillId="0" borderId="4" xfId="0" applyNumberFormat="1" applyFont="1" applyBorder="1" applyAlignment="1">
      <alignment horizontal="center"/>
    </xf>
    <xf numFmtId="0" fontId="0" fillId="0" borderId="7" xfId="0" applyBorder="1"/>
    <xf numFmtId="3" fontId="15" fillId="0" borderId="3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38" fillId="2" borderId="0" xfId="1" applyFont="1" applyFill="1" applyAlignment="1">
      <alignment horizontal="center"/>
    </xf>
    <xf numFmtId="1" fontId="39" fillId="0" borderId="0" xfId="1" applyNumberFormat="1" applyFont="1" applyAlignment="1">
      <alignment horizontal="center"/>
    </xf>
    <xf numFmtId="1" fontId="40" fillId="0" borderId="0" xfId="0" applyNumberFormat="1" applyFont="1" applyAlignment="1">
      <alignment horizontal="center"/>
    </xf>
    <xf numFmtId="1" fontId="41" fillId="0" borderId="0" xfId="1" applyNumberFormat="1" applyFont="1" applyAlignment="1">
      <alignment horizontal="center"/>
    </xf>
    <xf numFmtId="1" fontId="41" fillId="0" borderId="0" xfId="0" applyNumberFormat="1" applyFont="1" applyAlignment="1">
      <alignment horizontal="center"/>
    </xf>
    <xf numFmtId="1" fontId="40" fillId="0" borderId="1" xfId="0" applyNumberFormat="1" applyFont="1" applyBorder="1" applyAlignment="1">
      <alignment horizontal="center"/>
    </xf>
    <xf numFmtId="0" fontId="42" fillId="2" borderId="0" xfId="0" applyFont="1" applyFill="1"/>
    <xf numFmtId="0" fontId="43" fillId="0" borderId="0" xfId="0" applyFont="1"/>
    <xf numFmtId="0" fontId="14" fillId="4" borderId="8" xfId="0" applyFont="1" applyFill="1" applyBorder="1"/>
    <xf numFmtId="0" fontId="0" fillId="4" borderId="8" xfId="0" applyFill="1" applyBorder="1"/>
    <xf numFmtId="168" fontId="14" fillId="4" borderId="8" xfId="0" applyNumberFormat="1" applyFont="1" applyFill="1" applyBorder="1"/>
    <xf numFmtId="0" fontId="44" fillId="7" borderId="0" xfId="0" applyFont="1" applyFill="1"/>
    <xf numFmtId="0" fontId="0" fillId="7" borderId="0" xfId="0" applyFill="1"/>
    <xf numFmtId="0" fontId="17" fillId="7" borderId="0" xfId="0" applyFont="1" applyFill="1" applyAlignment="1">
      <alignment horizontal="right"/>
    </xf>
    <xf numFmtId="0" fontId="14" fillId="4" borderId="8" xfId="0" applyFont="1" applyFill="1" applyBorder="1" applyAlignment="1">
      <alignment horizontal="center"/>
    </xf>
    <xf numFmtId="0" fontId="1" fillId="0" borderId="0" xfId="0" applyFont="1"/>
    <xf numFmtId="0" fontId="7" fillId="0" borderId="0" xfId="0" applyFont="1" applyAlignment="1">
      <alignment horizontal="right"/>
    </xf>
    <xf numFmtId="0" fontId="14" fillId="4" borderId="0" xfId="0" applyFont="1" applyFill="1"/>
    <xf numFmtId="0" fontId="14" fillId="4" borderId="9" xfId="0" applyFont="1" applyFill="1" applyBorder="1"/>
    <xf numFmtId="0" fontId="0" fillId="4" borderId="0" xfId="0" applyFill="1"/>
    <xf numFmtId="0" fontId="0" fillId="4" borderId="9" xfId="0" applyFill="1" applyBorder="1"/>
    <xf numFmtId="0" fontId="14" fillId="4" borderId="5" xfId="0" applyFont="1" applyFill="1" applyBorder="1"/>
    <xf numFmtId="0" fontId="0" fillId="4" borderId="5" xfId="0" applyFill="1" applyBorder="1"/>
    <xf numFmtId="2" fontId="45" fillId="4" borderId="2" xfId="0" applyNumberFormat="1" applyFont="1" applyFill="1" applyBorder="1" applyAlignment="1">
      <alignment horizontal="center"/>
    </xf>
    <xf numFmtId="166" fontId="45" fillId="4" borderId="2" xfId="0" applyNumberFormat="1" applyFont="1" applyFill="1" applyBorder="1" applyAlignment="1">
      <alignment horizontal="center"/>
    </xf>
    <xf numFmtId="166" fontId="46" fillId="4" borderId="0" xfId="0" applyNumberFormat="1" applyFont="1" applyFill="1" applyAlignment="1">
      <alignment horizontal="center"/>
    </xf>
    <xf numFmtId="164" fontId="46" fillId="4" borderId="0" xfId="0" applyNumberFormat="1" applyFont="1" applyFill="1" applyAlignment="1">
      <alignment horizontal="center"/>
    </xf>
    <xf numFmtId="1" fontId="45" fillId="4" borderId="6" xfId="0" applyNumberFormat="1" applyFont="1" applyFill="1" applyBorder="1" applyAlignment="1">
      <alignment horizontal="center"/>
    </xf>
    <xf numFmtId="0" fontId="44" fillId="8" borderId="0" xfId="0" applyFont="1" applyFill="1"/>
    <xf numFmtId="0" fontId="0" fillId="8" borderId="0" xfId="0" applyFill="1"/>
    <xf numFmtId="0" fontId="47" fillId="0" borderId="0" xfId="0" applyFont="1"/>
  </cellXfs>
  <cellStyles count="3">
    <cellStyle name="Normal" xfId="0" builtinId="0"/>
    <cellStyle name="Normal 2" xfId="1" xr:uid="{BD5C4F62-2772-6144-A6D4-EBA297124CC9}"/>
    <cellStyle name="Percent 2" xfId="2" xr:uid="{5E247F1B-7561-5441-A570-50F9DFC0D0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2B3A4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2B3A4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'1 - Population Simulation'!$I$5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val>
            <c:numRef>
              <c:f>'1 - Population Simulation'!$I$6:$I$25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14</c:v>
                </c:pt>
                <c:pt idx="5">
                  <c:v>40</c:v>
                </c:pt>
                <c:pt idx="6">
                  <c:v>54</c:v>
                </c:pt>
                <c:pt idx="7">
                  <c:v>112</c:v>
                </c:pt>
                <c:pt idx="8">
                  <c:v>121</c:v>
                </c:pt>
                <c:pt idx="9">
                  <c:v>150</c:v>
                </c:pt>
                <c:pt idx="10">
                  <c:v>157</c:v>
                </c:pt>
                <c:pt idx="11">
                  <c:v>123</c:v>
                </c:pt>
                <c:pt idx="12">
                  <c:v>98</c:v>
                </c:pt>
                <c:pt idx="13">
                  <c:v>71</c:v>
                </c:pt>
                <c:pt idx="14">
                  <c:v>29</c:v>
                </c:pt>
                <c:pt idx="15">
                  <c:v>14</c:v>
                </c:pt>
                <c:pt idx="16">
                  <c:v>6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25-400F-8D20-988C6022C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7"/>
        <c:axId val="1077970623"/>
        <c:axId val="1077968703"/>
      </c:barChart>
      <c:catAx>
        <c:axId val="107797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A6A7A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968703"/>
        <c:crosses val="autoZero"/>
        <c:auto val="1"/>
        <c:lblAlgn val="ctr"/>
        <c:lblOffset val="100"/>
        <c:noMultiLvlLbl val="0"/>
      </c:catAx>
      <c:valAx>
        <c:axId val="1077968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5A6A7A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970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3A4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3A4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Random Sampling'!$O$4</c:f>
              <c:strCache>
                <c:ptCount val="1"/>
                <c:pt idx="0">
                  <c:v>Population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val>
            <c:numRef>
              <c:f>'2 - Random Sampling'!$O$5:$O$19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16</c:v>
                </c:pt>
                <c:pt idx="6">
                  <c:v>16</c:v>
                </c:pt>
                <c:pt idx="7">
                  <c:v>20</c:v>
                </c:pt>
                <c:pt idx="8">
                  <c:v>15</c:v>
                </c:pt>
                <c:pt idx="9">
                  <c:v>10</c:v>
                </c:pt>
                <c:pt idx="10">
                  <c:v>11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D-4464-A103-8C8C1AAA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7"/>
        <c:axId val="1134831535"/>
        <c:axId val="1134832495"/>
      </c:barChart>
      <c:catAx>
        <c:axId val="1134831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A6A7A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32495"/>
        <c:crosses val="autoZero"/>
        <c:auto val="1"/>
        <c:lblAlgn val="ctr"/>
        <c:lblOffset val="100"/>
        <c:noMultiLvlLbl val="0"/>
      </c:catAx>
      <c:valAx>
        <c:axId val="1134832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A6A7A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31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rgbClr val="2B3A4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Sample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rgbClr val="2B3A4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Random Sampling'!$P$4</c:f>
              <c:strCache>
                <c:ptCount val="1"/>
                <c:pt idx="0">
                  <c:v>Sample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val>
            <c:numRef>
              <c:f>'2 - Random Sampling'!$P$5:$P$19</c:f>
              <c:numCache>
                <c:formatCode>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5</c:v>
                </c:pt>
                <c:pt idx="6">
                  <c:v>3</c:v>
                </c:pt>
                <c:pt idx="7">
                  <c:v>3</c:v>
                </c:pt>
                <c:pt idx="8">
                  <c:v>7</c:v>
                </c:pt>
                <c:pt idx="9">
                  <c:v>2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7-444C-8623-A14912DAF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7"/>
        <c:axId val="1137520815"/>
        <c:axId val="1137516495"/>
      </c:barChart>
      <c:catAx>
        <c:axId val="1137520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A6A7A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16495"/>
        <c:crosses val="autoZero"/>
        <c:auto val="1"/>
        <c:lblAlgn val="ctr"/>
        <c:lblOffset val="100"/>
        <c:noMultiLvlLbl val="0"/>
      </c:catAx>
      <c:valAx>
        <c:axId val="113751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5A6A7A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520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918152</xdr:colOff>
      <xdr:row>11</xdr:row>
      <xdr:rowOff>34637</xdr:rowOff>
    </xdr:from>
    <xdr:to>
      <xdr:col>6</xdr:col>
      <xdr:colOff>684068</xdr:colOff>
      <xdr:row>25</xdr:row>
      <xdr:rowOff>181842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A00EDC6-1BA4-648D-4B87-585C75BBC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92075</xdr:colOff>
      <xdr:row>32</xdr:row>
      <xdr:rowOff>184150</xdr:rowOff>
    </xdr:from>
    <xdr:to>
      <xdr:col>13</xdr:col>
      <xdr:colOff>412750</xdr:colOff>
      <xdr:row>44</xdr:row>
      <xdr:rowOff>196850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4EDA55C-57FB-8FF2-EF61-92123876D1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19</xdr:row>
      <xdr:rowOff>203200</xdr:rowOff>
    </xdr:from>
    <xdr:to>
      <xdr:col>13</xdr:col>
      <xdr:colOff>349250</xdr:colOff>
      <xdr:row>32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401470C-C145-AC8C-A2AA-D1E6700EF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B3DFEE0-3EE4-45C4-9C89-FB16A4C0EA43}">
  <we:reference id="wa200009404" version="1.0.0.5" store="en-US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E2694-EE60-4993-BBBE-FC3AD8082BC7}">
  <dimension ref="A1:H93"/>
  <sheetViews>
    <sheetView tabSelected="1" topLeftCell="A2" workbookViewId="0">
      <selection activeCell="J7" sqref="J7"/>
    </sheetView>
  </sheetViews>
  <sheetFormatPr defaultRowHeight="15.75" outlineLevelRow="1" x14ac:dyDescent="0.5"/>
  <cols>
    <col min="1" max="1" width="5.875" customWidth="1"/>
    <col min="2" max="5" width="18.375" customWidth="1"/>
    <col min="6" max="6" width="14.125" customWidth="1"/>
    <col min="7" max="7" width="15" customWidth="1"/>
    <col min="8" max="8" width="11.625" customWidth="1"/>
  </cols>
  <sheetData>
    <row r="1" spans="1:8" ht="35.1" customHeight="1" x14ac:dyDescent="0.65">
      <c r="A1" s="96" t="s">
        <v>128</v>
      </c>
      <c r="B1" s="5"/>
      <c r="C1" s="5"/>
      <c r="D1" s="5"/>
      <c r="E1" s="5"/>
      <c r="F1" s="5"/>
    </row>
    <row r="2" spans="1:8" x14ac:dyDescent="0.5">
      <c r="A2" s="97" t="s">
        <v>129</v>
      </c>
    </row>
    <row r="3" spans="1:8" x14ac:dyDescent="0.5">
      <c r="A3" s="12" t="s">
        <v>130</v>
      </c>
      <c r="B3" s="98"/>
      <c r="C3" s="99"/>
      <c r="D3" s="46" t="s">
        <v>131</v>
      </c>
      <c r="E3" s="100"/>
    </row>
    <row r="5" spans="1:8" x14ac:dyDescent="0.5">
      <c r="A5" s="101" t="s">
        <v>132</v>
      </c>
      <c r="B5" s="102"/>
      <c r="C5" s="102"/>
      <c r="D5" s="102"/>
      <c r="E5" s="103" t="s">
        <v>133</v>
      </c>
      <c r="F5" s="102"/>
    </row>
    <row r="6" spans="1:8" x14ac:dyDescent="0.5">
      <c r="A6" s="7" t="s">
        <v>134</v>
      </c>
    </row>
    <row r="8" spans="1:8" x14ac:dyDescent="0.5">
      <c r="A8" s="12" t="s">
        <v>135</v>
      </c>
      <c r="B8" s="11" t="s">
        <v>136</v>
      </c>
      <c r="F8" s="104"/>
    </row>
    <row r="9" spans="1:8" x14ac:dyDescent="0.5">
      <c r="A9" s="105"/>
      <c r="B9" s="55" t="s">
        <v>137</v>
      </c>
    </row>
    <row r="11" spans="1:8" x14ac:dyDescent="0.5">
      <c r="A11" s="12" t="s">
        <v>138</v>
      </c>
      <c r="B11" s="11" t="s">
        <v>139</v>
      </c>
      <c r="F11" s="104"/>
    </row>
    <row r="13" spans="1:8" x14ac:dyDescent="0.5">
      <c r="A13" s="12" t="s">
        <v>140</v>
      </c>
      <c r="B13" s="11" t="s">
        <v>216</v>
      </c>
      <c r="F13" s="104"/>
      <c r="G13" s="99"/>
      <c r="H13" s="99"/>
    </row>
    <row r="15" spans="1:8" x14ac:dyDescent="0.5">
      <c r="A15" s="12" t="s">
        <v>141</v>
      </c>
      <c r="B15" s="11" t="s">
        <v>142</v>
      </c>
      <c r="F15" s="104"/>
      <c r="G15" s="99"/>
      <c r="H15" s="99"/>
    </row>
    <row r="17" spans="1:8" x14ac:dyDescent="0.5">
      <c r="A17" s="12" t="s">
        <v>143</v>
      </c>
      <c r="B17" s="12" t="s">
        <v>144</v>
      </c>
    </row>
    <row r="19" spans="1:8" x14ac:dyDescent="0.5">
      <c r="A19" s="101" t="s">
        <v>145</v>
      </c>
      <c r="B19" s="102"/>
      <c r="C19" s="102"/>
      <c r="D19" s="102"/>
      <c r="E19" s="103" t="s">
        <v>146</v>
      </c>
      <c r="F19" s="102"/>
      <c r="G19" s="102"/>
      <c r="H19" s="102"/>
    </row>
    <row r="20" spans="1:8" x14ac:dyDescent="0.5">
      <c r="A20" s="7" t="s">
        <v>147</v>
      </c>
    </row>
    <row r="22" spans="1:8" x14ac:dyDescent="0.5">
      <c r="A22" s="12" t="s">
        <v>148</v>
      </c>
      <c r="B22" s="11" t="s">
        <v>149</v>
      </c>
    </row>
    <row r="23" spans="1:8" x14ac:dyDescent="0.5">
      <c r="A23" s="105"/>
      <c r="B23" s="6" t="s">
        <v>150</v>
      </c>
      <c r="C23" s="104"/>
      <c r="D23" s="106" t="s">
        <v>151</v>
      </c>
      <c r="E23" s="104"/>
    </row>
    <row r="25" spans="1:8" x14ac:dyDescent="0.5">
      <c r="A25" s="12" t="s">
        <v>152</v>
      </c>
      <c r="B25" s="11" t="s">
        <v>153</v>
      </c>
    </row>
    <row r="26" spans="1:8" x14ac:dyDescent="0.5">
      <c r="A26" s="105"/>
      <c r="B26" s="6" t="s">
        <v>150</v>
      </c>
      <c r="C26" s="104"/>
      <c r="D26" s="106" t="s">
        <v>151</v>
      </c>
      <c r="E26" s="104"/>
    </row>
    <row r="28" spans="1:8" x14ac:dyDescent="0.5">
      <c r="A28" s="12" t="s">
        <v>154</v>
      </c>
      <c r="B28" s="11" t="s">
        <v>155</v>
      </c>
      <c r="F28" s="104"/>
      <c r="G28" s="99"/>
      <c r="H28" s="99"/>
    </row>
    <row r="30" spans="1:8" x14ac:dyDescent="0.5">
      <c r="A30" s="12" t="s">
        <v>156</v>
      </c>
      <c r="B30" s="11" t="s">
        <v>157</v>
      </c>
    </row>
    <row r="31" spans="1:8" x14ac:dyDescent="0.5">
      <c r="A31" s="105"/>
      <c r="B31" s="55" t="s">
        <v>158</v>
      </c>
      <c r="F31" s="104"/>
    </row>
    <row r="33" spans="1:8" x14ac:dyDescent="0.5">
      <c r="A33" s="12" t="s">
        <v>159</v>
      </c>
      <c r="B33" s="11" t="s">
        <v>160</v>
      </c>
      <c r="F33" s="104"/>
      <c r="G33" s="99"/>
      <c r="H33" s="99"/>
    </row>
    <row r="36" spans="1:8" x14ac:dyDescent="0.5">
      <c r="A36" s="101" t="s">
        <v>161</v>
      </c>
      <c r="B36" s="102"/>
      <c r="C36" s="102"/>
      <c r="D36" s="102"/>
      <c r="E36" s="103" t="s">
        <v>162</v>
      </c>
      <c r="F36" s="102"/>
      <c r="G36" s="102"/>
      <c r="H36" s="102"/>
    </row>
    <row r="37" spans="1:8" x14ac:dyDescent="0.5">
      <c r="A37" s="7" t="s">
        <v>163</v>
      </c>
    </row>
    <row r="39" spans="1:8" x14ac:dyDescent="0.5">
      <c r="A39" s="12" t="s">
        <v>164</v>
      </c>
      <c r="B39" s="11" t="s">
        <v>165</v>
      </c>
    </row>
    <row r="40" spans="1:8" x14ac:dyDescent="0.5">
      <c r="A40" s="105"/>
      <c r="B40" s="55" t="s">
        <v>166</v>
      </c>
    </row>
    <row r="41" spans="1:8" x14ac:dyDescent="0.5">
      <c r="A41" s="105"/>
      <c r="B41" s="6" t="s">
        <v>167</v>
      </c>
      <c r="C41" s="98"/>
      <c r="D41" s="55" t="s">
        <v>168</v>
      </c>
    </row>
    <row r="43" spans="1:8" x14ac:dyDescent="0.5">
      <c r="A43" s="12" t="s">
        <v>169</v>
      </c>
      <c r="B43" s="11" t="s">
        <v>170</v>
      </c>
    </row>
    <row r="44" spans="1:8" x14ac:dyDescent="0.5">
      <c r="A44" s="105"/>
      <c r="B44" s="55" t="s">
        <v>171</v>
      </c>
    </row>
    <row r="45" spans="1:8" x14ac:dyDescent="0.5">
      <c r="A45" s="105"/>
      <c r="B45" s="6" t="s">
        <v>167</v>
      </c>
      <c r="C45" s="98"/>
      <c r="D45" s="55" t="s">
        <v>172</v>
      </c>
    </row>
    <row r="47" spans="1:8" x14ac:dyDescent="0.5">
      <c r="A47" s="12" t="s">
        <v>173</v>
      </c>
      <c r="B47" s="11" t="s">
        <v>174</v>
      </c>
    </row>
    <row r="48" spans="1:8" x14ac:dyDescent="0.5">
      <c r="A48" s="105"/>
      <c r="B48" s="55" t="s">
        <v>175</v>
      </c>
    </row>
    <row r="49" spans="1:8" x14ac:dyDescent="0.5">
      <c r="A49" s="105"/>
      <c r="B49" s="6" t="s">
        <v>167</v>
      </c>
      <c r="C49" s="98"/>
      <c r="D49" s="55" t="s">
        <v>176</v>
      </c>
    </row>
    <row r="51" spans="1:8" x14ac:dyDescent="0.5">
      <c r="A51" s="12" t="s">
        <v>177</v>
      </c>
      <c r="B51" s="11" t="s">
        <v>178</v>
      </c>
      <c r="F51" s="104"/>
    </row>
    <row r="53" spans="1:8" x14ac:dyDescent="0.5">
      <c r="A53" s="101" t="s">
        <v>179</v>
      </c>
      <c r="B53" s="102"/>
      <c r="C53" s="102"/>
      <c r="D53" s="102"/>
      <c r="E53" s="103" t="s">
        <v>180</v>
      </c>
      <c r="F53" s="102"/>
      <c r="G53" s="102"/>
      <c r="H53" s="102"/>
    </row>
    <row r="54" spans="1:8" x14ac:dyDescent="0.5">
      <c r="A54" s="7" t="s">
        <v>181</v>
      </c>
    </row>
    <row r="56" spans="1:8" x14ac:dyDescent="0.5">
      <c r="A56" s="12" t="s">
        <v>182</v>
      </c>
      <c r="B56" s="11" t="s">
        <v>183</v>
      </c>
    </row>
    <row r="57" spans="1:8" x14ac:dyDescent="0.5">
      <c r="A57" s="105"/>
      <c r="B57" s="55" t="s">
        <v>184</v>
      </c>
    </row>
    <row r="58" spans="1:8" x14ac:dyDescent="0.5">
      <c r="A58" s="105"/>
      <c r="B58" s="6" t="s">
        <v>185</v>
      </c>
      <c r="C58" s="107"/>
      <c r="D58" s="109"/>
      <c r="E58" s="109"/>
    </row>
    <row r="59" spans="1:8" x14ac:dyDescent="0.5">
      <c r="A59" s="105"/>
      <c r="B59" s="6" t="s">
        <v>186</v>
      </c>
      <c r="C59" s="111"/>
      <c r="D59" s="112"/>
      <c r="E59" s="112"/>
    </row>
    <row r="60" spans="1:8" x14ac:dyDescent="0.5">
      <c r="A60" s="105"/>
      <c r="B60" s="6" t="s">
        <v>187</v>
      </c>
      <c r="C60" s="108"/>
      <c r="D60" s="110"/>
      <c r="E60" s="110"/>
    </row>
    <row r="62" spans="1:8" x14ac:dyDescent="0.5">
      <c r="A62" s="12" t="s">
        <v>188</v>
      </c>
      <c r="B62" s="11" t="s">
        <v>189</v>
      </c>
    </row>
    <row r="63" spans="1:8" x14ac:dyDescent="0.5">
      <c r="A63" s="105"/>
      <c r="B63" s="55" t="s">
        <v>190</v>
      </c>
    </row>
    <row r="64" spans="1:8" x14ac:dyDescent="0.5">
      <c r="A64" s="105"/>
      <c r="B64" s="6" t="s">
        <v>191</v>
      </c>
      <c r="F64" s="104"/>
    </row>
    <row r="66" spans="1:8" x14ac:dyDescent="0.5">
      <c r="A66" s="12" t="s">
        <v>192</v>
      </c>
      <c r="B66" s="11" t="s">
        <v>193</v>
      </c>
    </row>
    <row r="67" spans="1:8" x14ac:dyDescent="0.5">
      <c r="A67" s="105"/>
      <c r="B67" s="55" t="s">
        <v>194</v>
      </c>
      <c r="F67" s="98"/>
      <c r="G67" s="99"/>
      <c r="H67" s="99"/>
    </row>
    <row r="69" spans="1:8" x14ac:dyDescent="0.5">
      <c r="A69" s="12" t="s">
        <v>195</v>
      </c>
      <c r="B69" s="11" t="s">
        <v>196</v>
      </c>
    </row>
    <row r="70" spans="1:8" x14ac:dyDescent="0.5">
      <c r="A70" s="105"/>
      <c r="B70" s="55" t="s">
        <v>197</v>
      </c>
      <c r="F70" s="104"/>
    </row>
    <row r="73" spans="1:8" outlineLevel="1" x14ac:dyDescent="0.5">
      <c r="A73" s="118" t="s">
        <v>199</v>
      </c>
      <c r="B73" s="119"/>
      <c r="C73" s="119"/>
      <c r="D73" s="119"/>
      <c r="E73" s="119"/>
      <c r="F73" s="119"/>
      <c r="G73" s="119"/>
      <c r="H73" s="119"/>
    </row>
    <row r="74" spans="1:8" outlineLevel="1" x14ac:dyDescent="0.5">
      <c r="A74" s="120" t="s">
        <v>200</v>
      </c>
    </row>
    <row r="75" spans="1:8" outlineLevel="1" x14ac:dyDescent="0.5">
      <c r="A75" s="8" t="s">
        <v>135</v>
      </c>
      <c r="B75" s="6" t="s">
        <v>203</v>
      </c>
    </row>
    <row r="76" spans="1:8" outlineLevel="1" x14ac:dyDescent="0.5">
      <c r="A76" s="8" t="s">
        <v>138</v>
      </c>
      <c r="B76" s="6" t="s">
        <v>204</v>
      </c>
    </row>
    <row r="77" spans="1:8" outlineLevel="1" x14ac:dyDescent="0.5">
      <c r="A77" s="8" t="s">
        <v>140</v>
      </c>
      <c r="B77" s="6" t="s">
        <v>217</v>
      </c>
    </row>
    <row r="78" spans="1:8" outlineLevel="1" x14ac:dyDescent="0.5">
      <c r="A78" s="8" t="s">
        <v>141</v>
      </c>
      <c r="B78" s="6" t="s">
        <v>205</v>
      </c>
    </row>
    <row r="79" spans="1:8" outlineLevel="1" x14ac:dyDescent="0.5"/>
    <row r="80" spans="1:8" outlineLevel="1" x14ac:dyDescent="0.5">
      <c r="A80" s="120" t="s">
        <v>201</v>
      </c>
    </row>
    <row r="81" spans="1:2" outlineLevel="1" x14ac:dyDescent="0.5">
      <c r="A81" s="8" t="s">
        <v>154</v>
      </c>
      <c r="B81" s="6" t="s">
        <v>202</v>
      </c>
    </row>
    <row r="82" spans="1:2" outlineLevel="1" x14ac:dyDescent="0.5">
      <c r="A82" s="8" t="s">
        <v>156</v>
      </c>
      <c r="B82" s="6" t="s">
        <v>206</v>
      </c>
    </row>
    <row r="83" spans="1:2" outlineLevel="1" x14ac:dyDescent="0.5">
      <c r="A83" s="8" t="s">
        <v>159</v>
      </c>
      <c r="B83" s="6" t="s">
        <v>207</v>
      </c>
    </row>
    <row r="84" spans="1:2" outlineLevel="1" x14ac:dyDescent="0.5"/>
    <row r="85" spans="1:2" outlineLevel="1" x14ac:dyDescent="0.5">
      <c r="A85" s="120" t="s">
        <v>208</v>
      </c>
    </row>
    <row r="86" spans="1:2" outlineLevel="1" x14ac:dyDescent="0.5">
      <c r="A86" s="8" t="s">
        <v>164</v>
      </c>
      <c r="B86" s="6" t="s">
        <v>209</v>
      </c>
    </row>
    <row r="87" spans="1:2" outlineLevel="1" x14ac:dyDescent="0.5">
      <c r="A87" s="8" t="s">
        <v>169</v>
      </c>
      <c r="B87" s="6" t="s">
        <v>210</v>
      </c>
    </row>
    <row r="88" spans="1:2" outlineLevel="1" x14ac:dyDescent="0.5">
      <c r="A88" s="8" t="s">
        <v>173</v>
      </c>
      <c r="B88" s="6" t="s">
        <v>211</v>
      </c>
    </row>
    <row r="89" spans="1:2" outlineLevel="1" x14ac:dyDescent="0.5"/>
    <row r="90" spans="1:2" outlineLevel="1" x14ac:dyDescent="0.5">
      <c r="A90" s="120" t="s">
        <v>212</v>
      </c>
    </row>
    <row r="91" spans="1:2" outlineLevel="1" x14ac:dyDescent="0.5">
      <c r="A91" s="8" t="s">
        <v>188</v>
      </c>
      <c r="B91" s="6" t="s">
        <v>213</v>
      </c>
    </row>
    <row r="92" spans="1:2" outlineLevel="1" x14ac:dyDescent="0.5">
      <c r="A92" s="8" t="s">
        <v>192</v>
      </c>
      <c r="B92" s="6" t="s">
        <v>214</v>
      </c>
    </row>
    <row r="93" spans="1:2" outlineLevel="1" x14ac:dyDescent="0.5">
      <c r="A93" s="8" t="s">
        <v>195</v>
      </c>
      <c r="B93" s="6" t="s">
        <v>215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FC9B3-4893-0348-9683-981DC1B28445}">
  <dimension ref="A1:I5012"/>
  <sheetViews>
    <sheetView topLeftCell="A12" zoomScale="110" zoomScaleNormal="110" workbookViewId="0">
      <selection activeCell="B8" sqref="B8"/>
    </sheetView>
  </sheetViews>
  <sheetFormatPr defaultColWidth="11" defaultRowHeight="15.75" outlineLevelCol="1" x14ac:dyDescent="0.5"/>
  <cols>
    <col min="1" max="1" width="21.625" customWidth="1"/>
    <col min="2" max="2" width="13.375" customWidth="1"/>
    <col min="3" max="4" width="2.5" customWidth="1"/>
    <col min="5" max="5" width="21.625" customWidth="1"/>
    <col min="6" max="6" width="13.375" customWidth="1"/>
    <col min="8" max="9" width="11" outlineLevel="1"/>
  </cols>
  <sheetData>
    <row r="1" spans="1:9" ht="30" customHeight="1" x14ac:dyDescent="0.55000000000000004">
      <c r="A1" s="4" t="s">
        <v>15</v>
      </c>
      <c r="B1" s="5"/>
      <c r="C1" s="5"/>
      <c r="D1" s="5"/>
      <c r="E1" s="5"/>
      <c r="F1" s="5"/>
      <c r="G1" s="5"/>
    </row>
    <row r="2" spans="1:9" x14ac:dyDescent="0.5">
      <c r="A2" s="7" t="s">
        <v>16</v>
      </c>
    </row>
    <row r="4" spans="1:9" x14ac:dyDescent="0.5">
      <c r="A4" s="9" t="s">
        <v>17</v>
      </c>
      <c r="B4" s="10"/>
      <c r="C4" s="10"/>
      <c r="E4" s="9" t="s">
        <v>18</v>
      </c>
      <c r="F4" s="10"/>
      <c r="G4" s="10"/>
      <c r="H4" s="9" t="s">
        <v>125</v>
      </c>
      <c r="I4" s="10"/>
    </row>
    <row r="5" spans="1:9" x14ac:dyDescent="0.5">
      <c r="A5" s="12" t="s">
        <v>19</v>
      </c>
      <c r="B5" s="18">
        <v>100</v>
      </c>
      <c r="E5" s="12" t="s">
        <v>20</v>
      </c>
      <c r="F5" s="22">
        <f ca="1">AVERAGE(A13:A5012)</f>
        <v>100.10452043820372</v>
      </c>
      <c r="H5" s="14" t="s">
        <v>126</v>
      </c>
      <c r="I5" s="14" t="s">
        <v>127</v>
      </c>
    </row>
    <row r="6" spans="1:9" x14ac:dyDescent="0.5">
      <c r="A6" s="19" t="s">
        <v>21</v>
      </c>
      <c r="B6" s="20">
        <v>25</v>
      </c>
      <c r="E6" s="19" t="s">
        <v>22</v>
      </c>
      <c r="F6" s="23">
        <f ca="1">_xlfn.STDEV.P(A13:A5012)</f>
        <v>25.37613113066012</v>
      </c>
      <c r="H6" s="36">
        <f>$B$5+$B$6*-3.6</f>
        <v>10</v>
      </c>
      <c r="I6" s="89">
        <f ca="1">COUNTIF($A$13:$A$5012,"&lt;="&amp;H6)</f>
        <v>0</v>
      </c>
    </row>
    <row r="7" spans="1:9" x14ac:dyDescent="0.5">
      <c r="A7" s="17" t="s">
        <v>23</v>
      </c>
      <c r="B7" s="64">
        <v>1000</v>
      </c>
      <c r="E7" s="19" t="s">
        <v>24</v>
      </c>
      <c r="F7" s="23">
        <f ca="1">MIN(A13:A5012)</f>
        <v>36.595040297237212</v>
      </c>
      <c r="H7" s="36">
        <f>$B$5+$B$6*-3.2</f>
        <v>20</v>
      </c>
      <c r="I7" s="89">
        <f t="shared" ref="I7:I25" ca="1" si="0">COUNTIFS($A$13:$A$5012,"&gt;"&amp;H6,$A$13:$A$5012,"&lt;="&amp;H7)</f>
        <v>0</v>
      </c>
    </row>
    <row r="8" spans="1:9" x14ac:dyDescent="0.5">
      <c r="E8" s="19" t="s">
        <v>25</v>
      </c>
      <c r="F8" s="23">
        <f ca="1">MAX(A13:A5012)</f>
        <v>185.32350839836155</v>
      </c>
      <c r="H8" s="36">
        <f>$B$5+$B$6*-2.8</f>
        <v>30</v>
      </c>
      <c r="I8" s="89">
        <f t="shared" ca="1" si="0"/>
        <v>0</v>
      </c>
    </row>
    <row r="9" spans="1:9" x14ac:dyDescent="0.5">
      <c r="E9" s="17" t="s">
        <v>10</v>
      </c>
      <c r="F9" s="88">
        <f ca="1">COUNT(A13:A5012)</f>
        <v>1000</v>
      </c>
      <c r="H9" s="36">
        <f>$B$5+$B$6*-2.4</f>
        <v>40</v>
      </c>
      <c r="I9" s="89">
        <f t="shared" ca="1" si="0"/>
        <v>7</v>
      </c>
    </row>
    <row r="10" spans="1:9" x14ac:dyDescent="0.5">
      <c r="H10" s="36">
        <f>$B$5+$B$6*-2</f>
        <v>50</v>
      </c>
      <c r="I10" s="89">
        <f t="shared" ca="1" si="0"/>
        <v>14</v>
      </c>
    </row>
    <row r="11" spans="1:9" x14ac:dyDescent="0.5">
      <c r="A11" s="25" t="s">
        <v>124</v>
      </c>
      <c r="H11" s="36">
        <f>$B$5+$B$6*-1.59999999999999</f>
        <v>60.000000000000249</v>
      </c>
      <c r="I11" s="89">
        <f t="shared" ca="1" si="0"/>
        <v>40</v>
      </c>
    </row>
    <row r="12" spans="1:9" x14ac:dyDescent="0.5">
      <c r="A12" s="14" t="s">
        <v>26</v>
      </c>
      <c r="H12" s="36">
        <f>$B$5+$B$6*-1.19999999999999</f>
        <v>70.000000000000256</v>
      </c>
      <c r="I12" s="89">
        <f t="shared" ca="1" si="0"/>
        <v>54</v>
      </c>
    </row>
    <row r="13" spans="1:9" x14ac:dyDescent="0.5">
      <c r="A13" s="15">
        <f t="shared" ref="A13:A76" ca="1" si="1">IF(ROW()-12&lt;=$B$7,_xlfn.NORM.INV(RAND(),$B$5,$B$6),"")</f>
        <v>107.89184164961306</v>
      </c>
      <c r="H13" s="36">
        <f>$B$5+$B$6*-0.799999999999999</f>
        <v>80.000000000000028</v>
      </c>
      <c r="I13" s="89">
        <f t="shared" ca="1" si="0"/>
        <v>112</v>
      </c>
    </row>
    <row r="14" spans="1:9" x14ac:dyDescent="0.5">
      <c r="A14" s="15">
        <f t="shared" ca="1" si="1"/>
        <v>148.31299100452026</v>
      </c>
      <c r="H14" s="36">
        <f>$B$5+$B$6*-0.399999999999999</f>
        <v>90.000000000000028</v>
      </c>
      <c r="I14" s="89">
        <f t="shared" ca="1" si="0"/>
        <v>121</v>
      </c>
    </row>
    <row r="15" spans="1:9" x14ac:dyDescent="0.5">
      <c r="A15" s="15">
        <f t="shared" ca="1" si="1"/>
        <v>135.6638975592027</v>
      </c>
      <c r="H15" s="36">
        <f>$B$5+$B$6*0</f>
        <v>100</v>
      </c>
      <c r="I15" s="89">
        <f t="shared" ca="1" si="0"/>
        <v>150</v>
      </c>
    </row>
    <row r="16" spans="1:9" x14ac:dyDescent="0.5">
      <c r="A16" s="15">
        <f t="shared" ca="1" si="1"/>
        <v>65.221042033035872</v>
      </c>
      <c r="H16" s="36">
        <f>$B$5+$B$6*0.4</f>
        <v>110</v>
      </c>
      <c r="I16" s="89">
        <f t="shared" ca="1" si="0"/>
        <v>157</v>
      </c>
    </row>
    <row r="17" spans="1:9" x14ac:dyDescent="0.5">
      <c r="A17" s="15">
        <f t="shared" ca="1" si="1"/>
        <v>131.50533355601812</v>
      </c>
      <c r="H17" s="36">
        <f>$B$5+$B$6*0.8</f>
        <v>120</v>
      </c>
      <c r="I17" s="89">
        <f t="shared" ca="1" si="0"/>
        <v>123</v>
      </c>
    </row>
    <row r="18" spans="1:9" x14ac:dyDescent="0.5">
      <c r="A18" s="15">
        <f t="shared" ca="1" si="1"/>
        <v>103.13134842042476</v>
      </c>
      <c r="H18" s="36">
        <f>$B$5+$B$6*1.2</f>
        <v>130</v>
      </c>
      <c r="I18" s="89">
        <f t="shared" ca="1" si="0"/>
        <v>98</v>
      </c>
    </row>
    <row r="19" spans="1:9" x14ac:dyDescent="0.5">
      <c r="A19" s="15">
        <f t="shared" ca="1" si="1"/>
        <v>75.054945305631662</v>
      </c>
      <c r="H19" s="36">
        <f>$B$5+$B$6*1.6</f>
        <v>140</v>
      </c>
      <c r="I19" s="89">
        <f t="shared" ca="1" si="0"/>
        <v>71</v>
      </c>
    </row>
    <row r="20" spans="1:9" x14ac:dyDescent="0.5">
      <c r="A20" s="15">
        <f t="shared" ca="1" si="1"/>
        <v>113.15446818272109</v>
      </c>
      <c r="H20" s="36">
        <f>$B$5+$B$6*2</f>
        <v>150</v>
      </c>
      <c r="I20" s="89">
        <f t="shared" ca="1" si="0"/>
        <v>29</v>
      </c>
    </row>
    <row r="21" spans="1:9" x14ac:dyDescent="0.5">
      <c r="A21" s="15">
        <f t="shared" ca="1" si="1"/>
        <v>94.137388278851773</v>
      </c>
      <c r="H21" s="36">
        <f>$B$5+$B$6*2.4</f>
        <v>160</v>
      </c>
      <c r="I21" s="89">
        <f t="shared" ca="1" si="0"/>
        <v>14</v>
      </c>
    </row>
    <row r="22" spans="1:9" x14ac:dyDescent="0.5">
      <c r="A22" s="15">
        <f t="shared" ca="1" si="1"/>
        <v>107.96952938286871</v>
      </c>
      <c r="H22" s="36">
        <f>$B$5+$B$6*2.8</f>
        <v>170</v>
      </c>
      <c r="I22" s="89">
        <f t="shared" ca="1" si="0"/>
        <v>6</v>
      </c>
    </row>
    <row r="23" spans="1:9" x14ac:dyDescent="0.5">
      <c r="A23" s="15">
        <f t="shared" ca="1" si="1"/>
        <v>98.1751421056493</v>
      </c>
      <c r="H23" s="36">
        <f>$B$5+$B$6*3.2</f>
        <v>180</v>
      </c>
      <c r="I23" s="89">
        <f t="shared" ca="1" si="0"/>
        <v>3</v>
      </c>
    </row>
    <row r="24" spans="1:9" x14ac:dyDescent="0.5">
      <c r="A24" s="15">
        <f t="shared" ca="1" si="1"/>
        <v>87.56439041772424</v>
      </c>
      <c r="H24" s="36">
        <f>$B$5+$B$6*3.6</f>
        <v>190</v>
      </c>
      <c r="I24" s="89">
        <f t="shared" ca="1" si="0"/>
        <v>1</v>
      </c>
    </row>
    <row r="25" spans="1:9" x14ac:dyDescent="0.5">
      <c r="A25" s="15">
        <f t="shared" ca="1" si="1"/>
        <v>130.57397791444828</v>
      </c>
      <c r="H25" s="36">
        <f>$B$5+$B$6*4</f>
        <v>200</v>
      </c>
      <c r="I25" s="89">
        <f t="shared" ca="1" si="0"/>
        <v>0</v>
      </c>
    </row>
    <row r="26" spans="1:9" x14ac:dyDescent="0.5">
      <c r="A26" s="15">
        <f t="shared" ca="1" si="1"/>
        <v>83.279524770921924</v>
      </c>
    </row>
    <row r="27" spans="1:9" x14ac:dyDescent="0.5">
      <c r="A27" s="15">
        <f t="shared" ca="1" si="1"/>
        <v>112.77644605142706</v>
      </c>
    </row>
    <row r="28" spans="1:9" x14ac:dyDescent="0.5">
      <c r="A28" s="15">
        <f t="shared" ca="1" si="1"/>
        <v>94.987501502487746</v>
      </c>
    </row>
    <row r="29" spans="1:9" x14ac:dyDescent="0.5">
      <c r="A29" s="15">
        <f t="shared" ca="1" si="1"/>
        <v>83.971440929297529</v>
      </c>
    </row>
    <row r="30" spans="1:9" x14ac:dyDescent="0.5">
      <c r="A30" s="15">
        <f t="shared" ca="1" si="1"/>
        <v>87.354252222875814</v>
      </c>
    </row>
    <row r="31" spans="1:9" x14ac:dyDescent="0.5">
      <c r="A31" s="15">
        <f t="shared" ca="1" si="1"/>
        <v>112.7777932717469</v>
      </c>
    </row>
    <row r="32" spans="1:9" x14ac:dyDescent="0.5">
      <c r="A32" s="15">
        <f t="shared" ca="1" si="1"/>
        <v>82.015112744920501</v>
      </c>
    </row>
    <row r="33" spans="1:1" x14ac:dyDescent="0.5">
      <c r="A33" s="15">
        <f t="shared" ca="1" si="1"/>
        <v>96.316006779059677</v>
      </c>
    </row>
    <row r="34" spans="1:1" x14ac:dyDescent="0.5">
      <c r="A34" s="15">
        <f t="shared" ca="1" si="1"/>
        <v>127.52170397422515</v>
      </c>
    </row>
    <row r="35" spans="1:1" x14ac:dyDescent="0.5">
      <c r="A35" s="15">
        <f t="shared" ca="1" si="1"/>
        <v>94.590108661290515</v>
      </c>
    </row>
    <row r="36" spans="1:1" x14ac:dyDescent="0.5">
      <c r="A36" s="15">
        <f t="shared" ca="1" si="1"/>
        <v>81.819974461006723</v>
      </c>
    </row>
    <row r="37" spans="1:1" x14ac:dyDescent="0.5">
      <c r="A37" s="15">
        <f t="shared" ca="1" si="1"/>
        <v>105.61805037501409</v>
      </c>
    </row>
    <row r="38" spans="1:1" x14ac:dyDescent="0.5">
      <c r="A38" s="15">
        <f t="shared" ca="1" si="1"/>
        <v>134.52362961932647</v>
      </c>
    </row>
    <row r="39" spans="1:1" x14ac:dyDescent="0.5">
      <c r="A39" s="15">
        <f t="shared" ca="1" si="1"/>
        <v>138.4228832068361</v>
      </c>
    </row>
    <row r="40" spans="1:1" x14ac:dyDescent="0.5">
      <c r="A40" s="15">
        <f t="shared" ca="1" si="1"/>
        <v>119.63390683377823</v>
      </c>
    </row>
    <row r="41" spans="1:1" x14ac:dyDescent="0.5">
      <c r="A41" s="15">
        <f t="shared" ca="1" si="1"/>
        <v>53.094186281175979</v>
      </c>
    </row>
    <row r="42" spans="1:1" x14ac:dyDescent="0.5">
      <c r="A42" s="15">
        <f t="shared" ca="1" si="1"/>
        <v>119.47686347869443</v>
      </c>
    </row>
    <row r="43" spans="1:1" x14ac:dyDescent="0.5">
      <c r="A43" s="15">
        <f t="shared" ca="1" si="1"/>
        <v>83.567924408925052</v>
      </c>
    </row>
    <row r="44" spans="1:1" x14ac:dyDescent="0.5">
      <c r="A44" s="15">
        <f t="shared" ca="1" si="1"/>
        <v>122.89636345049735</v>
      </c>
    </row>
    <row r="45" spans="1:1" x14ac:dyDescent="0.5">
      <c r="A45" s="15">
        <f t="shared" ca="1" si="1"/>
        <v>124.50567361785984</v>
      </c>
    </row>
    <row r="46" spans="1:1" x14ac:dyDescent="0.5">
      <c r="A46" s="15">
        <f t="shared" ca="1" si="1"/>
        <v>75.99747950281477</v>
      </c>
    </row>
    <row r="47" spans="1:1" x14ac:dyDescent="0.5">
      <c r="A47" s="15">
        <f t="shared" ca="1" si="1"/>
        <v>89.918795644699301</v>
      </c>
    </row>
    <row r="48" spans="1:1" x14ac:dyDescent="0.5">
      <c r="A48" s="15">
        <f t="shared" ca="1" si="1"/>
        <v>92.518082960780816</v>
      </c>
    </row>
    <row r="49" spans="1:1" x14ac:dyDescent="0.5">
      <c r="A49" s="15">
        <f t="shared" ca="1" si="1"/>
        <v>78.386141153993961</v>
      </c>
    </row>
    <row r="50" spans="1:1" x14ac:dyDescent="0.5">
      <c r="A50" s="15">
        <f t="shared" ca="1" si="1"/>
        <v>135.04056257433595</v>
      </c>
    </row>
    <row r="51" spans="1:1" x14ac:dyDescent="0.5">
      <c r="A51" s="15">
        <f t="shared" ca="1" si="1"/>
        <v>144.93586852657569</v>
      </c>
    </row>
    <row r="52" spans="1:1" x14ac:dyDescent="0.5">
      <c r="A52" s="15">
        <f t="shared" ca="1" si="1"/>
        <v>93.60403793241025</v>
      </c>
    </row>
    <row r="53" spans="1:1" x14ac:dyDescent="0.5">
      <c r="A53" s="15">
        <f t="shared" ca="1" si="1"/>
        <v>73.373587836660349</v>
      </c>
    </row>
    <row r="54" spans="1:1" x14ac:dyDescent="0.5">
      <c r="A54" s="15">
        <f t="shared" ca="1" si="1"/>
        <v>55.998306669360012</v>
      </c>
    </row>
    <row r="55" spans="1:1" x14ac:dyDescent="0.5">
      <c r="A55" s="15">
        <f t="shared" ca="1" si="1"/>
        <v>105.68000338560516</v>
      </c>
    </row>
    <row r="56" spans="1:1" x14ac:dyDescent="0.5">
      <c r="A56" s="15">
        <f t="shared" ca="1" si="1"/>
        <v>136.26087165537075</v>
      </c>
    </row>
    <row r="57" spans="1:1" x14ac:dyDescent="0.5">
      <c r="A57" s="15">
        <f t="shared" ca="1" si="1"/>
        <v>99.640362174673839</v>
      </c>
    </row>
    <row r="58" spans="1:1" x14ac:dyDescent="0.5">
      <c r="A58" s="15">
        <f t="shared" ca="1" si="1"/>
        <v>85.025496541584701</v>
      </c>
    </row>
    <row r="59" spans="1:1" x14ac:dyDescent="0.5">
      <c r="A59" s="15">
        <f t="shared" ca="1" si="1"/>
        <v>109.94858196982344</v>
      </c>
    </row>
    <row r="60" spans="1:1" x14ac:dyDescent="0.5">
      <c r="A60" s="15">
        <f t="shared" ca="1" si="1"/>
        <v>115.08478853956204</v>
      </c>
    </row>
    <row r="61" spans="1:1" x14ac:dyDescent="0.5">
      <c r="A61" s="15">
        <f t="shared" ca="1" si="1"/>
        <v>101.85632908064272</v>
      </c>
    </row>
    <row r="62" spans="1:1" x14ac:dyDescent="0.5">
      <c r="A62" s="15">
        <f t="shared" ca="1" si="1"/>
        <v>111.32754578555172</v>
      </c>
    </row>
    <row r="63" spans="1:1" x14ac:dyDescent="0.5">
      <c r="A63" s="15">
        <f t="shared" ca="1" si="1"/>
        <v>107.70721352583817</v>
      </c>
    </row>
    <row r="64" spans="1:1" x14ac:dyDescent="0.5">
      <c r="A64" s="15">
        <f t="shared" ca="1" si="1"/>
        <v>118.39473349356948</v>
      </c>
    </row>
    <row r="65" spans="1:1" x14ac:dyDescent="0.5">
      <c r="A65" s="15">
        <f t="shared" ca="1" si="1"/>
        <v>96.536152774276999</v>
      </c>
    </row>
    <row r="66" spans="1:1" x14ac:dyDescent="0.5">
      <c r="A66" s="15">
        <f t="shared" ca="1" si="1"/>
        <v>105.96400034238643</v>
      </c>
    </row>
    <row r="67" spans="1:1" x14ac:dyDescent="0.5">
      <c r="A67" s="15">
        <f t="shared" ca="1" si="1"/>
        <v>82.975960970618445</v>
      </c>
    </row>
    <row r="68" spans="1:1" x14ac:dyDescent="0.5">
      <c r="A68" s="15">
        <f t="shared" ca="1" si="1"/>
        <v>74.734619898464217</v>
      </c>
    </row>
    <row r="69" spans="1:1" x14ac:dyDescent="0.5">
      <c r="A69" s="15">
        <f t="shared" ca="1" si="1"/>
        <v>128.21451921583179</v>
      </c>
    </row>
    <row r="70" spans="1:1" x14ac:dyDescent="0.5">
      <c r="A70" s="15">
        <f t="shared" ca="1" si="1"/>
        <v>90.050975889544944</v>
      </c>
    </row>
    <row r="71" spans="1:1" x14ac:dyDescent="0.5">
      <c r="A71" s="15">
        <f t="shared" ca="1" si="1"/>
        <v>144.43921766633477</v>
      </c>
    </row>
    <row r="72" spans="1:1" x14ac:dyDescent="0.5">
      <c r="A72" s="15">
        <f t="shared" ca="1" si="1"/>
        <v>52.158526380668789</v>
      </c>
    </row>
    <row r="73" spans="1:1" x14ac:dyDescent="0.5">
      <c r="A73" s="15">
        <f t="shared" ca="1" si="1"/>
        <v>99.941633945526789</v>
      </c>
    </row>
    <row r="74" spans="1:1" x14ac:dyDescent="0.5">
      <c r="A74" s="15">
        <f t="shared" ca="1" si="1"/>
        <v>78.039920013298811</v>
      </c>
    </row>
    <row r="75" spans="1:1" x14ac:dyDescent="0.5">
      <c r="A75" s="15">
        <f t="shared" ca="1" si="1"/>
        <v>83.473743146817071</v>
      </c>
    </row>
    <row r="76" spans="1:1" x14ac:dyDescent="0.5">
      <c r="A76" s="15">
        <f t="shared" ca="1" si="1"/>
        <v>98.825033951573801</v>
      </c>
    </row>
    <row r="77" spans="1:1" x14ac:dyDescent="0.5">
      <c r="A77" s="15">
        <f t="shared" ref="A77:A140" ca="1" si="2">IF(ROW()-12&lt;=$B$7,_xlfn.NORM.INV(RAND(),$B$5,$B$6),"")</f>
        <v>71.396685293487025</v>
      </c>
    </row>
    <row r="78" spans="1:1" x14ac:dyDescent="0.5">
      <c r="A78" s="15">
        <f t="shared" ca="1" si="2"/>
        <v>106.75608086390731</v>
      </c>
    </row>
    <row r="79" spans="1:1" x14ac:dyDescent="0.5">
      <c r="A79" s="15">
        <f t="shared" ca="1" si="2"/>
        <v>65.866203459219292</v>
      </c>
    </row>
    <row r="80" spans="1:1" x14ac:dyDescent="0.5">
      <c r="A80" s="15">
        <f t="shared" ca="1" si="2"/>
        <v>111.6894246655899</v>
      </c>
    </row>
    <row r="81" spans="1:1" x14ac:dyDescent="0.5">
      <c r="A81" s="15">
        <f t="shared" ca="1" si="2"/>
        <v>104.25276852004836</v>
      </c>
    </row>
    <row r="82" spans="1:1" x14ac:dyDescent="0.5">
      <c r="A82" s="15">
        <f t="shared" ca="1" si="2"/>
        <v>89.498709617721374</v>
      </c>
    </row>
    <row r="83" spans="1:1" x14ac:dyDescent="0.5">
      <c r="A83" s="15">
        <f t="shared" ca="1" si="2"/>
        <v>103.8716403554958</v>
      </c>
    </row>
    <row r="84" spans="1:1" x14ac:dyDescent="0.5">
      <c r="A84" s="15">
        <f t="shared" ca="1" si="2"/>
        <v>93.892588756008564</v>
      </c>
    </row>
    <row r="85" spans="1:1" x14ac:dyDescent="0.5">
      <c r="A85" s="15">
        <f t="shared" ca="1" si="2"/>
        <v>133.87480168998269</v>
      </c>
    </row>
    <row r="86" spans="1:1" x14ac:dyDescent="0.5">
      <c r="A86" s="15">
        <f t="shared" ca="1" si="2"/>
        <v>99.497777921365397</v>
      </c>
    </row>
    <row r="87" spans="1:1" x14ac:dyDescent="0.5">
      <c r="A87" s="15">
        <f t="shared" ca="1" si="2"/>
        <v>83.322434649326993</v>
      </c>
    </row>
    <row r="88" spans="1:1" x14ac:dyDescent="0.5">
      <c r="A88" s="15">
        <f t="shared" ca="1" si="2"/>
        <v>153.63284138483303</v>
      </c>
    </row>
    <row r="89" spans="1:1" x14ac:dyDescent="0.5">
      <c r="A89" s="15">
        <f t="shared" ca="1" si="2"/>
        <v>99.768004007545898</v>
      </c>
    </row>
    <row r="90" spans="1:1" x14ac:dyDescent="0.5">
      <c r="A90" s="15">
        <f t="shared" ca="1" si="2"/>
        <v>121.24766649055002</v>
      </c>
    </row>
    <row r="91" spans="1:1" x14ac:dyDescent="0.5">
      <c r="A91" s="15">
        <f t="shared" ca="1" si="2"/>
        <v>105.97856162279034</v>
      </c>
    </row>
    <row r="92" spans="1:1" x14ac:dyDescent="0.5">
      <c r="A92" s="15">
        <f t="shared" ca="1" si="2"/>
        <v>93.071365357856394</v>
      </c>
    </row>
    <row r="93" spans="1:1" x14ac:dyDescent="0.5">
      <c r="A93" s="15">
        <f t="shared" ca="1" si="2"/>
        <v>49.784414587028678</v>
      </c>
    </row>
    <row r="94" spans="1:1" x14ac:dyDescent="0.5">
      <c r="A94" s="15">
        <f t="shared" ca="1" si="2"/>
        <v>74.29104716169627</v>
      </c>
    </row>
    <row r="95" spans="1:1" x14ac:dyDescent="0.5">
      <c r="A95" s="15">
        <f t="shared" ca="1" si="2"/>
        <v>77.078940842723</v>
      </c>
    </row>
    <row r="96" spans="1:1" x14ac:dyDescent="0.5">
      <c r="A96" s="15">
        <f t="shared" ca="1" si="2"/>
        <v>77.079859996547682</v>
      </c>
    </row>
    <row r="97" spans="1:1" x14ac:dyDescent="0.5">
      <c r="A97" s="15">
        <f t="shared" ca="1" si="2"/>
        <v>81.051980331349412</v>
      </c>
    </row>
    <row r="98" spans="1:1" x14ac:dyDescent="0.5">
      <c r="A98" s="15">
        <f t="shared" ca="1" si="2"/>
        <v>98.873860520389556</v>
      </c>
    </row>
    <row r="99" spans="1:1" x14ac:dyDescent="0.5">
      <c r="A99" s="15">
        <f t="shared" ca="1" si="2"/>
        <v>63.763875791148521</v>
      </c>
    </row>
    <row r="100" spans="1:1" x14ac:dyDescent="0.5">
      <c r="A100" s="15">
        <f t="shared" ca="1" si="2"/>
        <v>73.930050364527432</v>
      </c>
    </row>
    <row r="101" spans="1:1" x14ac:dyDescent="0.5">
      <c r="A101" s="15">
        <f t="shared" ca="1" si="2"/>
        <v>77.646270245004956</v>
      </c>
    </row>
    <row r="102" spans="1:1" x14ac:dyDescent="0.5">
      <c r="A102" s="15">
        <f t="shared" ca="1" si="2"/>
        <v>147.26572207894347</v>
      </c>
    </row>
    <row r="103" spans="1:1" x14ac:dyDescent="0.5">
      <c r="A103" s="15">
        <f t="shared" ca="1" si="2"/>
        <v>110.46545354027431</v>
      </c>
    </row>
    <row r="104" spans="1:1" x14ac:dyDescent="0.5">
      <c r="A104" s="15">
        <f t="shared" ca="1" si="2"/>
        <v>117.69805557359084</v>
      </c>
    </row>
    <row r="105" spans="1:1" x14ac:dyDescent="0.5">
      <c r="A105" s="15">
        <f t="shared" ca="1" si="2"/>
        <v>104.9708073079819</v>
      </c>
    </row>
    <row r="106" spans="1:1" x14ac:dyDescent="0.5">
      <c r="A106" s="15">
        <f t="shared" ca="1" si="2"/>
        <v>87.100724602692708</v>
      </c>
    </row>
    <row r="107" spans="1:1" x14ac:dyDescent="0.5">
      <c r="A107" s="15">
        <f t="shared" ca="1" si="2"/>
        <v>101.64494057146794</v>
      </c>
    </row>
    <row r="108" spans="1:1" x14ac:dyDescent="0.5">
      <c r="A108" s="15">
        <f t="shared" ca="1" si="2"/>
        <v>114.46952985287874</v>
      </c>
    </row>
    <row r="109" spans="1:1" x14ac:dyDescent="0.5">
      <c r="A109" s="15">
        <f t="shared" ca="1" si="2"/>
        <v>147.22528691789185</v>
      </c>
    </row>
    <row r="110" spans="1:1" x14ac:dyDescent="0.5">
      <c r="A110" s="15">
        <f t="shared" ca="1" si="2"/>
        <v>84.425789624466745</v>
      </c>
    </row>
    <row r="111" spans="1:1" x14ac:dyDescent="0.5">
      <c r="A111" s="15">
        <f t="shared" ca="1" si="2"/>
        <v>109.21578917997782</v>
      </c>
    </row>
    <row r="112" spans="1:1" x14ac:dyDescent="0.5">
      <c r="A112" s="15">
        <f t="shared" ca="1" si="2"/>
        <v>160.1794435055844</v>
      </c>
    </row>
    <row r="113" spans="1:1" x14ac:dyDescent="0.5">
      <c r="A113" s="15">
        <f t="shared" ca="1" si="2"/>
        <v>75.344603113618803</v>
      </c>
    </row>
    <row r="114" spans="1:1" x14ac:dyDescent="0.5">
      <c r="A114" s="15">
        <f t="shared" ca="1" si="2"/>
        <v>101.68485951658478</v>
      </c>
    </row>
    <row r="115" spans="1:1" x14ac:dyDescent="0.5">
      <c r="A115" s="15">
        <f t="shared" ca="1" si="2"/>
        <v>101.4089134270492</v>
      </c>
    </row>
    <row r="116" spans="1:1" x14ac:dyDescent="0.5">
      <c r="A116" s="15">
        <f t="shared" ca="1" si="2"/>
        <v>38.943654811521313</v>
      </c>
    </row>
    <row r="117" spans="1:1" x14ac:dyDescent="0.5">
      <c r="A117" s="15">
        <f t="shared" ca="1" si="2"/>
        <v>92.822376265425675</v>
      </c>
    </row>
    <row r="118" spans="1:1" x14ac:dyDescent="0.5">
      <c r="A118" s="15">
        <f t="shared" ca="1" si="2"/>
        <v>80.509105594593493</v>
      </c>
    </row>
    <row r="119" spans="1:1" x14ac:dyDescent="0.5">
      <c r="A119" s="15">
        <f t="shared" ca="1" si="2"/>
        <v>105.01049732165073</v>
      </c>
    </row>
    <row r="120" spans="1:1" x14ac:dyDescent="0.5">
      <c r="A120" s="15">
        <f t="shared" ca="1" si="2"/>
        <v>92.675208774937914</v>
      </c>
    </row>
    <row r="121" spans="1:1" x14ac:dyDescent="0.5">
      <c r="A121" s="15">
        <f t="shared" ca="1" si="2"/>
        <v>84.845911433999632</v>
      </c>
    </row>
    <row r="122" spans="1:1" x14ac:dyDescent="0.5">
      <c r="A122" s="15">
        <f t="shared" ca="1" si="2"/>
        <v>76.03321968859963</v>
      </c>
    </row>
    <row r="123" spans="1:1" x14ac:dyDescent="0.5">
      <c r="A123" s="15">
        <f t="shared" ca="1" si="2"/>
        <v>120.70228943453112</v>
      </c>
    </row>
    <row r="124" spans="1:1" x14ac:dyDescent="0.5">
      <c r="A124" s="15">
        <f t="shared" ca="1" si="2"/>
        <v>109.85314725092375</v>
      </c>
    </row>
    <row r="125" spans="1:1" x14ac:dyDescent="0.5">
      <c r="A125" s="15">
        <f t="shared" ca="1" si="2"/>
        <v>109.56624043807845</v>
      </c>
    </row>
    <row r="126" spans="1:1" x14ac:dyDescent="0.5">
      <c r="A126" s="15">
        <f t="shared" ca="1" si="2"/>
        <v>122.67879254640673</v>
      </c>
    </row>
    <row r="127" spans="1:1" x14ac:dyDescent="0.5">
      <c r="A127" s="15">
        <f t="shared" ca="1" si="2"/>
        <v>119.35664676059187</v>
      </c>
    </row>
    <row r="128" spans="1:1" x14ac:dyDescent="0.5">
      <c r="A128" s="15">
        <f t="shared" ca="1" si="2"/>
        <v>128.41486465956964</v>
      </c>
    </row>
    <row r="129" spans="1:1" x14ac:dyDescent="0.5">
      <c r="A129" s="15">
        <f t="shared" ca="1" si="2"/>
        <v>70.568971491515143</v>
      </c>
    </row>
    <row r="130" spans="1:1" x14ac:dyDescent="0.5">
      <c r="A130" s="15">
        <f t="shared" ca="1" si="2"/>
        <v>109.89539321753891</v>
      </c>
    </row>
    <row r="131" spans="1:1" x14ac:dyDescent="0.5">
      <c r="A131" s="15">
        <f t="shared" ca="1" si="2"/>
        <v>103.65373543567001</v>
      </c>
    </row>
    <row r="132" spans="1:1" x14ac:dyDescent="0.5">
      <c r="A132" s="15">
        <f t="shared" ca="1" si="2"/>
        <v>128.13478974897541</v>
      </c>
    </row>
    <row r="133" spans="1:1" x14ac:dyDescent="0.5">
      <c r="A133" s="15">
        <f t="shared" ca="1" si="2"/>
        <v>110.05653688297079</v>
      </c>
    </row>
    <row r="134" spans="1:1" x14ac:dyDescent="0.5">
      <c r="A134" s="15">
        <f t="shared" ca="1" si="2"/>
        <v>103.94929827646774</v>
      </c>
    </row>
    <row r="135" spans="1:1" x14ac:dyDescent="0.5">
      <c r="A135" s="15">
        <f t="shared" ca="1" si="2"/>
        <v>129.29455874171128</v>
      </c>
    </row>
    <row r="136" spans="1:1" x14ac:dyDescent="0.5">
      <c r="A136" s="15">
        <f t="shared" ca="1" si="2"/>
        <v>105.78934906382983</v>
      </c>
    </row>
    <row r="137" spans="1:1" x14ac:dyDescent="0.5">
      <c r="A137" s="15">
        <f t="shared" ca="1" si="2"/>
        <v>67.131603808238779</v>
      </c>
    </row>
    <row r="138" spans="1:1" x14ac:dyDescent="0.5">
      <c r="A138" s="15">
        <f t="shared" ca="1" si="2"/>
        <v>104.70629655043335</v>
      </c>
    </row>
    <row r="139" spans="1:1" x14ac:dyDescent="0.5">
      <c r="A139" s="15">
        <f t="shared" ca="1" si="2"/>
        <v>122.15040800916512</v>
      </c>
    </row>
    <row r="140" spans="1:1" x14ac:dyDescent="0.5">
      <c r="A140" s="15">
        <f t="shared" ca="1" si="2"/>
        <v>116.85235917377881</v>
      </c>
    </row>
    <row r="141" spans="1:1" x14ac:dyDescent="0.5">
      <c r="A141" s="15">
        <f t="shared" ref="A141:A204" ca="1" si="3">IF(ROW()-12&lt;=$B$7,_xlfn.NORM.INV(RAND(),$B$5,$B$6),"")</f>
        <v>143.04501260555713</v>
      </c>
    </row>
    <row r="142" spans="1:1" x14ac:dyDescent="0.5">
      <c r="A142" s="15">
        <f t="shared" ca="1" si="3"/>
        <v>80.955348402182494</v>
      </c>
    </row>
    <row r="143" spans="1:1" x14ac:dyDescent="0.5">
      <c r="A143" s="15">
        <f t="shared" ca="1" si="3"/>
        <v>110.41255855970908</v>
      </c>
    </row>
    <row r="144" spans="1:1" x14ac:dyDescent="0.5">
      <c r="A144" s="15">
        <f t="shared" ca="1" si="3"/>
        <v>87.582359332267146</v>
      </c>
    </row>
    <row r="145" spans="1:1" x14ac:dyDescent="0.5">
      <c r="A145" s="15">
        <f t="shared" ca="1" si="3"/>
        <v>111.75854123566948</v>
      </c>
    </row>
    <row r="146" spans="1:1" x14ac:dyDescent="0.5">
      <c r="A146" s="15">
        <f t="shared" ca="1" si="3"/>
        <v>80.521092717706978</v>
      </c>
    </row>
    <row r="147" spans="1:1" x14ac:dyDescent="0.5">
      <c r="A147" s="15">
        <f t="shared" ca="1" si="3"/>
        <v>98.411328576928526</v>
      </c>
    </row>
    <row r="148" spans="1:1" x14ac:dyDescent="0.5">
      <c r="A148" s="15">
        <f t="shared" ca="1" si="3"/>
        <v>100.2632428576383</v>
      </c>
    </row>
    <row r="149" spans="1:1" x14ac:dyDescent="0.5">
      <c r="A149" s="15">
        <f t="shared" ca="1" si="3"/>
        <v>72.544595833258811</v>
      </c>
    </row>
    <row r="150" spans="1:1" x14ac:dyDescent="0.5">
      <c r="A150" s="15">
        <f t="shared" ca="1" si="3"/>
        <v>79.70617284204836</v>
      </c>
    </row>
    <row r="151" spans="1:1" x14ac:dyDescent="0.5">
      <c r="A151" s="15">
        <f t="shared" ca="1" si="3"/>
        <v>130.12126824492913</v>
      </c>
    </row>
    <row r="152" spans="1:1" x14ac:dyDescent="0.5">
      <c r="A152" s="15">
        <f t="shared" ca="1" si="3"/>
        <v>121.89650032062204</v>
      </c>
    </row>
    <row r="153" spans="1:1" x14ac:dyDescent="0.5">
      <c r="A153" s="15">
        <f t="shared" ca="1" si="3"/>
        <v>103.6526060414114</v>
      </c>
    </row>
    <row r="154" spans="1:1" x14ac:dyDescent="0.5">
      <c r="A154" s="15">
        <f t="shared" ca="1" si="3"/>
        <v>38.927392788475878</v>
      </c>
    </row>
    <row r="155" spans="1:1" x14ac:dyDescent="0.5">
      <c r="A155" s="15">
        <f t="shared" ca="1" si="3"/>
        <v>80.923420283996109</v>
      </c>
    </row>
    <row r="156" spans="1:1" x14ac:dyDescent="0.5">
      <c r="A156" s="15">
        <f t="shared" ca="1" si="3"/>
        <v>48.509020060302241</v>
      </c>
    </row>
    <row r="157" spans="1:1" x14ac:dyDescent="0.5">
      <c r="A157" s="15">
        <f t="shared" ca="1" si="3"/>
        <v>83.618904882372306</v>
      </c>
    </row>
    <row r="158" spans="1:1" x14ac:dyDescent="0.5">
      <c r="A158" s="15">
        <f t="shared" ca="1" si="3"/>
        <v>97.051084957181487</v>
      </c>
    </row>
    <row r="159" spans="1:1" x14ac:dyDescent="0.5">
      <c r="A159" s="15">
        <f t="shared" ca="1" si="3"/>
        <v>105.54744332480072</v>
      </c>
    </row>
    <row r="160" spans="1:1" x14ac:dyDescent="0.5">
      <c r="A160" s="15">
        <f t="shared" ca="1" si="3"/>
        <v>88.860105478803973</v>
      </c>
    </row>
    <row r="161" spans="1:1" x14ac:dyDescent="0.5">
      <c r="A161" s="15">
        <f t="shared" ca="1" si="3"/>
        <v>83.566500724443017</v>
      </c>
    </row>
    <row r="162" spans="1:1" x14ac:dyDescent="0.5">
      <c r="A162" s="15">
        <f t="shared" ca="1" si="3"/>
        <v>59.950568885471824</v>
      </c>
    </row>
    <row r="163" spans="1:1" x14ac:dyDescent="0.5">
      <c r="A163" s="15">
        <f t="shared" ca="1" si="3"/>
        <v>89.536659256720526</v>
      </c>
    </row>
    <row r="164" spans="1:1" x14ac:dyDescent="0.5">
      <c r="A164" s="15">
        <f t="shared" ca="1" si="3"/>
        <v>135.41982501619219</v>
      </c>
    </row>
    <row r="165" spans="1:1" x14ac:dyDescent="0.5">
      <c r="A165" s="15">
        <f t="shared" ca="1" si="3"/>
        <v>77.613812426395711</v>
      </c>
    </row>
    <row r="166" spans="1:1" x14ac:dyDescent="0.5">
      <c r="A166" s="15">
        <f t="shared" ca="1" si="3"/>
        <v>91.728842040364952</v>
      </c>
    </row>
    <row r="167" spans="1:1" x14ac:dyDescent="0.5">
      <c r="A167" s="15">
        <f t="shared" ca="1" si="3"/>
        <v>117.20135015342579</v>
      </c>
    </row>
    <row r="168" spans="1:1" x14ac:dyDescent="0.5">
      <c r="A168" s="15">
        <f t="shared" ca="1" si="3"/>
        <v>129.85698947471366</v>
      </c>
    </row>
    <row r="169" spans="1:1" x14ac:dyDescent="0.5">
      <c r="A169" s="15">
        <f t="shared" ca="1" si="3"/>
        <v>82.926572583262043</v>
      </c>
    </row>
    <row r="170" spans="1:1" x14ac:dyDescent="0.5">
      <c r="A170" s="15">
        <f t="shared" ca="1" si="3"/>
        <v>100.73611258938789</v>
      </c>
    </row>
    <row r="171" spans="1:1" x14ac:dyDescent="0.5">
      <c r="A171" s="15">
        <f t="shared" ca="1" si="3"/>
        <v>127.1155458275208</v>
      </c>
    </row>
    <row r="172" spans="1:1" x14ac:dyDescent="0.5">
      <c r="A172" s="15">
        <f t="shared" ca="1" si="3"/>
        <v>110.07315277730186</v>
      </c>
    </row>
    <row r="173" spans="1:1" x14ac:dyDescent="0.5">
      <c r="A173" s="15">
        <f t="shared" ca="1" si="3"/>
        <v>112.78588535153813</v>
      </c>
    </row>
    <row r="174" spans="1:1" x14ac:dyDescent="0.5">
      <c r="A174" s="15">
        <f t="shared" ca="1" si="3"/>
        <v>99.169543122260151</v>
      </c>
    </row>
    <row r="175" spans="1:1" x14ac:dyDescent="0.5">
      <c r="A175" s="15">
        <f t="shared" ca="1" si="3"/>
        <v>132.52241738607839</v>
      </c>
    </row>
    <row r="176" spans="1:1" x14ac:dyDescent="0.5">
      <c r="A176" s="15">
        <f t="shared" ca="1" si="3"/>
        <v>115.53038523884575</v>
      </c>
    </row>
    <row r="177" spans="1:1" x14ac:dyDescent="0.5">
      <c r="A177" s="15">
        <f t="shared" ca="1" si="3"/>
        <v>64.991457384034291</v>
      </c>
    </row>
    <row r="178" spans="1:1" x14ac:dyDescent="0.5">
      <c r="A178" s="15">
        <f t="shared" ca="1" si="3"/>
        <v>83.188919061053227</v>
      </c>
    </row>
    <row r="179" spans="1:1" x14ac:dyDescent="0.5">
      <c r="A179" s="15">
        <f t="shared" ca="1" si="3"/>
        <v>75.510715301246577</v>
      </c>
    </row>
    <row r="180" spans="1:1" x14ac:dyDescent="0.5">
      <c r="A180" s="15">
        <f t="shared" ca="1" si="3"/>
        <v>98.944186173706314</v>
      </c>
    </row>
    <row r="181" spans="1:1" x14ac:dyDescent="0.5">
      <c r="A181" s="15">
        <f t="shared" ca="1" si="3"/>
        <v>82.723613908085554</v>
      </c>
    </row>
    <row r="182" spans="1:1" x14ac:dyDescent="0.5">
      <c r="A182" s="15">
        <f t="shared" ca="1" si="3"/>
        <v>95.336512712747918</v>
      </c>
    </row>
    <row r="183" spans="1:1" x14ac:dyDescent="0.5">
      <c r="A183" s="15">
        <f t="shared" ca="1" si="3"/>
        <v>97.138043817288448</v>
      </c>
    </row>
    <row r="184" spans="1:1" x14ac:dyDescent="0.5">
      <c r="A184" s="15">
        <f t="shared" ca="1" si="3"/>
        <v>72.88006630577118</v>
      </c>
    </row>
    <row r="185" spans="1:1" x14ac:dyDescent="0.5">
      <c r="A185" s="15">
        <f t="shared" ca="1" si="3"/>
        <v>138.54722367994987</v>
      </c>
    </row>
    <row r="186" spans="1:1" x14ac:dyDescent="0.5">
      <c r="A186" s="15">
        <f t="shared" ca="1" si="3"/>
        <v>107.24172568258966</v>
      </c>
    </row>
    <row r="187" spans="1:1" x14ac:dyDescent="0.5">
      <c r="A187" s="15">
        <f t="shared" ca="1" si="3"/>
        <v>73.768283510041471</v>
      </c>
    </row>
    <row r="188" spans="1:1" x14ac:dyDescent="0.5">
      <c r="A188" s="15">
        <f t="shared" ca="1" si="3"/>
        <v>76.85310677095076</v>
      </c>
    </row>
    <row r="189" spans="1:1" x14ac:dyDescent="0.5">
      <c r="A189" s="15">
        <f t="shared" ca="1" si="3"/>
        <v>93.240470362047773</v>
      </c>
    </row>
    <row r="190" spans="1:1" x14ac:dyDescent="0.5">
      <c r="A190" s="15">
        <f t="shared" ca="1" si="3"/>
        <v>86.262797170551167</v>
      </c>
    </row>
    <row r="191" spans="1:1" x14ac:dyDescent="0.5">
      <c r="A191" s="15">
        <f t="shared" ca="1" si="3"/>
        <v>117.88339839949019</v>
      </c>
    </row>
    <row r="192" spans="1:1" x14ac:dyDescent="0.5">
      <c r="A192" s="15">
        <f t="shared" ca="1" si="3"/>
        <v>93.835635875523693</v>
      </c>
    </row>
    <row r="193" spans="1:1" x14ac:dyDescent="0.5">
      <c r="A193" s="15">
        <f t="shared" ca="1" si="3"/>
        <v>92.64857278777815</v>
      </c>
    </row>
    <row r="194" spans="1:1" x14ac:dyDescent="0.5">
      <c r="A194" s="15">
        <f t="shared" ca="1" si="3"/>
        <v>89.123543673925369</v>
      </c>
    </row>
    <row r="195" spans="1:1" x14ac:dyDescent="0.5">
      <c r="A195" s="15">
        <f t="shared" ca="1" si="3"/>
        <v>103.46630348374316</v>
      </c>
    </row>
    <row r="196" spans="1:1" x14ac:dyDescent="0.5">
      <c r="A196" s="15">
        <f t="shared" ca="1" si="3"/>
        <v>91.980792833610749</v>
      </c>
    </row>
    <row r="197" spans="1:1" x14ac:dyDescent="0.5">
      <c r="A197" s="15">
        <f t="shared" ca="1" si="3"/>
        <v>121.61663053209681</v>
      </c>
    </row>
    <row r="198" spans="1:1" x14ac:dyDescent="0.5">
      <c r="A198" s="15">
        <f t="shared" ca="1" si="3"/>
        <v>123.4477724821817</v>
      </c>
    </row>
    <row r="199" spans="1:1" x14ac:dyDescent="0.5">
      <c r="A199" s="15">
        <f t="shared" ca="1" si="3"/>
        <v>96.433347744882937</v>
      </c>
    </row>
    <row r="200" spans="1:1" x14ac:dyDescent="0.5">
      <c r="A200" s="15">
        <f t="shared" ca="1" si="3"/>
        <v>70.473007229043759</v>
      </c>
    </row>
    <row r="201" spans="1:1" x14ac:dyDescent="0.5">
      <c r="A201" s="15">
        <f t="shared" ca="1" si="3"/>
        <v>125.42330916809273</v>
      </c>
    </row>
    <row r="202" spans="1:1" x14ac:dyDescent="0.5">
      <c r="A202" s="15">
        <f t="shared" ca="1" si="3"/>
        <v>100.04468199084209</v>
      </c>
    </row>
    <row r="203" spans="1:1" x14ac:dyDescent="0.5">
      <c r="A203" s="15">
        <f t="shared" ca="1" si="3"/>
        <v>111.93060426843375</v>
      </c>
    </row>
    <row r="204" spans="1:1" x14ac:dyDescent="0.5">
      <c r="A204" s="15">
        <f t="shared" ca="1" si="3"/>
        <v>104.41944647813182</v>
      </c>
    </row>
    <row r="205" spans="1:1" x14ac:dyDescent="0.5">
      <c r="A205" s="15">
        <f t="shared" ref="A205:A268" ca="1" si="4">IF(ROW()-12&lt;=$B$7,_xlfn.NORM.INV(RAND(),$B$5,$B$6),"")</f>
        <v>87.792254525632046</v>
      </c>
    </row>
    <row r="206" spans="1:1" x14ac:dyDescent="0.5">
      <c r="A206" s="15">
        <f t="shared" ca="1" si="4"/>
        <v>105.79949026924626</v>
      </c>
    </row>
    <row r="207" spans="1:1" x14ac:dyDescent="0.5">
      <c r="A207" s="15">
        <f t="shared" ca="1" si="4"/>
        <v>129.84885919548213</v>
      </c>
    </row>
    <row r="208" spans="1:1" x14ac:dyDescent="0.5">
      <c r="A208" s="15">
        <f t="shared" ca="1" si="4"/>
        <v>126.45658608080849</v>
      </c>
    </row>
    <row r="209" spans="1:1" x14ac:dyDescent="0.5">
      <c r="A209" s="15">
        <f t="shared" ca="1" si="4"/>
        <v>106.7329443144373</v>
      </c>
    </row>
    <row r="210" spans="1:1" x14ac:dyDescent="0.5">
      <c r="A210" s="15">
        <f t="shared" ca="1" si="4"/>
        <v>83.59145110863885</v>
      </c>
    </row>
    <row r="211" spans="1:1" x14ac:dyDescent="0.5">
      <c r="A211" s="15">
        <f t="shared" ca="1" si="4"/>
        <v>131.37729621771035</v>
      </c>
    </row>
    <row r="212" spans="1:1" x14ac:dyDescent="0.5">
      <c r="A212" s="15">
        <f t="shared" ca="1" si="4"/>
        <v>67.76632151264397</v>
      </c>
    </row>
    <row r="213" spans="1:1" x14ac:dyDescent="0.5">
      <c r="A213" s="15">
        <f t="shared" ca="1" si="4"/>
        <v>145.22800391724755</v>
      </c>
    </row>
    <row r="214" spans="1:1" x14ac:dyDescent="0.5">
      <c r="A214" s="15">
        <f t="shared" ca="1" si="4"/>
        <v>71.17385916031607</v>
      </c>
    </row>
    <row r="215" spans="1:1" x14ac:dyDescent="0.5">
      <c r="A215" s="15">
        <f t="shared" ca="1" si="4"/>
        <v>109.22011358535984</v>
      </c>
    </row>
    <row r="216" spans="1:1" x14ac:dyDescent="0.5">
      <c r="A216" s="15">
        <f t="shared" ca="1" si="4"/>
        <v>97.405154038495354</v>
      </c>
    </row>
    <row r="217" spans="1:1" x14ac:dyDescent="0.5">
      <c r="A217" s="15">
        <f t="shared" ca="1" si="4"/>
        <v>58.088261127957367</v>
      </c>
    </row>
    <row r="218" spans="1:1" x14ac:dyDescent="0.5">
      <c r="A218" s="15">
        <f t="shared" ca="1" si="4"/>
        <v>104.81884658309514</v>
      </c>
    </row>
    <row r="219" spans="1:1" x14ac:dyDescent="0.5">
      <c r="A219" s="15">
        <f t="shared" ca="1" si="4"/>
        <v>74.299873187880905</v>
      </c>
    </row>
    <row r="220" spans="1:1" x14ac:dyDescent="0.5">
      <c r="A220" s="15">
        <f t="shared" ca="1" si="4"/>
        <v>124.48728271930383</v>
      </c>
    </row>
    <row r="221" spans="1:1" x14ac:dyDescent="0.5">
      <c r="A221" s="15">
        <f t="shared" ca="1" si="4"/>
        <v>116.8308442846015</v>
      </c>
    </row>
    <row r="222" spans="1:1" x14ac:dyDescent="0.5">
      <c r="A222" s="15">
        <f t="shared" ca="1" si="4"/>
        <v>77.709714322986684</v>
      </c>
    </row>
    <row r="223" spans="1:1" x14ac:dyDescent="0.5">
      <c r="A223" s="15">
        <f t="shared" ca="1" si="4"/>
        <v>79.557336722986179</v>
      </c>
    </row>
    <row r="224" spans="1:1" x14ac:dyDescent="0.5">
      <c r="A224" s="15">
        <f t="shared" ca="1" si="4"/>
        <v>96.734542442280826</v>
      </c>
    </row>
    <row r="225" spans="1:1" x14ac:dyDescent="0.5">
      <c r="A225" s="15">
        <f t="shared" ca="1" si="4"/>
        <v>95.082209549808098</v>
      </c>
    </row>
    <row r="226" spans="1:1" x14ac:dyDescent="0.5">
      <c r="A226" s="15">
        <f t="shared" ca="1" si="4"/>
        <v>88.706106830990535</v>
      </c>
    </row>
    <row r="227" spans="1:1" x14ac:dyDescent="0.5">
      <c r="A227" s="15">
        <f t="shared" ca="1" si="4"/>
        <v>95.368054598990497</v>
      </c>
    </row>
    <row r="228" spans="1:1" x14ac:dyDescent="0.5">
      <c r="A228" s="15">
        <f t="shared" ca="1" si="4"/>
        <v>137.33848585370419</v>
      </c>
    </row>
    <row r="229" spans="1:1" x14ac:dyDescent="0.5">
      <c r="A229" s="15">
        <f t="shared" ca="1" si="4"/>
        <v>116.53426386839915</v>
      </c>
    </row>
    <row r="230" spans="1:1" x14ac:dyDescent="0.5">
      <c r="A230" s="15">
        <f t="shared" ca="1" si="4"/>
        <v>103.32153895989047</v>
      </c>
    </row>
    <row r="231" spans="1:1" x14ac:dyDescent="0.5">
      <c r="A231" s="15">
        <f t="shared" ca="1" si="4"/>
        <v>75.238291533532518</v>
      </c>
    </row>
    <row r="232" spans="1:1" x14ac:dyDescent="0.5">
      <c r="A232" s="15">
        <f t="shared" ca="1" si="4"/>
        <v>158.04156220926129</v>
      </c>
    </row>
    <row r="233" spans="1:1" x14ac:dyDescent="0.5">
      <c r="A233" s="15">
        <f t="shared" ca="1" si="4"/>
        <v>115.91022889740688</v>
      </c>
    </row>
    <row r="234" spans="1:1" x14ac:dyDescent="0.5">
      <c r="A234" s="15">
        <f t="shared" ca="1" si="4"/>
        <v>45.936678688318608</v>
      </c>
    </row>
    <row r="235" spans="1:1" x14ac:dyDescent="0.5">
      <c r="A235" s="15">
        <f t="shared" ca="1" si="4"/>
        <v>79.635413750006364</v>
      </c>
    </row>
    <row r="236" spans="1:1" x14ac:dyDescent="0.5">
      <c r="A236" s="15">
        <f t="shared" ca="1" si="4"/>
        <v>120.96347668984536</v>
      </c>
    </row>
    <row r="237" spans="1:1" x14ac:dyDescent="0.5">
      <c r="A237" s="15">
        <f t="shared" ca="1" si="4"/>
        <v>146.62745061406844</v>
      </c>
    </row>
    <row r="238" spans="1:1" x14ac:dyDescent="0.5">
      <c r="A238" s="15">
        <f t="shared" ca="1" si="4"/>
        <v>111.61385727784298</v>
      </c>
    </row>
    <row r="239" spans="1:1" x14ac:dyDescent="0.5">
      <c r="A239" s="15">
        <f t="shared" ca="1" si="4"/>
        <v>126.95256697990106</v>
      </c>
    </row>
    <row r="240" spans="1:1" x14ac:dyDescent="0.5">
      <c r="A240" s="15">
        <f t="shared" ca="1" si="4"/>
        <v>118.84876395425221</v>
      </c>
    </row>
    <row r="241" spans="1:1" x14ac:dyDescent="0.5">
      <c r="A241" s="15">
        <f t="shared" ca="1" si="4"/>
        <v>109.0141498398735</v>
      </c>
    </row>
    <row r="242" spans="1:1" x14ac:dyDescent="0.5">
      <c r="A242" s="15">
        <f t="shared" ca="1" si="4"/>
        <v>128.00210591371149</v>
      </c>
    </row>
    <row r="243" spans="1:1" x14ac:dyDescent="0.5">
      <c r="A243" s="15">
        <f t="shared" ca="1" si="4"/>
        <v>127.07798957149873</v>
      </c>
    </row>
    <row r="244" spans="1:1" x14ac:dyDescent="0.5">
      <c r="A244" s="15">
        <f t="shared" ca="1" si="4"/>
        <v>94.72036632181873</v>
      </c>
    </row>
    <row r="245" spans="1:1" x14ac:dyDescent="0.5">
      <c r="A245" s="15">
        <f t="shared" ca="1" si="4"/>
        <v>102.79793962555141</v>
      </c>
    </row>
    <row r="246" spans="1:1" x14ac:dyDescent="0.5">
      <c r="A246" s="15">
        <f t="shared" ca="1" si="4"/>
        <v>83.114974723744794</v>
      </c>
    </row>
    <row r="247" spans="1:1" x14ac:dyDescent="0.5">
      <c r="A247" s="15">
        <f t="shared" ca="1" si="4"/>
        <v>83.515126550252731</v>
      </c>
    </row>
    <row r="248" spans="1:1" x14ac:dyDescent="0.5">
      <c r="A248" s="15">
        <f t="shared" ca="1" si="4"/>
        <v>78.183244933657505</v>
      </c>
    </row>
    <row r="249" spans="1:1" x14ac:dyDescent="0.5">
      <c r="A249" s="15">
        <f t="shared" ca="1" si="4"/>
        <v>87.032214434692008</v>
      </c>
    </row>
    <row r="250" spans="1:1" x14ac:dyDescent="0.5">
      <c r="A250" s="15">
        <f t="shared" ca="1" si="4"/>
        <v>108.72164543923333</v>
      </c>
    </row>
    <row r="251" spans="1:1" x14ac:dyDescent="0.5">
      <c r="A251" s="15">
        <f t="shared" ca="1" si="4"/>
        <v>112.34065845648759</v>
      </c>
    </row>
    <row r="252" spans="1:1" x14ac:dyDescent="0.5">
      <c r="A252" s="15">
        <f t="shared" ca="1" si="4"/>
        <v>110.83979076469896</v>
      </c>
    </row>
    <row r="253" spans="1:1" x14ac:dyDescent="0.5">
      <c r="A253" s="15">
        <f t="shared" ca="1" si="4"/>
        <v>107.14992319524318</v>
      </c>
    </row>
    <row r="254" spans="1:1" x14ac:dyDescent="0.5">
      <c r="A254" s="15">
        <f t="shared" ca="1" si="4"/>
        <v>80.997222669997058</v>
      </c>
    </row>
    <row r="255" spans="1:1" x14ac:dyDescent="0.5">
      <c r="A255" s="15">
        <f t="shared" ca="1" si="4"/>
        <v>100.32252656137049</v>
      </c>
    </row>
    <row r="256" spans="1:1" x14ac:dyDescent="0.5">
      <c r="A256" s="15">
        <f t="shared" ca="1" si="4"/>
        <v>82.624814434407824</v>
      </c>
    </row>
    <row r="257" spans="1:1" x14ac:dyDescent="0.5">
      <c r="A257" s="15">
        <f t="shared" ca="1" si="4"/>
        <v>87.454483985758728</v>
      </c>
    </row>
    <row r="258" spans="1:1" x14ac:dyDescent="0.5">
      <c r="A258" s="15">
        <f t="shared" ca="1" si="4"/>
        <v>79.973345811022369</v>
      </c>
    </row>
    <row r="259" spans="1:1" x14ac:dyDescent="0.5">
      <c r="A259" s="15">
        <f t="shared" ca="1" si="4"/>
        <v>98.996240626553814</v>
      </c>
    </row>
    <row r="260" spans="1:1" x14ac:dyDescent="0.5">
      <c r="A260" s="15">
        <f t="shared" ca="1" si="4"/>
        <v>108.9688706020987</v>
      </c>
    </row>
    <row r="261" spans="1:1" x14ac:dyDescent="0.5">
      <c r="A261" s="15">
        <f t="shared" ca="1" si="4"/>
        <v>96.085907345165168</v>
      </c>
    </row>
    <row r="262" spans="1:1" x14ac:dyDescent="0.5">
      <c r="A262" s="15">
        <f t="shared" ca="1" si="4"/>
        <v>74.164573745429507</v>
      </c>
    </row>
    <row r="263" spans="1:1" x14ac:dyDescent="0.5">
      <c r="A263" s="15">
        <f t="shared" ca="1" si="4"/>
        <v>97.981992623739785</v>
      </c>
    </row>
    <row r="264" spans="1:1" x14ac:dyDescent="0.5">
      <c r="A264" s="15">
        <f t="shared" ca="1" si="4"/>
        <v>51.796063153007722</v>
      </c>
    </row>
    <row r="265" spans="1:1" x14ac:dyDescent="0.5">
      <c r="A265" s="15">
        <f t="shared" ca="1" si="4"/>
        <v>105.50784957619349</v>
      </c>
    </row>
    <row r="266" spans="1:1" x14ac:dyDescent="0.5">
      <c r="A266" s="15">
        <f t="shared" ca="1" si="4"/>
        <v>93.200163624568177</v>
      </c>
    </row>
    <row r="267" spans="1:1" x14ac:dyDescent="0.5">
      <c r="A267" s="15">
        <f t="shared" ca="1" si="4"/>
        <v>42.565746001640171</v>
      </c>
    </row>
    <row r="268" spans="1:1" x14ac:dyDescent="0.5">
      <c r="A268" s="15">
        <f t="shared" ca="1" si="4"/>
        <v>124.2900419906711</v>
      </c>
    </row>
    <row r="269" spans="1:1" x14ac:dyDescent="0.5">
      <c r="A269" s="15">
        <f t="shared" ref="A269:A332" ca="1" si="5">IF(ROW()-12&lt;=$B$7,_xlfn.NORM.INV(RAND(),$B$5,$B$6),"")</f>
        <v>78.673285482812361</v>
      </c>
    </row>
    <row r="270" spans="1:1" x14ac:dyDescent="0.5">
      <c r="A270" s="15">
        <f t="shared" ca="1" si="5"/>
        <v>98.18947400778363</v>
      </c>
    </row>
    <row r="271" spans="1:1" x14ac:dyDescent="0.5">
      <c r="A271" s="15">
        <f t="shared" ca="1" si="5"/>
        <v>103.48406709500836</v>
      </c>
    </row>
    <row r="272" spans="1:1" x14ac:dyDescent="0.5">
      <c r="A272" s="15">
        <f t="shared" ca="1" si="5"/>
        <v>109.3931123834133</v>
      </c>
    </row>
    <row r="273" spans="1:1" x14ac:dyDescent="0.5">
      <c r="A273" s="15">
        <f t="shared" ca="1" si="5"/>
        <v>42.175583804716489</v>
      </c>
    </row>
    <row r="274" spans="1:1" x14ac:dyDescent="0.5">
      <c r="A274" s="15">
        <f t="shared" ca="1" si="5"/>
        <v>86.684982232284341</v>
      </c>
    </row>
    <row r="275" spans="1:1" x14ac:dyDescent="0.5">
      <c r="A275" s="15">
        <f t="shared" ca="1" si="5"/>
        <v>185.32350839836155</v>
      </c>
    </row>
    <row r="276" spans="1:1" x14ac:dyDescent="0.5">
      <c r="A276" s="15">
        <f t="shared" ca="1" si="5"/>
        <v>126.77668848770895</v>
      </c>
    </row>
    <row r="277" spans="1:1" x14ac:dyDescent="0.5">
      <c r="A277" s="15">
        <f t="shared" ca="1" si="5"/>
        <v>71.985728039518705</v>
      </c>
    </row>
    <row r="278" spans="1:1" x14ac:dyDescent="0.5">
      <c r="A278" s="15">
        <f t="shared" ca="1" si="5"/>
        <v>38.51204914858981</v>
      </c>
    </row>
    <row r="279" spans="1:1" x14ac:dyDescent="0.5">
      <c r="A279" s="15">
        <f t="shared" ca="1" si="5"/>
        <v>78.335152021856061</v>
      </c>
    </row>
    <row r="280" spans="1:1" x14ac:dyDescent="0.5">
      <c r="A280" s="15">
        <f t="shared" ca="1" si="5"/>
        <v>128.7805689043542</v>
      </c>
    </row>
    <row r="281" spans="1:1" x14ac:dyDescent="0.5">
      <c r="A281" s="15">
        <f t="shared" ca="1" si="5"/>
        <v>110.36263929102243</v>
      </c>
    </row>
    <row r="282" spans="1:1" x14ac:dyDescent="0.5">
      <c r="A282" s="15">
        <f t="shared" ca="1" si="5"/>
        <v>96.390237206122052</v>
      </c>
    </row>
    <row r="283" spans="1:1" x14ac:dyDescent="0.5">
      <c r="A283" s="15">
        <f t="shared" ca="1" si="5"/>
        <v>107.4599280182801</v>
      </c>
    </row>
    <row r="284" spans="1:1" x14ac:dyDescent="0.5">
      <c r="A284" s="15">
        <f t="shared" ca="1" si="5"/>
        <v>123.09575738603375</v>
      </c>
    </row>
    <row r="285" spans="1:1" x14ac:dyDescent="0.5">
      <c r="A285" s="15">
        <f t="shared" ca="1" si="5"/>
        <v>100.16623511463685</v>
      </c>
    </row>
    <row r="286" spans="1:1" x14ac:dyDescent="0.5">
      <c r="A286" s="15">
        <f t="shared" ca="1" si="5"/>
        <v>75.006770510120887</v>
      </c>
    </row>
    <row r="287" spans="1:1" x14ac:dyDescent="0.5">
      <c r="A287" s="15">
        <f t="shared" ca="1" si="5"/>
        <v>135.47926509099435</v>
      </c>
    </row>
    <row r="288" spans="1:1" x14ac:dyDescent="0.5">
      <c r="A288" s="15">
        <f t="shared" ca="1" si="5"/>
        <v>81.934276263286193</v>
      </c>
    </row>
    <row r="289" spans="1:1" x14ac:dyDescent="0.5">
      <c r="A289" s="15">
        <f t="shared" ca="1" si="5"/>
        <v>72.990019438071101</v>
      </c>
    </row>
    <row r="290" spans="1:1" x14ac:dyDescent="0.5">
      <c r="A290" s="15">
        <f t="shared" ca="1" si="5"/>
        <v>125.65132770957437</v>
      </c>
    </row>
    <row r="291" spans="1:1" x14ac:dyDescent="0.5">
      <c r="A291" s="15">
        <f t="shared" ca="1" si="5"/>
        <v>41.807684941617318</v>
      </c>
    </row>
    <row r="292" spans="1:1" x14ac:dyDescent="0.5">
      <c r="A292" s="15">
        <f t="shared" ca="1" si="5"/>
        <v>67.73296486208406</v>
      </c>
    </row>
    <row r="293" spans="1:1" x14ac:dyDescent="0.5">
      <c r="A293" s="15">
        <f t="shared" ca="1" si="5"/>
        <v>71.130754201869394</v>
      </c>
    </row>
    <row r="294" spans="1:1" x14ac:dyDescent="0.5">
      <c r="A294" s="15">
        <f t="shared" ca="1" si="5"/>
        <v>115.63535347645511</v>
      </c>
    </row>
    <row r="295" spans="1:1" x14ac:dyDescent="0.5">
      <c r="A295" s="15">
        <f t="shared" ca="1" si="5"/>
        <v>121.67924806528778</v>
      </c>
    </row>
    <row r="296" spans="1:1" x14ac:dyDescent="0.5">
      <c r="A296" s="15">
        <f t="shared" ca="1" si="5"/>
        <v>83.031593920904214</v>
      </c>
    </row>
    <row r="297" spans="1:1" x14ac:dyDescent="0.5">
      <c r="A297" s="15">
        <f t="shared" ca="1" si="5"/>
        <v>91.462203870066503</v>
      </c>
    </row>
    <row r="298" spans="1:1" x14ac:dyDescent="0.5">
      <c r="A298" s="15">
        <f t="shared" ca="1" si="5"/>
        <v>126.81339323589087</v>
      </c>
    </row>
    <row r="299" spans="1:1" x14ac:dyDescent="0.5">
      <c r="A299" s="15">
        <f t="shared" ca="1" si="5"/>
        <v>43.04748612137179</v>
      </c>
    </row>
    <row r="300" spans="1:1" x14ac:dyDescent="0.5">
      <c r="A300" s="15">
        <f t="shared" ca="1" si="5"/>
        <v>101.04582943079133</v>
      </c>
    </row>
    <row r="301" spans="1:1" x14ac:dyDescent="0.5">
      <c r="A301" s="15">
        <f t="shared" ca="1" si="5"/>
        <v>138.97482588498116</v>
      </c>
    </row>
    <row r="302" spans="1:1" x14ac:dyDescent="0.5">
      <c r="A302" s="15">
        <f t="shared" ca="1" si="5"/>
        <v>69.587705936745905</v>
      </c>
    </row>
    <row r="303" spans="1:1" x14ac:dyDescent="0.5">
      <c r="A303" s="15">
        <f t="shared" ca="1" si="5"/>
        <v>130.15817833208936</v>
      </c>
    </row>
    <row r="304" spans="1:1" x14ac:dyDescent="0.5">
      <c r="A304" s="15">
        <f t="shared" ca="1" si="5"/>
        <v>95.094497067782399</v>
      </c>
    </row>
    <row r="305" spans="1:1" x14ac:dyDescent="0.5">
      <c r="A305" s="15">
        <f t="shared" ca="1" si="5"/>
        <v>89.822075964438071</v>
      </c>
    </row>
    <row r="306" spans="1:1" x14ac:dyDescent="0.5">
      <c r="A306" s="15">
        <f t="shared" ca="1" si="5"/>
        <v>103.72556280603908</v>
      </c>
    </row>
    <row r="307" spans="1:1" x14ac:dyDescent="0.5">
      <c r="A307" s="15">
        <f t="shared" ca="1" si="5"/>
        <v>137.2100470438142</v>
      </c>
    </row>
    <row r="308" spans="1:1" x14ac:dyDescent="0.5">
      <c r="A308" s="15">
        <f t="shared" ca="1" si="5"/>
        <v>127.50834364481389</v>
      </c>
    </row>
    <row r="309" spans="1:1" x14ac:dyDescent="0.5">
      <c r="A309" s="15">
        <f t="shared" ca="1" si="5"/>
        <v>67.075873069434877</v>
      </c>
    </row>
    <row r="310" spans="1:1" x14ac:dyDescent="0.5">
      <c r="A310" s="15">
        <f t="shared" ca="1" si="5"/>
        <v>124.53962999521796</v>
      </c>
    </row>
    <row r="311" spans="1:1" x14ac:dyDescent="0.5">
      <c r="A311" s="15">
        <f t="shared" ca="1" si="5"/>
        <v>103.54884780969358</v>
      </c>
    </row>
    <row r="312" spans="1:1" x14ac:dyDescent="0.5">
      <c r="A312" s="15">
        <f t="shared" ca="1" si="5"/>
        <v>148.84163431622332</v>
      </c>
    </row>
    <row r="313" spans="1:1" x14ac:dyDescent="0.5">
      <c r="A313" s="15">
        <f t="shared" ca="1" si="5"/>
        <v>76.602711822578911</v>
      </c>
    </row>
    <row r="314" spans="1:1" x14ac:dyDescent="0.5">
      <c r="A314" s="15">
        <f t="shared" ca="1" si="5"/>
        <v>112.11501377340224</v>
      </c>
    </row>
    <row r="315" spans="1:1" x14ac:dyDescent="0.5">
      <c r="A315" s="15">
        <f t="shared" ca="1" si="5"/>
        <v>52.844685308815471</v>
      </c>
    </row>
    <row r="316" spans="1:1" x14ac:dyDescent="0.5">
      <c r="A316" s="15">
        <f t="shared" ca="1" si="5"/>
        <v>123.88792904830103</v>
      </c>
    </row>
    <row r="317" spans="1:1" x14ac:dyDescent="0.5">
      <c r="A317" s="15">
        <f t="shared" ca="1" si="5"/>
        <v>129.41028218446735</v>
      </c>
    </row>
    <row r="318" spans="1:1" x14ac:dyDescent="0.5">
      <c r="A318" s="15">
        <f t="shared" ca="1" si="5"/>
        <v>116.09017099545517</v>
      </c>
    </row>
    <row r="319" spans="1:1" x14ac:dyDescent="0.5">
      <c r="A319" s="15">
        <f t="shared" ca="1" si="5"/>
        <v>135.31493050666998</v>
      </c>
    </row>
    <row r="320" spans="1:1" x14ac:dyDescent="0.5">
      <c r="A320" s="15">
        <f t="shared" ca="1" si="5"/>
        <v>119.64945923675302</v>
      </c>
    </row>
    <row r="321" spans="1:1" x14ac:dyDescent="0.5">
      <c r="A321" s="15">
        <f t="shared" ca="1" si="5"/>
        <v>141.54907925527741</v>
      </c>
    </row>
    <row r="322" spans="1:1" x14ac:dyDescent="0.5">
      <c r="A322" s="15">
        <f t="shared" ca="1" si="5"/>
        <v>100.91745937654549</v>
      </c>
    </row>
    <row r="323" spans="1:1" x14ac:dyDescent="0.5">
      <c r="A323" s="15">
        <f t="shared" ca="1" si="5"/>
        <v>117.06319125593824</v>
      </c>
    </row>
    <row r="324" spans="1:1" x14ac:dyDescent="0.5">
      <c r="A324" s="15">
        <f t="shared" ca="1" si="5"/>
        <v>151.03575051074569</v>
      </c>
    </row>
    <row r="325" spans="1:1" x14ac:dyDescent="0.5">
      <c r="A325" s="15">
        <f t="shared" ca="1" si="5"/>
        <v>78.657805483396402</v>
      </c>
    </row>
    <row r="326" spans="1:1" x14ac:dyDescent="0.5">
      <c r="A326" s="15">
        <f t="shared" ca="1" si="5"/>
        <v>79.392730967798627</v>
      </c>
    </row>
    <row r="327" spans="1:1" x14ac:dyDescent="0.5">
      <c r="A327" s="15">
        <f t="shared" ca="1" si="5"/>
        <v>112.94989634461574</v>
      </c>
    </row>
    <row r="328" spans="1:1" x14ac:dyDescent="0.5">
      <c r="A328" s="15">
        <f t="shared" ca="1" si="5"/>
        <v>76.204644332885607</v>
      </c>
    </row>
    <row r="329" spans="1:1" x14ac:dyDescent="0.5">
      <c r="A329" s="15">
        <f t="shared" ca="1" si="5"/>
        <v>94.196986224157683</v>
      </c>
    </row>
    <row r="330" spans="1:1" x14ac:dyDescent="0.5">
      <c r="A330" s="15">
        <f t="shared" ca="1" si="5"/>
        <v>85.257380931679009</v>
      </c>
    </row>
    <row r="331" spans="1:1" x14ac:dyDescent="0.5">
      <c r="A331" s="15">
        <f t="shared" ca="1" si="5"/>
        <v>131.44863801946394</v>
      </c>
    </row>
    <row r="332" spans="1:1" x14ac:dyDescent="0.5">
      <c r="A332" s="15">
        <f t="shared" ca="1" si="5"/>
        <v>134.13597193105045</v>
      </c>
    </row>
    <row r="333" spans="1:1" x14ac:dyDescent="0.5">
      <c r="A333" s="15">
        <f t="shared" ref="A333:A396" ca="1" si="6">IF(ROW()-12&lt;=$B$7,_xlfn.NORM.INV(RAND(),$B$5,$B$6),"")</f>
        <v>112.24927505751123</v>
      </c>
    </row>
    <row r="334" spans="1:1" x14ac:dyDescent="0.5">
      <c r="A334" s="15">
        <f t="shared" ca="1" si="6"/>
        <v>125.90716991348637</v>
      </c>
    </row>
    <row r="335" spans="1:1" x14ac:dyDescent="0.5">
      <c r="A335" s="15">
        <f t="shared" ca="1" si="6"/>
        <v>98.144337389344727</v>
      </c>
    </row>
    <row r="336" spans="1:1" x14ac:dyDescent="0.5">
      <c r="A336" s="15">
        <f t="shared" ca="1" si="6"/>
        <v>61.422049562759611</v>
      </c>
    </row>
    <row r="337" spans="1:1" x14ac:dyDescent="0.5">
      <c r="A337" s="15">
        <f t="shared" ca="1" si="6"/>
        <v>120.82209010412535</v>
      </c>
    </row>
    <row r="338" spans="1:1" x14ac:dyDescent="0.5">
      <c r="A338" s="15">
        <f t="shared" ca="1" si="6"/>
        <v>52.777539860804154</v>
      </c>
    </row>
    <row r="339" spans="1:1" x14ac:dyDescent="0.5">
      <c r="A339" s="15">
        <f t="shared" ca="1" si="6"/>
        <v>122.86847830579657</v>
      </c>
    </row>
    <row r="340" spans="1:1" x14ac:dyDescent="0.5">
      <c r="A340" s="15">
        <f t="shared" ca="1" si="6"/>
        <v>107.92077846437583</v>
      </c>
    </row>
    <row r="341" spans="1:1" x14ac:dyDescent="0.5">
      <c r="A341" s="15">
        <f t="shared" ca="1" si="6"/>
        <v>103.45173375206247</v>
      </c>
    </row>
    <row r="342" spans="1:1" x14ac:dyDescent="0.5">
      <c r="A342" s="15">
        <f t="shared" ca="1" si="6"/>
        <v>86.723050412427156</v>
      </c>
    </row>
    <row r="343" spans="1:1" x14ac:dyDescent="0.5">
      <c r="A343" s="15">
        <f t="shared" ca="1" si="6"/>
        <v>73.661672566470685</v>
      </c>
    </row>
    <row r="344" spans="1:1" x14ac:dyDescent="0.5">
      <c r="A344" s="15">
        <f t="shared" ca="1" si="6"/>
        <v>98.815193527888653</v>
      </c>
    </row>
    <row r="345" spans="1:1" x14ac:dyDescent="0.5">
      <c r="A345" s="15">
        <f t="shared" ca="1" si="6"/>
        <v>88.914006667840383</v>
      </c>
    </row>
    <row r="346" spans="1:1" x14ac:dyDescent="0.5">
      <c r="A346" s="15">
        <f t="shared" ca="1" si="6"/>
        <v>153.4258841528372</v>
      </c>
    </row>
    <row r="347" spans="1:1" x14ac:dyDescent="0.5">
      <c r="A347" s="15">
        <f t="shared" ca="1" si="6"/>
        <v>61.690947031509133</v>
      </c>
    </row>
    <row r="348" spans="1:1" x14ac:dyDescent="0.5">
      <c r="A348" s="15">
        <f t="shared" ca="1" si="6"/>
        <v>107.76217572917763</v>
      </c>
    </row>
    <row r="349" spans="1:1" x14ac:dyDescent="0.5">
      <c r="A349" s="15">
        <f t="shared" ca="1" si="6"/>
        <v>109.72266516984732</v>
      </c>
    </row>
    <row r="350" spans="1:1" x14ac:dyDescent="0.5">
      <c r="A350" s="15">
        <f t="shared" ca="1" si="6"/>
        <v>132.40219490735254</v>
      </c>
    </row>
    <row r="351" spans="1:1" x14ac:dyDescent="0.5">
      <c r="A351" s="15">
        <f t="shared" ca="1" si="6"/>
        <v>62.553615941951605</v>
      </c>
    </row>
    <row r="352" spans="1:1" x14ac:dyDescent="0.5">
      <c r="A352" s="15">
        <f t="shared" ca="1" si="6"/>
        <v>136.04193178877324</v>
      </c>
    </row>
    <row r="353" spans="1:1" x14ac:dyDescent="0.5">
      <c r="A353" s="15">
        <f t="shared" ca="1" si="6"/>
        <v>118.38617823566943</v>
      </c>
    </row>
    <row r="354" spans="1:1" x14ac:dyDescent="0.5">
      <c r="A354" s="15">
        <f t="shared" ca="1" si="6"/>
        <v>107.8289624878913</v>
      </c>
    </row>
    <row r="355" spans="1:1" x14ac:dyDescent="0.5">
      <c r="A355" s="15">
        <f t="shared" ca="1" si="6"/>
        <v>102.70608785599119</v>
      </c>
    </row>
    <row r="356" spans="1:1" x14ac:dyDescent="0.5">
      <c r="A356" s="15">
        <f t="shared" ca="1" si="6"/>
        <v>103.81500030714571</v>
      </c>
    </row>
    <row r="357" spans="1:1" x14ac:dyDescent="0.5">
      <c r="A357" s="15">
        <f t="shared" ca="1" si="6"/>
        <v>73.112917984999868</v>
      </c>
    </row>
    <row r="358" spans="1:1" x14ac:dyDescent="0.5">
      <c r="A358" s="15">
        <f t="shared" ca="1" si="6"/>
        <v>132.29879227791719</v>
      </c>
    </row>
    <row r="359" spans="1:1" x14ac:dyDescent="0.5">
      <c r="A359" s="15">
        <f t="shared" ca="1" si="6"/>
        <v>83.574614801626424</v>
      </c>
    </row>
    <row r="360" spans="1:1" x14ac:dyDescent="0.5">
      <c r="A360" s="15">
        <f t="shared" ca="1" si="6"/>
        <v>72.134691022213318</v>
      </c>
    </row>
    <row r="361" spans="1:1" x14ac:dyDescent="0.5">
      <c r="A361" s="15">
        <f t="shared" ca="1" si="6"/>
        <v>91.652271807833898</v>
      </c>
    </row>
    <row r="362" spans="1:1" x14ac:dyDescent="0.5">
      <c r="A362" s="15">
        <f t="shared" ca="1" si="6"/>
        <v>61.171226608461069</v>
      </c>
    </row>
    <row r="363" spans="1:1" x14ac:dyDescent="0.5">
      <c r="A363" s="15">
        <f t="shared" ca="1" si="6"/>
        <v>96.818929567852706</v>
      </c>
    </row>
    <row r="364" spans="1:1" x14ac:dyDescent="0.5">
      <c r="A364" s="15">
        <f t="shared" ca="1" si="6"/>
        <v>81.087169336619908</v>
      </c>
    </row>
    <row r="365" spans="1:1" x14ac:dyDescent="0.5">
      <c r="A365" s="15">
        <f t="shared" ca="1" si="6"/>
        <v>97.592027487952421</v>
      </c>
    </row>
    <row r="366" spans="1:1" x14ac:dyDescent="0.5">
      <c r="A366" s="15">
        <f t="shared" ca="1" si="6"/>
        <v>110.05979123516664</v>
      </c>
    </row>
    <row r="367" spans="1:1" x14ac:dyDescent="0.5">
      <c r="A367" s="15">
        <f t="shared" ca="1" si="6"/>
        <v>150.3012994490422</v>
      </c>
    </row>
    <row r="368" spans="1:1" x14ac:dyDescent="0.5">
      <c r="A368" s="15">
        <f t="shared" ca="1" si="6"/>
        <v>96.27023378199064</v>
      </c>
    </row>
    <row r="369" spans="1:1" x14ac:dyDescent="0.5">
      <c r="A369" s="15">
        <f t="shared" ca="1" si="6"/>
        <v>83.942182737987309</v>
      </c>
    </row>
    <row r="370" spans="1:1" x14ac:dyDescent="0.5">
      <c r="A370" s="15">
        <f t="shared" ca="1" si="6"/>
        <v>103.32457114878665</v>
      </c>
    </row>
    <row r="371" spans="1:1" x14ac:dyDescent="0.5">
      <c r="A371" s="15">
        <f t="shared" ca="1" si="6"/>
        <v>97.56509897343463</v>
      </c>
    </row>
    <row r="372" spans="1:1" x14ac:dyDescent="0.5">
      <c r="A372" s="15">
        <f t="shared" ca="1" si="6"/>
        <v>97.780468535258947</v>
      </c>
    </row>
    <row r="373" spans="1:1" x14ac:dyDescent="0.5">
      <c r="A373" s="15">
        <f t="shared" ca="1" si="6"/>
        <v>116.42695880259366</v>
      </c>
    </row>
    <row r="374" spans="1:1" x14ac:dyDescent="0.5">
      <c r="A374" s="15">
        <f t="shared" ca="1" si="6"/>
        <v>110.52376052842766</v>
      </c>
    </row>
    <row r="375" spans="1:1" x14ac:dyDescent="0.5">
      <c r="A375" s="15">
        <f t="shared" ca="1" si="6"/>
        <v>73.672879074438086</v>
      </c>
    </row>
    <row r="376" spans="1:1" x14ac:dyDescent="0.5">
      <c r="A376" s="15">
        <f t="shared" ca="1" si="6"/>
        <v>113.80229520280916</v>
      </c>
    </row>
    <row r="377" spans="1:1" x14ac:dyDescent="0.5">
      <c r="A377" s="15">
        <f t="shared" ca="1" si="6"/>
        <v>82.730539689121329</v>
      </c>
    </row>
    <row r="378" spans="1:1" x14ac:dyDescent="0.5">
      <c r="A378" s="15">
        <f t="shared" ca="1" si="6"/>
        <v>99.641893348670578</v>
      </c>
    </row>
    <row r="379" spans="1:1" x14ac:dyDescent="0.5">
      <c r="A379" s="15">
        <f t="shared" ca="1" si="6"/>
        <v>65.814558403930207</v>
      </c>
    </row>
    <row r="380" spans="1:1" x14ac:dyDescent="0.5">
      <c r="A380" s="15">
        <f t="shared" ca="1" si="6"/>
        <v>99.565991356802741</v>
      </c>
    </row>
    <row r="381" spans="1:1" x14ac:dyDescent="0.5">
      <c r="A381" s="15">
        <f t="shared" ca="1" si="6"/>
        <v>81.981791559672004</v>
      </c>
    </row>
    <row r="382" spans="1:1" x14ac:dyDescent="0.5">
      <c r="A382" s="15">
        <f t="shared" ca="1" si="6"/>
        <v>110.70384764083657</v>
      </c>
    </row>
    <row r="383" spans="1:1" x14ac:dyDescent="0.5">
      <c r="A383" s="15">
        <f t="shared" ca="1" si="6"/>
        <v>140.55445652486935</v>
      </c>
    </row>
    <row r="384" spans="1:1" x14ac:dyDescent="0.5">
      <c r="A384" s="15">
        <f t="shared" ca="1" si="6"/>
        <v>77.296213964071541</v>
      </c>
    </row>
    <row r="385" spans="1:1" x14ac:dyDescent="0.5">
      <c r="A385" s="15">
        <f t="shared" ca="1" si="6"/>
        <v>111.92366589172585</v>
      </c>
    </row>
    <row r="386" spans="1:1" x14ac:dyDescent="0.5">
      <c r="A386" s="15">
        <f t="shared" ca="1" si="6"/>
        <v>74.661803105653021</v>
      </c>
    </row>
    <row r="387" spans="1:1" x14ac:dyDescent="0.5">
      <c r="A387" s="15">
        <f t="shared" ca="1" si="6"/>
        <v>102.20247040752228</v>
      </c>
    </row>
    <row r="388" spans="1:1" x14ac:dyDescent="0.5">
      <c r="A388" s="15">
        <f t="shared" ca="1" si="6"/>
        <v>163.36656387499713</v>
      </c>
    </row>
    <row r="389" spans="1:1" x14ac:dyDescent="0.5">
      <c r="A389" s="15">
        <f t="shared" ca="1" si="6"/>
        <v>69.623665970812169</v>
      </c>
    </row>
    <row r="390" spans="1:1" x14ac:dyDescent="0.5">
      <c r="A390" s="15">
        <f t="shared" ca="1" si="6"/>
        <v>110.98230274572224</v>
      </c>
    </row>
    <row r="391" spans="1:1" x14ac:dyDescent="0.5">
      <c r="A391" s="15">
        <f t="shared" ca="1" si="6"/>
        <v>115.55864425199259</v>
      </c>
    </row>
    <row r="392" spans="1:1" x14ac:dyDescent="0.5">
      <c r="A392" s="15">
        <f t="shared" ca="1" si="6"/>
        <v>59.059625582475739</v>
      </c>
    </row>
    <row r="393" spans="1:1" x14ac:dyDescent="0.5">
      <c r="A393" s="15">
        <f t="shared" ca="1" si="6"/>
        <v>75.548823031646052</v>
      </c>
    </row>
    <row r="394" spans="1:1" x14ac:dyDescent="0.5">
      <c r="A394" s="15">
        <f t="shared" ca="1" si="6"/>
        <v>100.83966269570199</v>
      </c>
    </row>
    <row r="395" spans="1:1" x14ac:dyDescent="0.5">
      <c r="A395" s="15">
        <f t="shared" ca="1" si="6"/>
        <v>146.38484484768827</v>
      </c>
    </row>
    <row r="396" spans="1:1" x14ac:dyDescent="0.5">
      <c r="A396" s="15">
        <f t="shared" ca="1" si="6"/>
        <v>102.66152594379369</v>
      </c>
    </row>
    <row r="397" spans="1:1" x14ac:dyDescent="0.5">
      <c r="A397" s="15">
        <f t="shared" ref="A397:A460" ca="1" si="7">IF(ROW()-12&lt;=$B$7,_xlfn.NORM.INV(RAND(),$B$5,$B$6),"")</f>
        <v>85.624723342510691</v>
      </c>
    </row>
    <row r="398" spans="1:1" x14ac:dyDescent="0.5">
      <c r="A398" s="15">
        <f t="shared" ca="1" si="7"/>
        <v>79.993649307618838</v>
      </c>
    </row>
    <row r="399" spans="1:1" x14ac:dyDescent="0.5">
      <c r="A399" s="15">
        <f t="shared" ca="1" si="7"/>
        <v>107.96398905708702</v>
      </c>
    </row>
    <row r="400" spans="1:1" x14ac:dyDescent="0.5">
      <c r="A400" s="15">
        <f t="shared" ca="1" si="7"/>
        <v>79.994686884546638</v>
      </c>
    </row>
    <row r="401" spans="1:1" x14ac:dyDescent="0.5">
      <c r="A401" s="15">
        <f t="shared" ca="1" si="7"/>
        <v>72.285934113984496</v>
      </c>
    </row>
    <row r="402" spans="1:1" x14ac:dyDescent="0.5">
      <c r="A402" s="15">
        <f t="shared" ca="1" si="7"/>
        <v>38.562040248340544</v>
      </c>
    </row>
    <row r="403" spans="1:1" x14ac:dyDescent="0.5">
      <c r="A403" s="15">
        <f t="shared" ca="1" si="7"/>
        <v>100.25975717782771</v>
      </c>
    </row>
    <row r="404" spans="1:1" x14ac:dyDescent="0.5">
      <c r="A404" s="15">
        <f t="shared" ca="1" si="7"/>
        <v>112.78018832998882</v>
      </c>
    </row>
    <row r="405" spans="1:1" x14ac:dyDescent="0.5">
      <c r="A405" s="15">
        <f t="shared" ca="1" si="7"/>
        <v>104.99602831126745</v>
      </c>
    </row>
    <row r="406" spans="1:1" x14ac:dyDescent="0.5">
      <c r="A406" s="15">
        <f t="shared" ca="1" si="7"/>
        <v>85.512035220900984</v>
      </c>
    </row>
    <row r="407" spans="1:1" x14ac:dyDescent="0.5">
      <c r="A407" s="15">
        <f t="shared" ca="1" si="7"/>
        <v>104.2614141580938</v>
      </c>
    </row>
    <row r="408" spans="1:1" x14ac:dyDescent="0.5">
      <c r="A408" s="15">
        <f t="shared" ca="1" si="7"/>
        <v>117.39412015396647</v>
      </c>
    </row>
    <row r="409" spans="1:1" x14ac:dyDescent="0.5">
      <c r="A409" s="15">
        <f t="shared" ca="1" si="7"/>
        <v>59.875360302407735</v>
      </c>
    </row>
    <row r="410" spans="1:1" x14ac:dyDescent="0.5">
      <c r="A410" s="15">
        <f t="shared" ca="1" si="7"/>
        <v>65.082846683371145</v>
      </c>
    </row>
    <row r="411" spans="1:1" x14ac:dyDescent="0.5">
      <c r="A411" s="15">
        <f t="shared" ca="1" si="7"/>
        <v>92.290503013279732</v>
      </c>
    </row>
    <row r="412" spans="1:1" x14ac:dyDescent="0.5">
      <c r="A412" s="15">
        <f t="shared" ca="1" si="7"/>
        <v>78.009030603371457</v>
      </c>
    </row>
    <row r="413" spans="1:1" x14ac:dyDescent="0.5">
      <c r="A413" s="15">
        <f t="shared" ca="1" si="7"/>
        <v>124.89820081025711</v>
      </c>
    </row>
    <row r="414" spans="1:1" x14ac:dyDescent="0.5">
      <c r="A414" s="15">
        <f t="shared" ca="1" si="7"/>
        <v>114.36333073846227</v>
      </c>
    </row>
    <row r="415" spans="1:1" x14ac:dyDescent="0.5">
      <c r="A415" s="15">
        <f t="shared" ca="1" si="7"/>
        <v>95.852970432064623</v>
      </c>
    </row>
    <row r="416" spans="1:1" x14ac:dyDescent="0.5">
      <c r="A416" s="15">
        <f t="shared" ca="1" si="7"/>
        <v>106.27224131217105</v>
      </c>
    </row>
    <row r="417" spans="1:1" x14ac:dyDescent="0.5">
      <c r="A417" s="15">
        <f t="shared" ca="1" si="7"/>
        <v>81.579520445419959</v>
      </c>
    </row>
    <row r="418" spans="1:1" x14ac:dyDescent="0.5">
      <c r="A418" s="15">
        <f t="shared" ca="1" si="7"/>
        <v>107.58851093061116</v>
      </c>
    </row>
    <row r="419" spans="1:1" x14ac:dyDescent="0.5">
      <c r="A419" s="15">
        <f t="shared" ca="1" si="7"/>
        <v>92.00450091357925</v>
      </c>
    </row>
    <row r="420" spans="1:1" x14ac:dyDescent="0.5">
      <c r="A420" s="15">
        <f t="shared" ca="1" si="7"/>
        <v>74.447957814031497</v>
      </c>
    </row>
    <row r="421" spans="1:1" x14ac:dyDescent="0.5">
      <c r="A421" s="15">
        <f t="shared" ca="1" si="7"/>
        <v>95.150898011798986</v>
      </c>
    </row>
    <row r="422" spans="1:1" x14ac:dyDescent="0.5">
      <c r="A422" s="15">
        <f t="shared" ca="1" si="7"/>
        <v>85.627841105952555</v>
      </c>
    </row>
    <row r="423" spans="1:1" x14ac:dyDescent="0.5">
      <c r="A423" s="15">
        <f t="shared" ca="1" si="7"/>
        <v>145.01380095020409</v>
      </c>
    </row>
    <row r="424" spans="1:1" x14ac:dyDescent="0.5">
      <c r="A424" s="15">
        <f t="shared" ca="1" si="7"/>
        <v>116.18983631963714</v>
      </c>
    </row>
    <row r="425" spans="1:1" x14ac:dyDescent="0.5">
      <c r="A425" s="15">
        <f t="shared" ca="1" si="7"/>
        <v>95.952200056324259</v>
      </c>
    </row>
    <row r="426" spans="1:1" x14ac:dyDescent="0.5">
      <c r="A426" s="15">
        <f t="shared" ca="1" si="7"/>
        <v>87.341170956217695</v>
      </c>
    </row>
    <row r="427" spans="1:1" x14ac:dyDescent="0.5">
      <c r="A427" s="15">
        <f t="shared" ca="1" si="7"/>
        <v>100.77719176570452</v>
      </c>
    </row>
    <row r="428" spans="1:1" x14ac:dyDescent="0.5">
      <c r="A428" s="15">
        <f t="shared" ca="1" si="7"/>
        <v>46.089820882761266</v>
      </c>
    </row>
    <row r="429" spans="1:1" x14ac:dyDescent="0.5">
      <c r="A429" s="15">
        <f t="shared" ca="1" si="7"/>
        <v>131.88950512858543</v>
      </c>
    </row>
    <row r="430" spans="1:1" x14ac:dyDescent="0.5">
      <c r="A430" s="15">
        <f t="shared" ca="1" si="7"/>
        <v>87.22628090906781</v>
      </c>
    </row>
    <row r="431" spans="1:1" x14ac:dyDescent="0.5">
      <c r="A431" s="15">
        <f t="shared" ca="1" si="7"/>
        <v>138.27565531802077</v>
      </c>
    </row>
    <row r="432" spans="1:1" x14ac:dyDescent="0.5">
      <c r="A432" s="15">
        <f t="shared" ca="1" si="7"/>
        <v>126.98304641900818</v>
      </c>
    </row>
    <row r="433" spans="1:1" x14ac:dyDescent="0.5">
      <c r="A433" s="15">
        <f t="shared" ca="1" si="7"/>
        <v>112.19901806208379</v>
      </c>
    </row>
    <row r="434" spans="1:1" x14ac:dyDescent="0.5">
      <c r="A434" s="15">
        <f t="shared" ca="1" si="7"/>
        <v>125.28853706554609</v>
      </c>
    </row>
    <row r="435" spans="1:1" x14ac:dyDescent="0.5">
      <c r="A435" s="15">
        <f t="shared" ca="1" si="7"/>
        <v>120.36421823226733</v>
      </c>
    </row>
    <row r="436" spans="1:1" x14ac:dyDescent="0.5">
      <c r="A436" s="15">
        <f t="shared" ca="1" si="7"/>
        <v>98.558360763981625</v>
      </c>
    </row>
    <row r="437" spans="1:1" x14ac:dyDescent="0.5">
      <c r="A437" s="15">
        <f t="shared" ca="1" si="7"/>
        <v>59.262413270196966</v>
      </c>
    </row>
    <row r="438" spans="1:1" x14ac:dyDescent="0.5">
      <c r="A438" s="15">
        <f t="shared" ca="1" si="7"/>
        <v>81.165611060094292</v>
      </c>
    </row>
    <row r="439" spans="1:1" x14ac:dyDescent="0.5">
      <c r="A439" s="15">
        <f t="shared" ca="1" si="7"/>
        <v>128.58425391451001</v>
      </c>
    </row>
    <row r="440" spans="1:1" x14ac:dyDescent="0.5">
      <c r="A440" s="15">
        <f t="shared" ca="1" si="7"/>
        <v>77.822031427605282</v>
      </c>
    </row>
    <row r="441" spans="1:1" x14ac:dyDescent="0.5">
      <c r="A441" s="15">
        <f t="shared" ca="1" si="7"/>
        <v>106.80088714363012</v>
      </c>
    </row>
    <row r="442" spans="1:1" x14ac:dyDescent="0.5">
      <c r="A442" s="15">
        <f t="shared" ca="1" si="7"/>
        <v>36.595040297237212</v>
      </c>
    </row>
    <row r="443" spans="1:1" x14ac:dyDescent="0.5">
      <c r="A443" s="15">
        <f t="shared" ca="1" si="7"/>
        <v>123.1589691475407</v>
      </c>
    </row>
    <row r="444" spans="1:1" x14ac:dyDescent="0.5">
      <c r="A444" s="15">
        <f t="shared" ca="1" si="7"/>
        <v>55.066040352892507</v>
      </c>
    </row>
    <row r="445" spans="1:1" x14ac:dyDescent="0.5">
      <c r="A445" s="15">
        <f t="shared" ca="1" si="7"/>
        <v>94.530655990665352</v>
      </c>
    </row>
    <row r="446" spans="1:1" x14ac:dyDescent="0.5">
      <c r="A446" s="15">
        <f t="shared" ca="1" si="7"/>
        <v>63.194959281867916</v>
      </c>
    </row>
    <row r="447" spans="1:1" x14ac:dyDescent="0.5">
      <c r="A447" s="15">
        <f t="shared" ca="1" si="7"/>
        <v>134.08200691514531</v>
      </c>
    </row>
    <row r="448" spans="1:1" x14ac:dyDescent="0.5">
      <c r="A448" s="15">
        <f t="shared" ca="1" si="7"/>
        <v>78.57716433348304</v>
      </c>
    </row>
    <row r="449" spans="1:1" x14ac:dyDescent="0.5">
      <c r="A449" s="15">
        <f t="shared" ca="1" si="7"/>
        <v>87.616542124399032</v>
      </c>
    </row>
    <row r="450" spans="1:1" x14ac:dyDescent="0.5">
      <c r="A450" s="15">
        <f t="shared" ca="1" si="7"/>
        <v>89.543358544497309</v>
      </c>
    </row>
    <row r="451" spans="1:1" x14ac:dyDescent="0.5">
      <c r="A451" s="15">
        <f t="shared" ca="1" si="7"/>
        <v>113.36978934783711</v>
      </c>
    </row>
    <row r="452" spans="1:1" x14ac:dyDescent="0.5">
      <c r="A452" s="15">
        <f t="shared" ca="1" si="7"/>
        <v>113.43495552845272</v>
      </c>
    </row>
    <row r="453" spans="1:1" x14ac:dyDescent="0.5">
      <c r="A453" s="15">
        <f t="shared" ca="1" si="7"/>
        <v>74.175209411391776</v>
      </c>
    </row>
    <row r="454" spans="1:1" x14ac:dyDescent="0.5">
      <c r="A454" s="15">
        <f t="shared" ca="1" si="7"/>
        <v>63.697164994212677</v>
      </c>
    </row>
    <row r="455" spans="1:1" x14ac:dyDescent="0.5">
      <c r="A455" s="15">
        <f t="shared" ca="1" si="7"/>
        <v>104.93019851484179</v>
      </c>
    </row>
    <row r="456" spans="1:1" x14ac:dyDescent="0.5">
      <c r="A456" s="15">
        <f t="shared" ca="1" si="7"/>
        <v>86.726202815161955</v>
      </c>
    </row>
    <row r="457" spans="1:1" x14ac:dyDescent="0.5">
      <c r="A457" s="15">
        <f t="shared" ca="1" si="7"/>
        <v>112.98574465161285</v>
      </c>
    </row>
    <row r="458" spans="1:1" x14ac:dyDescent="0.5">
      <c r="A458" s="15">
        <f t="shared" ca="1" si="7"/>
        <v>72.024971816592185</v>
      </c>
    </row>
    <row r="459" spans="1:1" x14ac:dyDescent="0.5">
      <c r="A459" s="15">
        <f t="shared" ca="1" si="7"/>
        <v>135.10777417537875</v>
      </c>
    </row>
    <row r="460" spans="1:1" x14ac:dyDescent="0.5">
      <c r="A460" s="15">
        <f t="shared" ca="1" si="7"/>
        <v>123.68449086124274</v>
      </c>
    </row>
    <row r="461" spans="1:1" x14ac:dyDescent="0.5">
      <c r="A461" s="15">
        <f t="shared" ref="A461:A524" ca="1" si="8">IF(ROW()-12&lt;=$B$7,_xlfn.NORM.INV(RAND(),$B$5,$B$6),"")</f>
        <v>90.113314930941925</v>
      </c>
    </row>
    <row r="462" spans="1:1" x14ac:dyDescent="0.5">
      <c r="A462" s="15">
        <f t="shared" ca="1" si="8"/>
        <v>99.819548686495665</v>
      </c>
    </row>
    <row r="463" spans="1:1" x14ac:dyDescent="0.5">
      <c r="A463" s="15">
        <f t="shared" ca="1" si="8"/>
        <v>68.648335201006375</v>
      </c>
    </row>
    <row r="464" spans="1:1" x14ac:dyDescent="0.5">
      <c r="A464" s="15">
        <f t="shared" ca="1" si="8"/>
        <v>99.295489824906625</v>
      </c>
    </row>
    <row r="465" spans="1:1" x14ac:dyDescent="0.5">
      <c r="A465" s="15">
        <f t="shared" ca="1" si="8"/>
        <v>120.12554470369847</v>
      </c>
    </row>
    <row r="466" spans="1:1" x14ac:dyDescent="0.5">
      <c r="A466" s="15">
        <f t="shared" ca="1" si="8"/>
        <v>131.06975159515011</v>
      </c>
    </row>
    <row r="467" spans="1:1" x14ac:dyDescent="0.5">
      <c r="A467" s="15">
        <f t="shared" ca="1" si="8"/>
        <v>127.36519692545933</v>
      </c>
    </row>
    <row r="468" spans="1:1" x14ac:dyDescent="0.5">
      <c r="A468" s="15">
        <f t="shared" ca="1" si="8"/>
        <v>104.27279031095756</v>
      </c>
    </row>
    <row r="469" spans="1:1" x14ac:dyDescent="0.5">
      <c r="A469" s="15">
        <f t="shared" ca="1" si="8"/>
        <v>110.35997368081533</v>
      </c>
    </row>
    <row r="470" spans="1:1" x14ac:dyDescent="0.5">
      <c r="A470" s="15">
        <f t="shared" ca="1" si="8"/>
        <v>115.38464152985078</v>
      </c>
    </row>
    <row r="471" spans="1:1" x14ac:dyDescent="0.5">
      <c r="A471" s="15">
        <f t="shared" ca="1" si="8"/>
        <v>94.899231404457254</v>
      </c>
    </row>
    <row r="472" spans="1:1" x14ac:dyDescent="0.5">
      <c r="A472" s="15">
        <f t="shared" ca="1" si="8"/>
        <v>75.759456112445221</v>
      </c>
    </row>
    <row r="473" spans="1:1" x14ac:dyDescent="0.5">
      <c r="A473" s="15">
        <f t="shared" ca="1" si="8"/>
        <v>108.67406994908544</v>
      </c>
    </row>
    <row r="474" spans="1:1" x14ac:dyDescent="0.5">
      <c r="A474" s="15">
        <f t="shared" ca="1" si="8"/>
        <v>66.077802387352861</v>
      </c>
    </row>
    <row r="475" spans="1:1" x14ac:dyDescent="0.5">
      <c r="A475" s="15">
        <f t="shared" ca="1" si="8"/>
        <v>54.09207089545265</v>
      </c>
    </row>
    <row r="476" spans="1:1" x14ac:dyDescent="0.5">
      <c r="A476" s="15">
        <f t="shared" ca="1" si="8"/>
        <v>97.079071493293597</v>
      </c>
    </row>
    <row r="477" spans="1:1" x14ac:dyDescent="0.5">
      <c r="A477" s="15">
        <f t="shared" ca="1" si="8"/>
        <v>93.30504018113902</v>
      </c>
    </row>
    <row r="478" spans="1:1" x14ac:dyDescent="0.5">
      <c r="A478" s="15">
        <f t="shared" ca="1" si="8"/>
        <v>100.66098285972846</v>
      </c>
    </row>
    <row r="479" spans="1:1" x14ac:dyDescent="0.5">
      <c r="A479" s="15">
        <f t="shared" ca="1" si="8"/>
        <v>112.21572670557818</v>
      </c>
    </row>
    <row r="480" spans="1:1" x14ac:dyDescent="0.5">
      <c r="A480" s="15">
        <f t="shared" ca="1" si="8"/>
        <v>125.23351975031265</v>
      </c>
    </row>
    <row r="481" spans="1:1" x14ac:dyDescent="0.5">
      <c r="A481" s="15">
        <f t="shared" ca="1" si="8"/>
        <v>82.498983384063322</v>
      </c>
    </row>
    <row r="482" spans="1:1" x14ac:dyDescent="0.5">
      <c r="A482" s="15">
        <f t="shared" ca="1" si="8"/>
        <v>82.238837166552116</v>
      </c>
    </row>
    <row r="483" spans="1:1" x14ac:dyDescent="0.5">
      <c r="A483" s="15">
        <f t="shared" ca="1" si="8"/>
        <v>123.81597078738179</v>
      </c>
    </row>
    <row r="484" spans="1:1" x14ac:dyDescent="0.5">
      <c r="A484" s="15">
        <f t="shared" ca="1" si="8"/>
        <v>74.073129785552794</v>
      </c>
    </row>
    <row r="485" spans="1:1" x14ac:dyDescent="0.5">
      <c r="A485" s="15">
        <f t="shared" ca="1" si="8"/>
        <v>92.720385847445556</v>
      </c>
    </row>
    <row r="486" spans="1:1" x14ac:dyDescent="0.5">
      <c r="A486" s="15">
        <f t="shared" ca="1" si="8"/>
        <v>39.130134653009698</v>
      </c>
    </row>
    <row r="487" spans="1:1" x14ac:dyDescent="0.5">
      <c r="A487" s="15">
        <f t="shared" ca="1" si="8"/>
        <v>110.17580647898085</v>
      </c>
    </row>
    <row r="488" spans="1:1" x14ac:dyDescent="0.5">
      <c r="A488" s="15">
        <f t="shared" ca="1" si="8"/>
        <v>123.7072808545492</v>
      </c>
    </row>
    <row r="489" spans="1:1" x14ac:dyDescent="0.5">
      <c r="A489" s="15">
        <f t="shared" ca="1" si="8"/>
        <v>86.963702321473406</v>
      </c>
    </row>
    <row r="490" spans="1:1" x14ac:dyDescent="0.5">
      <c r="A490" s="15">
        <f t="shared" ca="1" si="8"/>
        <v>92.526009042283064</v>
      </c>
    </row>
    <row r="491" spans="1:1" x14ac:dyDescent="0.5">
      <c r="A491" s="15">
        <f t="shared" ca="1" si="8"/>
        <v>146.63671491235377</v>
      </c>
    </row>
    <row r="492" spans="1:1" x14ac:dyDescent="0.5">
      <c r="A492" s="15">
        <f t="shared" ca="1" si="8"/>
        <v>133.21407045453248</v>
      </c>
    </row>
    <row r="493" spans="1:1" x14ac:dyDescent="0.5">
      <c r="A493" s="15">
        <f t="shared" ca="1" si="8"/>
        <v>89.81977627472142</v>
      </c>
    </row>
    <row r="494" spans="1:1" x14ac:dyDescent="0.5">
      <c r="A494" s="15">
        <f t="shared" ca="1" si="8"/>
        <v>100.54514009002747</v>
      </c>
    </row>
    <row r="495" spans="1:1" x14ac:dyDescent="0.5">
      <c r="A495" s="15">
        <f t="shared" ca="1" si="8"/>
        <v>52.609501930071225</v>
      </c>
    </row>
    <row r="496" spans="1:1" x14ac:dyDescent="0.5">
      <c r="A496" s="15">
        <f t="shared" ca="1" si="8"/>
        <v>113.27429295568223</v>
      </c>
    </row>
    <row r="497" spans="1:1" x14ac:dyDescent="0.5">
      <c r="A497" s="15">
        <f t="shared" ca="1" si="8"/>
        <v>87.253540657180693</v>
      </c>
    </row>
    <row r="498" spans="1:1" x14ac:dyDescent="0.5">
      <c r="A498" s="15">
        <f t="shared" ca="1" si="8"/>
        <v>74.166398260091569</v>
      </c>
    </row>
    <row r="499" spans="1:1" x14ac:dyDescent="0.5">
      <c r="A499" s="15">
        <f t="shared" ca="1" si="8"/>
        <v>100.08514289236318</v>
      </c>
    </row>
    <row r="500" spans="1:1" x14ac:dyDescent="0.5">
      <c r="A500" s="15">
        <f t="shared" ca="1" si="8"/>
        <v>67.432365621810348</v>
      </c>
    </row>
    <row r="501" spans="1:1" x14ac:dyDescent="0.5">
      <c r="A501" s="15">
        <f t="shared" ca="1" si="8"/>
        <v>112.57003718797279</v>
      </c>
    </row>
    <row r="502" spans="1:1" x14ac:dyDescent="0.5">
      <c r="A502" s="15">
        <f t="shared" ca="1" si="8"/>
        <v>84.21124307846965</v>
      </c>
    </row>
    <row r="503" spans="1:1" x14ac:dyDescent="0.5">
      <c r="A503" s="15">
        <f t="shared" ca="1" si="8"/>
        <v>93.387069204861405</v>
      </c>
    </row>
    <row r="504" spans="1:1" x14ac:dyDescent="0.5">
      <c r="A504" s="15">
        <f t="shared" ca="1" si="8"/>
        <v>71.824094942534359</v>
      </c>
    </row>
    <row r="505" spans="1:1" x14ac:dyDescent="0.5">
      <c r="A505" s="15">
        <f t="shared" ca="1" si="8"/>
        <v>71.8496277875103</v>
      </c>
    </row>
    <row r="506" spans="1:1" x14ac:dyDescent="0.5">
      <c r="A506" s="15">
        <f t="shared" ca="1" si="8"/>
        <v>138.84929248730674</v>
      </c>
    </row>
    <row r="507" spans="1:1" x14ac:dyDescent="0.5">
      <c r="A507" s="15">
        <f t="shared" ca="1" si="8"/>
        <v>92.213491673304304</v>
      </c>
    </row>
    <row r="508" spans="1:1" x14ac:dyDescent="0.5">
      <c r="A508" s="15">
        <f t="shared" ca="1" si="8"/>
        <v>128.02392568763486</v>
      </c>
    </row>
    <row r="509" spans="1:1" x14ac:dyDescent="0.5">
      <c r="A509" s="15">
        <f t="shared" ca="1" si="8"/>
        <v>75.253424677991475</v>
      </c>
    </row>
    <row r="510" spans="1:1" x14ac:dyDescent="0.5">
      <c r="A510" s="15">
        <f t="shared" ca="1" si="8"/>
        <v>99.674353421618179</v>
      </c>
    </row>
    <row r="511" spans="1:1" x14ac:dyDescent="0.5">
      <c r="A511" s="15">
        <f t="shared" ca="1" si="8"/>
        <v>175.81548783902844</v>
      </c>
    </row>
    <row r="512" spans="1:1" x14ac:dyDescent="0.5">
      <c r="A512" s="15">
        <f t="shared" ca="1" si="8"/>
        <v>71.967606245119313</v>
      </c>
    </row>
    <row r="513" spans="1:1" x14ac:dyDescent="0.5">
      <c r="A513" s="15">
        <f t="shared" ca="1" si="8"/>
        <v>157.35528275004066</v>
      </c>
    </row>
    <row r="514" spans="1:1" x14ac:dyDescent="0.5">
      <c r="A514" s="15">
        <f t="shared" ca="1" si="8"/>
        <v>132.05243244353392</v>
      </c>
    </row>
    <row r="515" spans="1:1" x14ac:dyDescent="0.5">
      <c r="A515" s="15">
        <f t="shared" ca="1" si="8"/>
        <v>37.031210700656914</v>
      </c>
    </row>
    <row r="516" spans="1:1" x14ac:dyDescent="0.5">
      <c r="A516" s="15">
        <f t="shared" ca="1" si="8"/>
        <v>80.521748884983992</v>
      </c>
    </row>
    <row r="517" spans="1:1" x14ac:dyDescent="0.5">
      <c r="A517" s="15">
        <f t="shared" ca="1" si="8"/>
        <v>81.27854148920872</v>
      </c>
    </row>
    <row r="518" spans="1:1" x14ac:dyDescent="0.5">
      <c r="A518" s="15">
        <f t="shared" ca="1" si="8"/>
        <v>176.23373905019122</v>
      </c>
    </row>
    <row r="519" spans="1:1" x14ac:dyDescent="0.5">
      <c r="A519" s="15">
        <f t="shared" ca="1" si="8"/>
        <v>77.950745299914587</v>
      </c>
    </row>
    <row r="520" spans="1:1" x14ac:dyDescent="0.5">
      <c r="A520" s="15">
        <f t="shared" ca="1" si="8"/>
        <v>112.50005799072242</v>
      </c>
    </row>
    <row r="521" spans="1:1" x14ac:dyDescent="0.5">
      <c r="A521" s="15">
        <f t="shared" ca="1" si="8"/>
        <v>117.10217719648072</v>
      </c>
    </row>
    <row r="522" spans="1:1" x14ac:dyDescent="0.5">
      <c r="A522" s="15">
        <f t="shared" ca="1" si="8"/>
        <v>136.1383133974166</v>
      </c>
    </row>
    <row r="523" spans="1:1" x14ac:dyDescent="0.5">
      <c r="A523" s="15">
        <f t="shared" ca="1" si="8"/>
        <v>109.47928693444386</v>
      </c>
    </row>
    <row r="524" spans="1:1" x14ac:dyDescent="0.5">
      <c r="A524" s="15">
        <f t="shared" ca="1" si="8"/>
        <v>120.06851402753401</v>
      </c>
    </row>
    <row r="525" spans="1:1" x14ac:dyDescent="0.5">
      <c r="A525" s="15">
        <f t="shared" ref="A525:A588" ca="1" si="9">IF(ROW()-12&lt;=$B$7,_xlfn.NORM.INV(RAND(),$B$5,$B$6),"")</f>
        <v>76.950708143386265</v>
      </c>
    </row>
    <row r="526" spans="1:1" x14ac:dyDescent="0.5">
      <c r="A526" s="15">
        <f t="shared" ca="1" si="9"/>
        <v>142.3156403663977</v>
      </c>
    </row>
    <row r="527" spans="1:1" x14ac:dyDescent="0.5">
      <c r="A527" s="15">
        <f t="shared" ca="1" si="9"/>
        <v>54.636814610034698</v>
      </c>
    </row>
    <row r="528" spans="1:1" x14ac:dyDescent="0.5">
      <c r="A528" s="15">
        <f t="shared" ca="1" si="9"/>
        <v>62.621542590505463</v>
      </c>
    </row>
    <row r="529" spans="1:1" x14ac:dyDescent="0.5">
      <c r="A529" s="15">
        <f t="shared" ca="1" si="9"/>
        <v>135.771899937688</v>
      </c>
    </row>
    <row r="530" spans="1:1" x14ac:dyDescent="0.5">
      <c r="A530" s="15">
        <f t="shared" ca="1" si="9"/>
        <v>118.29384322269226</v>
      </c>
    </row>
    <row r="531" spans="1:1" x14ac:dyDescent="0.5">
      <c r="A531" s="15">
        <f t="shared" ca="1" si="9"/>
        <v>96.975554142970324</v>
      </c>
    </row>
    <row r="532" spans="1:1" x14ac:dyDescent="0.5">
      <c r="A532" s="15">
        <f t="shared" ca="1" si="9"/>
        <v>98.734936471696926</v>
      </c>
    </row>
    <row r="533" spans="1:1" x14ac:dyDescent="0.5">
      <c r="A533" s="15">
        <f t="shared" ca="1" si="9"/>
        <v>121.66281264433815</v>
      </c>
    </row>
    <row r="534" spans="1:1" x14ac:dyDescent="0.5">
      <c r="A534" s="15">
        <f t="shared" ca="1" si="9"/>
        <v>135.02177277386082</v>
      </c>
    </row>
    <row r="535" spans="1:1" x14ac:dyDescent="0.5">
      <c r="A535" s="15">
        <f t="shared" ca="1" si="9"/>
        <v>89.613692800117263</v>
      </c>
    </row>
    <row r="536" spans="1:1" x14ac:dyDescent="0.5">
      <c r="A536" s="15">
        <f t="shared" ca="1" si="9"/>
        <v>122.13721063177317</v>
      </c>
    </row>
    <row r="537" spans="1:1" x14ac:dyDescent="0.5">
      <c r="A537" s="15">
        <f t="shared" ca="1" si="9"/>
        <v>45.410236958572668</v>
      </c>
    </row>
    <row r="538" spans="1:1" x14ac:dyDescent="0.5">
      <c r="A538" s="15">
        <f t="shared" ca="1" si="9"/>
        <v>101.10181410248711</v>
      </c>
    </row>
    <row r="539" spans="1:1" x14ac:dyDescent="0.5">
      <c r="A539" s="15">
        <f t="shared" ca="1" si="9"/>
        <v>158.12564271760064</v>
      </c>
    </row>
    <row r="540" spans="1:1" x14ac:dyDescent="0.5">
      <c r="A540" s="15">
        <f t="shared" ca="1" si="9"/>
        <v>112.6966131753105</v>
      </c>
    </row>
    <row r="541" spans="1:1" x14ac:dyDescent="0.5">
      <c r="A541" s="15">
        <f t="shared" ca="1" si="9"/>
        <v>73.699461185056464</v>
      </c>
    </row>
    <row r="542" spans="1:1" x14ac:dyDescent="0.5">
      <c r="A542" s="15">
        <f t="shared" ca="1" si="9"/>
        <v>135.06758967702734</v>
      </c>
    </row>
    <row r="543" spans="1:1" x14ac:dyDescent="0.5">
      <c r="A543" s="15">
        <f t="shared" ca="1" si="9"/>
        <v>98.781559926224077</v>
      </c>
    </row>
    <row r="544" spans="1:1" x14ac:dyDescent="0.5">
      <c r="A544" s="15">
        <f t="shared" ca="1" si="9"/>
        <v>121.3732132548878</v>
      </c>
    </row>
    <row r="545" spans="1:1" x14ac:dyDescent="0.5">
      <c r="A545" s="15">
        <f t="shared" ca="1" si="9"/>
        <v>123.69512172184179</v>
      </c>
    </row>
    <row r="546" spans="1:1" x14ac:dyDescent="0.5">
      <c r="A546" s="15">
        <f t="shared" ca="1" si="9"/>
        <v>62.209656814588435</v>
      </c>
    </row>
    <row r="547" spans="1:1" x14ac:dyDescent="0.5">
      <c r="A547" s="15">
        <f t="shared" ca="1" si="9"/>
        <v>103.09487222848998</v>
      </c>
    </row>
    <row r="548" spans="1:1" x14ac:dyDescent="0.5">
      <c r="A548" s="15">
        <f t="shared" ca="1" si="9"/>
        <v>113.91046493410332</v>
      </c>
    </row>
    <row r="549" spans="1:1" x14ac:dyDescent="0.5">
      <c r="A549" s="15">
        <f t="shared" ca="1" si="9"/>
        <v>79.063603378648651</v>
      </c>
    </row>
    <row r="550" spans="1:1" x14ac:dyDescent="0.5">
      <c r="A550" s="15">
        <f t="shared" ca="1" si="9"/>
        <v>93.049138857919928</v>
      </c>
    </row>
    <row r="551" spans="1:1" x14ac:dyDescent="0.5">
      <c r="A551" s="15">
        <f t="shared" ca="1" si="9"/>
        <v>118.04583553050577</v>
      </c>
    </row>
    <row r="552" spans="1:1" x14ac:dyDescent="0.5">
      <c r="A552" s="15">
        <f t="shared" ca="1" si="9"/>
        <v>103.9908058681028</v>
      </c>
    </row>
    <row r="553" spans="1:1" x14ac:dyDescent="0.5">
      <c r="A553" s="15">
        <f t="shared" ca="1" si="9"/>
        <v>72.24088388665426</v>
      </c>
    </row>
    <row r="554" spans="1:1" x14ac:dyDescent="0.5">
      <c r="A554" s="15">
        <f t="shared" ca="1" si="9"/>
        <v>98.969569431867541</v>
      </c>
    </row>
    <row r="555" spans="1:1" x14ac:dyDescent="0.5">
      <c r="A555" s="15">
        <f t="shared" ca="1" si="9"/>
        <v>68.185309804039349</v>
      </c>
    </row>
    <row r="556" spans="1:1" x14ac:dyDescent="0.5">
      <c r="A556" s="15">
        <f t="shared" ca="1" si="9"/>
        <v>122.82426337423705</v>
      </c>
    </row>
    <row r="557" spans="1:1" x14ac:dyDescent="0.5">
      <c r="A557" s="15">
        <f t="shared" ca="1" si="9"/>
        <v>129.41341306080216</v>
      </c>
    </row>
    <row r="558" spans="1:1" x14ac:dyDescent="0.5">
      <c r="A558" s="15">
        <f t="shared" ca="1" si="9"/>
        <v>67.957908817327535</v>
      </c>
    </row>
    <row r="559" spans="1:1" x14ac:dyDescent="0.5">
      <c r="A559" s="15">
        <f t="shared" ca="1" si="9"/>
        <v>94.638563805093597</v>
      </c>
    </row>
    <row r="560" spans="1:1" x14ac:dyDescent="0.5">
      <c r="A560" s="15">
        <f t="shared" ca="1" si="9"/>
        <v>151.1205624607127</v>
      </c>
    </row>
    <row r="561" spans="1:1" x14ac:dyDescent="0.5">
      <c r="A561" s="15">
        <f t="shared" ca="1" si="9"/>
        <v>90.85825148382699</v>
      </c>
    </row>
    <row r="562" spans="1:1" x14ac:dyDescent="0.5">
      <c r="A562" s="15">
        <f t="shared" ca="1" si="9"/>
        <v>121.70401672333057</v>
      </c>
    </row>
    <row r="563" spans="1:1" x14ac:dyDescent="0.5">
      <c r="A563" s="15">
        <f t="shared" ca="1" si="9"/>
        <v>74.815589093984983</v>
      </c>
    </row>
    <row r="564" spans="1:1" x14ac:dyDescent="0.5">
      <c r="A564" s="15">
        <f t="shared" ca="1" si="9"/>
        <v>115.09409916513783</v>
      </c>
    </row>
    <row r="565" spans="1:1" x14ac:dyDescent="0.5">
      <c r="A565" s="15">
        <f t="shared" ca="1" si="9"/>
        <v>72.603529979642332</v>
      </c>
    </row>
    <row r="566" spans="1:1" x14ac:dyDescent="0.5">
      <c r="A566" s="15">
        <f t="shared" ca="1" si="9"/>
        <v>100.18236496660255</v>
      </c>
    </row>
    <row r="567" spans="1:1" x14ac:dyDescent="0.5">
      <c r="A567" s="15">
        <f t="shared" ca="1" si="9"/>
        <v>89.682240933426925</v>
      </c>
    </row>
    <row r="568" spans="1:1" x14ac:dyDescent="0.5">
      <c r="A568" s="15">
        <f t="shared" ca="1" si="9"/>
        <v>123.78386418985892</v>
      </c>
    </row>
    <row r="569" spans="1:1" x14ac:dyDescent="0.5">
      <c r="A569" s="15">
        <f t="shared" ca="1" si="9"/>
        <v>53.92210923292771</v>
      </c>
    </row>
    <row r="570" spans="1:1" x14ac:dyDescent="0.5">
      <c r="A570" s="15">
        <f t="shared" ca="1" si="9"/>
        <v>82.963645827090303</v>
      </c>
    </row>
    <row r="571" spans="1:1" x14ac:dyDescent="0.5">
      <c r="A571" s="15">
        <f t="shared" ca="1" si="9"/>
        <v>46.21871864107311</v>
      </c>
    </row>
    <row r="572" spans="1:1" x14ac:dyDescent="0.5">
      <c r="A572" s="15">
        <f t="shared" ca="1" si="9"/>
        <v>82.317429126836657</v>
      </c>
    </row>
    <row r="573" spans="1:1" x14ac:dyDescent="0.5">
      <c r="A573" s="15">
        <f t="shared" ca="1" si="9"/>
        <v>79.850960946535096</v>
      </c>
    </row>
    <row r="574" spans="1:1" x14ac:dyDescent="0.5">
      <c r="A574" s="15">
        <f t="shared" ca="1" si="9"/>
        <v>149.6961488222282</v>
      </c>
    </row>
    <row r="575" spans="1:1" x14ac:dyDescent="0.5">
      <c r="A575" s="15">
        <f t="shared" ca="1" si="9"/>
        <v>120.66942212774507</v>
      </c>
    </row>
    <row r="576" spans="1:1" x14ac:dyDescent="0.5">
      <c r="A576" s="15">
        <f t="shared" ca="1" si="9"/>
        <v>108.56396100782504</v>
      </c>
    </row>
    <row r="577" spans="1:1" x14ac:dyDescent="0.5">
      <c r="A577" s="15">
        <f t="shared" ca="1" si="9"/>
        <v>73.801042428854387</v>
      </c>
    </row>
    <row r="578" spans="1:1" x14ac:dyDescent="0.5">
      <c r="A578" s="15">
        <f t="shared" ca="1" si="9"/>
        <v>99.194943219360951</v>
      </c>
    </row>
    <row r="579" spans="1:1" x14ac:dyDescent="0.5">
      <c r="A579" s="15">
        <f t="shared" ca="1" si="9"/>
        <v>139.78775552410366</v>
      </c>
    </row>
    <row r="580" spans="1:1" x14ac:dyDescent="0.5">
      <c r="A580" s="15">
        <f t="shared" ca="1" si="9"/>
        <v>53.001931705120562</v>
      </c>
    </row>
    <row r="581" spans="1:1" x14ac:dyDescent="0.5">
      <c r="A581" s="15">
        <f t="shared" ca="1" si="9"/>
        <v>108.97879338597679</v>
      </c>
    </row>
    <row r="582" spans="1:1" x14ac:dyDescent="0.5">
      <c r="A582" s="15">
        <f t="shared" ca="1" si="9"/>
        <v>114.05034403042814</v>
      </c>
    </row>
    <row r="583" spans="1:1" x14ac:dyDescent="0.5">
      <c r="A583" s="15">
        <f t="shared" ca="1" si="9"/>
        <v>89.651277525114864</v>
      </c>
    </row>
    <row r="584" spans="1:1" x14ac:dyDescent="0.5">
      <c r="A584" s="15">
        <f t="shared" ca="1" si="9"/>
        <v>106.26335725600521</v>
      </c>
    </row>
    <row r="585" spans="1:1" x14ac:dyDescent="0.5">
      <c r="A585" s="15">
        <f t="shared" ca="1" si="9"/>
        <v>137.35467441175086</v>
      </c>
    </row>
    <row r="586" spans="1:1" x14ac:dyDescent="0.5">
      <c r="A586" s="15">
        <f t="shared" ca="1" si="9"/>
        <v>67.529783428201497</v>
      </c>
    </row>
    <row r="587" spans="1:1" x14ac:dyDescent="0.5">
      <c r="A587" s="15">
        <f t="shared" ca="1" si="9"/>
        <v>111.92374028865176</v>
      </c>
    </row>
    <row r="588" spans="1:1" x14ac:dyDescent="0.5">
      <c r="A588" s="15">
        <f t="shared" ca="1" si="9"/>
        <v>68.914998701266342</v>
      </c>
    </row>
    <row r="589" spans="1:1" x14ac:dyDescent="0.5">
      <c r="A589" s="15">
        <f t="shared" ref="A589:A652" ca="1" si="10">IF(ROW()-12&lt;=$B$7,_xlfn.NORM.INV(RAND(),$B$5,$B$6),"")</f>
        <v>99.35907905110146</v>
      </c>
    </row>
    <row r="590" spans="1:1" x14ac:dyDescent="0.5">
      <c r="A590" s="15">
        <f t="shared" ca="1" si="10"/>
        <v>109.67390614097246</v>
      </c>
    </row>
    <row r="591" spans="1:1" x14ac:dyDescent="0.5">
      <c r="A591" s="15">
        <f t="shared" ca="1" si="10"/>
        <v>96.644481784355051</v>
      </c>
    </row>
    <row r="592" spans="1:1" x14ac:dyDescent="0.5">
      <c r="A592" s="15">
        <f t="shared" ca="1" si="10"/>
        <v>66.887634318904091</v>
      </c>
    </row>
    <row r="593" spans="1:1" x14ac:dyDescent="0.5">
      <c r="A593" s="15">
        <f t="shared" ca="1" si="10"/>
        <v>93.371845843874695</v>
      </c>
    </row>
    <row r="594" spans="1:1" x14ac:dyDescent="0.5">
      <c r="A594" s="15">
        <f t="shared" ca="1" si="10"/>
        <v>59.150145351556773</v>
      </c>
    </row>
    <row r="595" spans="1:1" x14ac:dyDescent="0.5">
      <c r="A595" s="15">
        <f t="shared" ca="1" si="10"/>
        <v>103.84131368987542</v>
      </c>
    </row>
    <row r="596" spans="1:1" x14ac:dyDescent="0.5">
      <c r="A596" s="15">
        <f t="shared" ca="1" si="10"/>
        <v>98.070350646919351</v>
      </c>
    </row>
    <row r="597" spans="1:1" x14ac:dyDescent="0.5">
      <c r="A597" s="15">
        <f t="shared" ca="1" si="10"/>
        <v>126.19454249489432</v>
      </c>
    </row>
    <row r="598" spans="1:1" x14ac:dyDescent="0.5">
      <c r="A598" s="15">
        <f t="shared" ca="1" si="10"/>
        <v>155.52646591631373</v>
      </c>
    </row>
    <row r="599" spans="1:1" x14ac:dyDescent="0.5">
      <c r="A599" s="15">
        <f t="shared" ca="1" si="10"/>
        <v>81.763722350142714</v>
      </c>
    </row>
    <row r="600" spans="1:1" x14ac:dyDescent="0.5">
      <c r="A600" s="15">
        <f t="shared" ca="1" si="10"/>
        <v>78.981189356557223</v>
      </c>
    </row>
    <row r="601" spans="1:1" x14ac:dyDescent="0.5">
      <c r="A601" s="15">
        <f t="shared" ca="1" si="10"/>
        <v>83.858149053551614</v>
      </c>
    </row>
    <row r="602" spans="1:1" x14ac:dyDescent="0.5">
      <c r="A602" s="15">
        <f t="shared" ca="1" si="10"/>
        <v>132.34089876661</v>
      </c>
    </row>
    <row r="603" spans="1:1" x14ac:dyDescent="0.5">
      <c r="A603" s="15">
        <f t="shared" ca="1" si="10"/>
        <v>91.602740001842093</v>
      </c>
    </row>
    <row r="604" spans="1:1" x14ac:dyDescent="0.5">
      <c r="A604" s="15">
        <f t="shared" ca="1" si="10"/>
        <v>139.9951969551413</v>
      </c>
    </row>
    <row r="605" spans="1:1" x14ac:dyDescent="0.5">
      <c r="A605" s="15">
        <f t="shared" ca="1" si="10"/>
        <v>100.8920280555848</v>
      </c>
    </row>
    <row r="606" spans="1:1" x14ac:dyDescent="0.5">
      <c r="A606" s="15">
        <f t="shared" ca="1" si="10"/>
        <v>109.30746926767991</v>
      </c>
    </row>
    <row r="607" spans="1:1" x14ac:dyDescent="0.5">
      <c r="A607" s="15">
        <f t="shared" ca="1" si="10"/>
        <v>104.76463752970498</v>
      </c>
    </row>
    <row r="608" spans="1:1" x14ac:dyDescent="0.5">
      <c r="A608" s="15">
        <f t="shared" ca="1" si="10"/>
        <v>93.558116931423498</v>
      </c>
    </row>
    <row r="609" spans="1:1" x14ac:dyDescent="0.5">
      <c r="A609" s="15">
        <f t="shared" ca="1" si="10"/>
        <v>118.04811644439303</v>
      </c>
    </row>
    <row r="610" spans="1:1" x14ac:dyDescent="0.5">
      <c r="A610" s="15">
        <f t="shared" ca="1" si="10"/>
        <v>126.66730516305175</v>
      </c>
    </row>
    <row r="611" spans="1:1" x14ac:dyDescent="0.5">
      <c r="A611" s="15">
        <f t="shared" ca="1" si="10"/>
        <v>100.75200502233209</v>
      </c>
    </row>
    <row r="612" spans="1:1" x14ac:dyDescent="0.5">
      <c r="A612" s="15">
        <f t="shared" ca="1" si="10"/>
        <v>98.592757182745615</v>
      </c>
    </row>
    <row r="613" spans="1:1" x14ac:dyDescent="0.5">
      <c r="A613" s="15">
        <f t="shared" ca="1" si="10"/>
        <v>58.255758909393244</v>
      </c>
    </row>
    <row r="614" spans="1:1" x14ac:dyDescent="0.5">
      <c r="A614" s="15">
        <f t="shared" ca="1" si="10"/>
        <v>123.74011751019727</v>
      </c>
    </row>
    <row r="615" spans="1:1" x14ac:dyDescent="0.5">
      <c r="A615" s="15">
        <f t="shared" ca="1" si="10"/>
        <v>106.44417498700928</v>
      </c>
    </row>
    <row r="616" spans="1:1" x14ac:dyDescent="0.5">
      <c r="A616" s="15">
        <f t="shared" ca="1" si="10"/>
        <v>104.53271273923633</v>
      </c>
    </row>
    <row r="617" spans="1:1" x14ac:dyDescent="0.5">
      <c r="A617" s="15">
        <f t="shared" ca="1" si="10"/>
        <v>111.84457345865412</v>
      </c>
    </row>
    <row r="618" spans="1:1" x14ac:dyDescent="0.5">
      <c r="A618" s="15">
        <f t="shared" ca="1" si="10"/>
        <v>122.46438583180662</v>
      </c>
    </row>
    <row r="619" spans="1:1" x14ac:dyDescent="0.5">
      <c r="A619" s="15">
        <f t="shared" ca="1" si="10"/>
        <v>106.06079795711476</v>
      </c>
    </row>
    <row r="620" spans="1:1" x14ac:dyDescent="0.5">
      <c r="A620" s="15">
        <f t="shared" ca="1" si="10"/>
        <v>152.21606015420116</v>
      </c>
    </row>
    <row r="621" spans="1:1" x14ac:dyDescent="0.5">
      <c r="A621" s="15">
        <f t="shared" ca="1" si="10"/>
        <v>78.629694231462395</v>
      </c>
    </row>
    <row r="622" spans="1:1" x14ac:dyDescent="0.5">
      <c r="A622" s="15">
        <f t="shared" ca="1" si="10"/>
        <v>94.449146161392747</v>
      </c>
    </row>
    <row r="623" spans="1:1" x14ac:dyDescent="0.5">
      <c r="A623" s="15">
        <f t="shared" ca="1" si="10"/>
        <v>123.18545588373559</v>
      </c>
    </row>
    <row r="624" spans="1:1" x14ac:dyDescent="0.5">
      <c r="A624" s="15">
        <f t="shared" ca="1" si="10"/>
        <v>119.63940144607093</v>
      </c>
    </row>
    <row r="625" spans="1:1" x14ac:dyDescent="0.5">
      <c r="A625" s="15">
        <f t="shared" ca="1" si="10"/>
        <v>87.805359615500208</v>
      </c>
    </row>
    <row r="626" spans="1:1" x14ac:dyDescent="0.5">
      <c r="A626" s="15">
        <f t="shared" ca="1" si="10"/>
        <v>102.63027782239698</v>
      </c>
    </row>
    <row r="627" spans="1:1" x14ac:dyDescent="0.5">
      <c r="A627" s="15">
        <f t="shared" ca="1" si="10"/>
        <v>142.00676712319554</v>
      </c>
    </row>
    <row r="628" spans="1:1" x14ac:dyDescent="0.5">
      <c r="A628" s="15">
        <f t="shared" ca="1" si="10"/>
        <v>74.265113325693576</v>
      </c>
    </row>
    <row r="629" spans="1:1" x14ac:dyDescent="0.5">
      <c r="A629" s="15">
        <f t="shared" ca="1" si="10"/>
        <v>103.86447233804044</v>
      </c>
    </row>
    <row r="630" spans="1:1" x14ac:dyDescent="0.5">
      <c r="A630" s="15">
        <f t="shared" ca="1" si="10"/>
        <v>112.88923296415517</v>
      </c>
    </row>
    <row r="631" spans="1:1" x14ac:dyDescent="0.5">
      <c r="A631" s="15">
        <f t="shared" ca="1" si="10"/>
        <v>91.878536529071908</v>
      </c>
    </row>
    <row r="632" spans="1:1" x14ac:dyDescent="0.5">
      <c r="A632" s="15">
        <f t="shared" ca="1" si="10"/>
        <v>102.7579610412815</v>
      </c>
    </row>
    <row r="633" spans="1:1" x14ac:dyDescent="0.5">
      <c r="A633" s="15">
        <f t="shared" ca="1" si="10"/>
        <v>123.97817677513319</v>
      </c>
    </row>
    <row r="634" spans="1:1" x14ac:dyDescent="0.5">
      <c r="A634" s="15">
        <f t="shared" ca="1" si="10"/>
        <v>90.802214024406368</v>
      </c>
    </row>
    <row r="635" spans="1:1" x14ac:dyDescent="0.5">
      <c r="A635" s="15">
        <f t="shared" ca="1" si="10"/>
        <v>64.402204688654905</v>
      </c>
    </row>
    <row r="636" spans="1:1" x14ac:dyDescent="0.5">
      <c r="A636" s="15">
        <f t="shared" ca="1" si="10"/>
        <v>121.73509623521412</v>
      </c>
    </row>
    <row r="637" spans="1:1" x14ac:dyDescent="0.5">
      <c r="A637" s="15">
        <f t="shared" ca="1" si="10"/>
        <v>135.01716020087073</v>
      </c>
    </row>
    <row r="638" spans="1:1" x14ac:dyDescent="0.5">
      <c r="A638" s="15">
        <f t="shared" ca="1" si="10"/>
        <v>139.89173211066944</v>
      </c>
    </row>
    <row r="639" spans="1:1" x14ac:dyDescent="0.5">
      <c r="A639" s="15">
        <f t="shared" ca="1" si="10"/>
        <v>104.30575967340545</v>
      </c>
    </row>
    <row r="640" spans="1:1" x14ac:dyDescent="0.5">
      <c r="A640" s="15">
        <f t="shared" ca="1" si="10"/>
        <v>91.750022159737242</v>
      </c>
    </row>
    <row r="641" spans="1:1" x14ac:dyDescent="0.5">
      <c r="A641" s="15">
        <f t="shared" ca="1" si="10"/>
        <v>117.5470550156154</v>
      </c>
    </row>
    <row r="642" spans="1:1" x14ac:dyDescent="0.5">
      <c r="A642" s="15">
        <f t="shared" ca="1" si="10"/>
        <v>101.48435383939197</v>
      </c>
    </row>
    <row r="643" spans="1:1" x14ac:dyDescent="0.5">
      <c r="A643" s="15">
        <f t="shared" ca="1" si="10"/>
        <v>79.328904824923853</v>
      </c>
    </row>
    <row r="644" spans="1:1" x14ac:dyDescent="0.5">
      <c r="A644" s="15">
        <f t="shared" ca="1" si="10"/>
        <v>92.053662475480607</v>
      </c>
    </row>
    <row r="645" spans="1:1" x14ac:dyDescent="0.5">
      <c r="A645" s="15">
        <f t="shared" ca="1" si="10"/>
        <v>82.852251029776681</v>
      </c>
    </row>
    <row r="646" spans="1:1" x14ac:dyDescent="0.5">
      <c r="A646" s="15">
        <f t="shared" ca="1" si="10"/>
        <v>134.98887602848922</v>
      </c>
    </row>
    <row r="647" spans="1:1" x14ac:dyDescent="0.5">
      <c r="A647" s="15">
        <f t="shared" ca="1" si="10"/>
        <v>106.55200467357999</v>
      </c>
    </row>
    <row r="648" spans="1:1" x14ac:dyDescent="0.5">
      <c r="A648" s="15">
        <f t="shared" ca="1" si="10"/>
        <v>86.113500099456317</v>
      </c>
    </row>
    <row r="649" spans="1:1" x14ac:dyDescent="0.5">
      <c r="A649" s="15">
        <f t="shared" ca="1" si="10"/>
        <v>107.08102756439047</v>
      </c>
    </row>
    <row r="650" spans="1:1" x14ac:dyDescent="0.5">
      <c r="A650" s="15">
        <f t="shared" ca="1" si="10"/>
        <v>85.629519716949645</v>
      </c>
    </row>
    <row r="651" spans="1:1" x14ac:dyDescent="0.5">
      <c r="A651" s="15">
        <f t="shared" ca="1" si="10"/>
        <v>115.04792546101184</v>
      </c>
    </row>
    <row r="652" spans="1:1" x14ac:dyDescent="0.5">
      <c r="A652" s="15">
        <f t="shared" ca="1" si="10"/>
        <v>100.21212521600299</v>
      </c>
    </row>
    <row r="653" spans="1:1" x14ac:dyDescent="0.5">
      <c r="A653" s="15">
        <f t="shared" ref="A653:A716" ca="1" si="11">IF(ROW()-12&lt;=$B$7,_xlfn.NORM.INV(RAND(),$B$5,$B$6),"")</f>
        <v>74.40992177451129</v>
      </c>
    </row>
    <row r="654" spans="1:1" x14ac:dyDescent="0.5">
      <c r="A654" s="15">
        <f t="shared" ca="1" si="11"/>
        <v>93.139326882498281</v>
      </c>
    </row>
    <row r="655" spans="1:1" x14ac:dyDescent="0.5">
      <c r="A655" s="15">
        <f t="shared" ca="1" si="11"/>
        <v>113.30770827675117</v>
      </c>
    </row>
    <row r="656" spans="1:1" x14ac:dyDescent="0.5">
      <c r="A656" s="15">
        <f t="shared" ca="1" si="11"/>
        <v>168.47772968271693</v>
      </c>
    </row>
    <row r="657" spans="1:1" x14ac:dyDescent="0.5">
      <c r="A657" s="15">
        <f t="shared" ca="1" si="11"/>
        <v>88.970200692162308</v>
      </c>
    </row>
    <row r="658" spans="1:1" x14ac:dyDescent="0.5">
      <c r="A658" s="15">
        <f t="shared" ca="1" si="11"/>
        <v>58.064496747651532</v>
      </c>
    </row>
    <row r="659" spans="1:1" x14ac:dyDescent="0.5">
      <c r="A659" s="15">
        <f t="shared" ca="1" si="11"/>
        <v>105.84424395251678</v>
      </c>
    </row>
    <row r="660" spans="1:1" x14ac:dyDescent="0.5">
      <c r="A660" s="15">
        <f t="shared" ca="1" si="11"/>
        <v>137.12863653106984</v>
      </c>
    </row>
    <row r="661" spans="1:1" x14ac:dyDescent="0.5">
      <c r="A661" s="15">
        <f t="shared" ca="1" si="11"/>
        <v>133.5059475973072</v>
      </c>
    </row>
    <row r="662" spans="1:1" x14ac:dyDescent="0.5">
      <c r="A662" s="15">
        <f t="shared" ca="1" si="11"/>
        <v>98.445792600804907</v>
      </c>
    </row>
    <row r="663" spans="1:1" x14ac:dyDescent="0.5">
      <c r="A663" s="15">
        <f t="shared" ca="1" si="11"/>
        <v>122.55931566091068</v>
      </c>
    </row>
    <row r="664" spans="1:1" x14ac:dyDescent="0.5">
      <c r="A664" s="15">
        <f t="shared" ca="1" si="11"/>
        <v>95.799015264000587</v>
      </c>
    </row>
    <row r="665" spans="1:1" x14ac:dyDescent="0.5">
      <c r="A665" s="15">
        <f t="shared" ca="1" si="11"/>
        <v>107.31525333195975</v>
      </c>
    </row>
    <row r="666" spans="1:1" x14ac:dyDescent="0.5">
      <c r="A666" s="15">
        <f t="shared" ca="1" si="11"/>
        <v>99.344082649360018</v>
      </c>
    </row>
    <row r="667" spans="1:1" x14ac:dyDescent="0.5">
      <c r="A667" s="15">
        <f t="shared" ca="1" si="11"/>
        <v>117.24827512152461</v>
      </c>
    </row>
    <row r="668" spans="1:1" x14ac:dyDescent="0.5">
      <c r="A668" s="15">
        <f t="shared" ca="1" si="11"/>
        <v>102.27305760417313</v>
      </c>
    </row>
    <row r="669" spans="1:1" x14ac:dyDescent="0.5">
      <c r="A669" s="15">
        <f t="shared" ca="1" si="11"/>
        <v>90.032421138878362</v>
      </c>
    </row>
    <row r="670" spans="1:1" x14ac:dyDescent="0.5">
      <c r="A670" s="15">
        <f t="shared" ca="1" si="11"/>
        <v>118.64434460562285</v>
      </c>
    </row>
    <row r="671" spans="1:1" x14ac:dyDescent="0.5">
      <c r="A671" s="15">
        <f t="shared" ca="1" si="11"/>
        <v>119.19032916056184</v>
      </c>
    </row>
    <row r="672" spans="1:1" x14ac:dyDescent="0.5">
      <c r="A672" s="15">
        <f t="shared" ca="1" si="11"/>
        <v>68.944457136229659</v>
      </c>
    </row>
    <row r="673" spans="1:1" x14ac:dyDescent="0.5">
      <c r="A673" s="15">
        <f t="shared" ca="1" si="11"/>
        <v>62.187569194500995</v>
      </c>
    </row>
    <row r="674" spans="1:1" x14ac:dyDescent="0.5">
      <c r="A674" s="15">
        <f t="shared" ca="1" si="11"/>
        <v>98.990672232476044</v>
      </c>
    </row>
    <row r="675" spans="1:1" x14ac:dyDescent="0.5">
      <c r="A675" s="15">
        <f t="shared" ca="1" si="11"/>
        <v>69.318947584773071</v>
      </c>
    </row>
    <row r="676" spans="1:1" x14ac:dyDescent="0.5">
      <c r="A676" s="15">
        <f t="shared" ca="1" si="11"/>
        <v>83.745901965075547</v>
      </c>
    </row>
    <row r="677" spans="1:1" x14ac:dyDescent="0.5">
      <c r="A677" s="15">
        <f t="shared" ca="1" si="11"/>
        <v>102.59682072477912</v>
      </c>
    </row>
    <row r="678" spans="1:1" x14ac:dyDescent="0.5">
      <c r="A678" s="15">
        <f t="shared" ca="1" si="11"/>
        <v>90.058354505976894</v>
      </c>
    </row>
    <row r="679" spans="1:1" x14ac:dyDescent="0.5">
      <c r="A679" s="15">
        <f t="shared" ca="1" si="11"/>
        <v>66.508741178032054</v>
      </c>
    </row>
    <row r="680" spans="1:1" x14ac:dyDescent="0.5">
      <c r="A680" s="15">
        <f t="shared" ca="1" si="11"/>
        <v>57.890710434853546</v>
      </c>
    </row>
    <row r="681" spans="1:1" x14ac:dyDescent="0.5">
      <c r="A681" s="15">
        <f t="shared" ca="1" si="11"/>
        <v>108.97038823111889</v>
      </c>
    </row>
    <row r="682" spans="1:1" x14ac:dyDescent="0.5">
      <c r="A682" s="15">
        <f t="shared" ca="1" si="11"/>
        <v>119.19222799959569</v>
      </c>
    </row>
    <row r="683" spans="1:1" x14ac:dyDescent="0.5">
      <c r="A683" s="15">
        <f t="shared" ca="1" si="11"/>
        <v>98.235603745464232</v>
      </c>
    </row>
    <row r="684" spans="1:1" x14ac:dyDescent="0.5">
      <c r="A684" s="15">
        <f t="shared" ca="1" si="11"/>
        <v>123.86267743901776</v>
      </c>
    </row>
    <row r="685" spans="1:1" x14ac:dyDescent="0.5">
      <c r="A685" s="15">
        <f t="shared" ca="1" si="11"/>
        <v>76.349893431073014</v>
      </c>
    </row>
    <row r="686" spans="1:1" x14ac:dyDescent="0.5">
      <c r="A686" s="15">
        <f t="shared" ca="1" si="11"/>
        <v>145.71076631320886</v>
      </c>
    </row>
    <row r="687" spans="1:1" x14ac:dyDescent="0.5">
      <c r="A687" s="15">
        <f t="shared" ca="1" si="11"/>
        <v>51.928493562391353</v>
      </c>
    </row>
    <row r="688" spans="1:1" x14ac:dyDescent="0.5">
      <c r="A688" s="15">
        <f t="shared" ca="1" si="11"/>
        <v>107.59606069397368</v>
      </c>
    </row>
    <row r="689" spans="1:1" x14ac:dyDescent="0.5">
      <c r="A689" s="15">
        <f t="shared" ca="1" si="11"/>
        <v>124.75495053603652</v>
      </c>
    </row>
    <row r="690" spans="1:1" x14ac:dyDescent="0.5">
      <c r="A690" s="15">
        <f t="shared" ca="1" si="11"/>
        <v>107.56672772764057</v>
      </c>
    </row>
    <row r="691" spans="1:1" x14ac:dyDescent="0.5">
      <c r="A691" s="15">
        <f t="shared" ca="1" si="11"/>
        <v>70.325255592830814</v>
      </c>
    </row>
    <row r="692" spans="1:1" x14ac:dyDescent="0.5">
      <c r="A692" s="15">
        <f t="shared" ca="1" si="11"/>
        <v>62.644540831334126</v>
      </c>
    </row>
    <row r="693" spans="1:1" x14ac:dyDescent="0.5">
      <c r="A693" s="15">
        <f t="shared" ca="1" si="11"/>
        <v>92.987525539590223</v>
      </c>
    </row>
    <row r="694" spans="1:1" x14ac:dyDescent="0.5">
      <c r="A694" s="15">
        <f t="shared" ca="1" si="11"/>
        <v>73.333354312731799</v>
      </c>
    </row>
    <row r="695" spans="1:1" x14ac:dyDescent="0.5">
      <c r="A695" s="15">
        <f t="shared" ca="1" si="11"/>
        <v>113.6651384028449</v>
      </c>
    </row>
    <row r="696" spans="1:1" x14ac:dyDescent="0.5">
      <c r="A696" s="15">
        <f t="shared" ca="1" si="11"/>
        <v>124.39437011209176</v>
      </c>
    </row>
    <row r="697" spans="1:1" x14ac:dyDescent="0.5">
      <c r="A697" s="15">
        <f t="shared" ca="1" si="11"/>
        <v>85.360436433954192</v>
      </c>
    </row>
    <row r="698" spans="1:1" x14ac:dyDescent="0.5">
      <c r="A698" s="15">
        <f t="shared" ca="1" si="11"/>
        <v>133.10962774442984</v>
      </c>
    </row>
    <row r="699" spans="1:1" x14ac:dyDescent="0.5">
      <c r="A699" s="15">
        <f t="shared" ca="1" si="11"/>
        <v>73.219773302119421</v>
      </c>
    </row>
    <row r="700" spans="1:1" x14ac:dyDescent="0.5">
      <c r="A700" s="15">
        <f t="shared" ca="1" si="11"/>
        <v>74.261802357644399</v>
      </c>
    </row>
    <row r="701" spans="1:1" x14ac:dyDescent="0.5">
      <c r="A701" s="15">
        <f t="shared" ca="1" si="11"/>
        <v>88.44520073945111</v>
      </c>
    </row>
    <row r="702" spans="1:1" x14ac:dyDescent="0.5">
      <c r="A702" s="15">
        <f t="shared" ca="1" si="11"/>
        <v>121.68609421033253</v>
      </c>
    </row>
    <row r="703" spans="1:1" x14ac:dyDescent="0.5">
      <c r="A703" s="15">
        <f t="shared" ca="1" si="11"/>
        <v>119.2382206253485</v>
      </c>
    </row>
    <row r="704" spans="1:1" x14ac:dyDescent="0.5">
      <c r="A704" s="15">
        <f t="shared" ca="1" si="11"/>
        <v>44.519303084797372</v>
      </c>
    </row>
    <row r="705" spans="1:1" x14ac:dyDescent="0.5">
      <c r="A705" s="15">
        <f t="shared" ca="1" si="11"/>
        <v>94.904539061274619</v>
      </c>
    </row>
    <row r="706" spans="1:1" x14ac:dyDescent="0.5">
      <c r="A706" s="15">
        <f t="shared" ca="1" si="11"/>
        <v>109.62182167899176</v>
      </c>
    </row>
    <row r="707" spans="1:1" x14ac:dyDescent="0.5">
      <c r="A707" s="15">
        <f t="shared" ca="1" si="11"/>
        <v>119.0329808935213</v>
      </c>
    </row>
    <row r="708" spans="1:1" x14ac:dyDescent="0.5">
      <c r="A708" s="15">
        <f t="shared" ca="1" si="11"/>
        <v>110.97326266541029</v>
      </c>
    </row>
    <row r="709" spans="1:1" x14ac:dyDescent="0.5">
      <c r="A709" s="15">
        <f t="shared" ca="1" si="11"/>
        <v>131.14097040090854</v>
      </c>
    </row>
    <row r="710" spans="1:1" x14ac:dyDescent="0.5">
      <c r="A710" s="15">
        <f t="shared" ca="1" si="11"/>
        <v>110.05866319918286</v>
      </c>
    </row>
    <row r="711" spans="1:1" x14ac:dyDescent="0.5">
      <c r="A711" s="15">
        <f t="shared" ca="1" si="11"/>
        <v>135.55283744062234</v>
      </c>
    </row>
    <row r="712" spans="1:1" x14ac:dyDescent="0.5">
      <c r="A712" s="15">
        <f t="shared" ca="1" si="11"/>
        <v>102.09667198438012</v>
      </c>
    </row>
    <row r="713" spans="1:1" x14ac:dyDescent="0.5">
      <c r="A713" s="15">
        <f t="shared" ca="1" si="11"/>
        <v>75.845113097042471</v>
      </c>
    </row>
    <row r="714" spans="1:1" x14ac:dyDescent="0.5">
      <c r="A714" s="15">
        <f t="shared" ca="1" si="11"/>
        <v>96.431170650983432</v>
      </c>
    </row>
    <row r="715" spans="1:1" x14ac:dyDescent="0.5">
      <c r="A715" s="15">
        <f t="shared" ca="1" si="11"/>
        <v>90.551477158389474</v>
      </c>
    </row>
    <row r="716" spans="1:1" x14ac:dyDescent="0.5">
      <c r="A716" s="15">
        <f t="shared" ca="1" si="11"/>
        <v>51.068432518670534</v>
      </c>
    </row>
    <row r="717" spans="1:1" x14ac:dyDescent="0.5">
      <c r="A717" s="15">
        <f t="shared" ref="A717:A780" ca="1" si="12">IF(ROW()-12&lt;=$B$7,_xlfn.NORM.INV(RAND(),$B$5,$B$6),"")</f>
        <v>105.94306528764592</v>
      </c>
    </row>
    <row r="718" spans="1:1" x14ac:dyDescent="0.5">
      <c r="A718" s="15">
        <f t="shared" ca="1" si="12"/>
        <v>126.96662359782778</v>
      </c>
    </row>
    <row r="719" spans="1:1" x14ac:dyDescent="0.5">
      <c r="A719" s="15">
        <f t="shared" ca="1" si="12"/>
        <v>82.076318417366622</v>
      </c>
    </row>
    <row r="720" spans="1:1" x14ac:dyDescent="0.5">
      <c r="A720" s="15">
        <f t="shared" ca="1" si="12"/>
        <v>53.634634371396892</v>
      </c>
    </row>
    <row r="721" spans="1:1" x14ac:dyDescent="0.5">
      <c r="A721" s="15">
        <f t="shared" ca="1" si="12"/>
        <v>102.68266869469778</v>
      </c>
    </row>
    <row r="722" spans="1:1" x14ac:dyDescent="0.5">
      <c r="A722" s="15">
        <f t="shared" ca="1" si="12"/>
        <v>88.145655950895545</v>
      </c>
    </row>
    <row r="723" spans="1:1" x14ac:dyDescent="0.5">
      <c r="A723" s="15">
        <f t="shared" ca="1" si="12"/>
        <v>117.84800332322254</v>
      </c>
    </row>
    <row r="724" spans="1:1" x14ac:dyDescent="0.5">
      <c r="A724" s="15">
        <f t="shared" ca="1" si="12"/>
        <v>56.004781480390427</v>
      </c>
    </row>
    <row r="725" spans="1:1" x14ac:dyDescent="0.5">
      <c r="A725" s="15">
        <f t="shared" ca="1" si="12"/>
        <v>122.78139501541074</v>
      </c>
    </row>
    <row r="726" spans="1:1" x14ac:dyDescent="0.5">
      <c r="A726" s="15">
        <f t="shared" ca="1" si="12"/>
        <v>94.73464087055406</v>
      </c>
    </row>
    <row r="727" spans="1:1" x14ac:dyDescent="0.5">
      <c r="A727" s="15">
        <f t="shared" ca="1" si="12"/>
        <v>81.727777663224856</v>
      </c>
    </row>
    <row r="728" spans="1:1" x14ac:dyDescent="0.5">
      <c r="A728" s="15">
        <f t="shared" ca="1" si="12"/>
        <v>92.281202637318302</v>
      </c>
    </row>
    <row r="729" spans="1:1" x14ac:dyDescent="0.5">
      <c r="A729" s="15">
        <f t="shared" ca="1" si="12"/>
        <v>101.81416230389893</v>
      </c>
    </row>
    <row r="730" spans="1:1" x14ac:dyDescent="0.5">
      <c r="A730" s="15">
        <f t="shared" ca="1" si="12"/>
        <v>78.481355351225773</v>
      </c>
    </row>
    <row r="731" spans="1:1" x14ac:dyDescent="0.5">
      <c r="A731" s="15">
        <f t="shared" ca="1" si="12"/>
        <v>112.14526922400073</v>
      </c>
    </row>
    <row r="732" spans="1:1" x14ac:dyDescent="0.5">
      <c r="A732" s="15">
        <f t="shared" ca="1" si="12"/>
        <v>68.789505833559019</v>
      </c>
    </row>
    <row r="733" spans="1:1" x14ac:dyDescent="0.5">
      <c r="A733" s="15">
        <f t="shared" ca="1" si="12"/>
        <v>70.330685388088639</v>
      </c>
    </row>
    <row r="734" spans="1:1" x14ac:dyDescent="0.5">
      <c r="A734" s="15">
        <f t="shared" ca="1" si="12"/>
        <v>90.125909741182525</v>
      </c>
    </row>
    <row r="735" spans="1:1" x14ac:dyDescent="0.5">
      <c r="A735" s="15">
        <f t="shared" ca="1" si="12"/>
        <v>98.507518690442609</v>
      </c>
    </row>
    <row r="736" spans="1:1" x14ac:dyDescent="0.5">
      <c r="A736" s="15">
        <f t="shared" ca="1" si="12"/>
        <v>76.636800579029483</v>
      </c>
    </row>
    <row r="737" spans="1:1" x14ac:dyDescent="0.5">
      <c r="A737" s="15">
        <f t="shared" ca="1" si="12"/>
        <v>90.402393182855789</v>
      </c>
    </row>
    <row r="738" spans="1:1" x14ac:dyDescent="0.5">
      <c r="A738" s="15">
        <f t="shared" ca="1" si="12"/>
        <v>116.03719699499555</v>
      </c>
    </row>
    <row r="739" spans="1:1" x14ac:dyDescent="0.5">
      <c r="A739" s="15">
        <f t="shared" ca="1" si="12"/>
        <v>75.254141128714792</v>
      </c>
    </row>
    <row r="740" spans="1:1" x14ac:dyDescent="0.5">
      <c r="A740" s="15">
        <f t="shared" ca="1" si="12"/>
        <v>65.784414178023056</v>
      </c>
    </row>
    <row r="741" spans="1:1" x14ac:dyDescent="0.5">
      <c r="A741" s="15">
        <f t="shared" ca="1" si="12"/>
        <v>50.330952143668817</v>
      </c>
    </row>
    <row r="742" spans="1:1" x14ac:dyDescent="0.5">
      <c r="A742" s="15">
        <f t="shared" ca="1" si="12"/>
        <v>84.575863937591166</v>
      </c>
    </row>
    <row r="743" spans="1:1" x14ac:dyDescent="0.5">
      <c r="A743" s="15">
        <f t="shared" ca="1" si="12"/>
        <v>73.925250366786031</v>
      </c>
    </row>
    <row r="744" spans="1:1" x14ac:dyDescent="0.5">
      <c r="A744" s="15">
        <f t="shared" ca="1" si="12"/>
        <v>108.7191962391875</v>
      </c>
    </row>
    <row r="745" spans="1:1" x14ac:dyDescent="0.5">
      <c r="A745" s="15">
        <f t="shared" ca="1" si="12"/>
        <v>116.72091825493666</v>
      </c>
    </row>
    <row r="746" spans="1:1" x14ac:dyDescent="0.5">
      <c r="A746" s="15">
        <f t="shared" ca="1" si="12"/>
        <v>115.41700858401938</v>
      </c>
    </row>
    <row r="747" spans="1:1" x14ac:dyDescent="0.5">
      <c r="A747" s="15">
        <f t="shared" ca="1" si="12"/>
        <v>133.60302616357342</v>
      </c>
    </row>
    <row r="748" spans="1:1" x14ac:dyDescent="0.5">
      <c r="A748" s="15">
        <f t="shared" ca="1" si="12"/>
        <v>74.728363756290236</v>
      </c>
    </row>
    <row r="749" spans="1:1" x14ac:dyDescent="0.5">
      <c r="A749" s="15">
        <f t="shared" ca="1" si="12"/>
        <v>89.765876537268923</v>
      </c>
    </row>
    <row r="750" spans="1:1" x14ac:dyDescent="0.5">
      <c r="A750" s="15">
        <f t="shared" ca="1" si="12"/>
        <v>135.63837502282749</v>
      </c>
    </row>
    <row r="751" spans="1:1" x14ac:dyDescent="0.5">
      <c r="A751" s="15">
        <f t="shared" ca="1" si="12"/>
        <v>79.494595667580583</v>
      </c>
    </row>
    <row r="752" spans="1:1" x14ac:dyDescent="0.5">
      <c r="A752" s="15">
        <f t="shared" ca="1" si="12"/>
        <v>117.02455927474652</v>
      </c>
    </row>
    <row r="753" spans="1:1" x14ac:dyDescent="0.5">
      <c r="A753" s="15">
        <f t="shared" ca="1" si="12"/>
        <v>100.46203362079764</v>
      </c>
    </row>
    <row r="754" spans="1:1" x14ac:dyDescent="0.5">
      <c r="A754" s="15">
        <f t="shared" ca="1" si="12"/>
        <v>118.12156687174955</v>
      </c>
    </row>
    <row r="755" spans="1:1" x14ac:dyDescent="0.5">
      <c r="A755" s="15">
        <f t="shared" ca="1" si="12"/>
        <v>78.48774817305133</v>
      </c>
    </row>
    <row r="756" spans="1:1" x14ac:dyDescent="0.5">
      <c r="A756" s="15">
        <f t="shared" ca="1" si="12"/>
        <v>96.220900563911911</v>
      </c>
    </row>
    <row r="757" spans="1:1" x14ac:dyDescent="0.5">
      <c r="A757" s="15">
        <f t="shared" ca="1" si="12"/>
        <v>91.236834368205095</v>
      </c>
    </row>
    <row r="758" spans="1:1" x14ac:dyDescent="0.5">
      <c r="A758" s="15">
        <f t="shared" ca="1" si="12"/>
        <v>92.832257700082963</v>
      </c>
    </row>
    <row r="759" spans="1:1" x14ac:dyDescent="0.5">
      <c r="A759" s="15">
        <f t="shared" ca="1" si="12"/>
        <v>92.788445296309163</v>
      </c>
    </row>
    <row r="760" spans="1:1" x14ac:dyDescent="0.5">
      <c r="A760" s="15">
        <f t="shared" ca="1" si="12"/>
        <v>110.16628604139592</v>
      </c>
    </row>
    <row r="761" spans="1:1" x14ac:dyDescent="0.5">
      <c r="A761" s="15">
        <f t="shared" ca="1" si="12"/>
        <v>144.11032848792337</v>
      </c>
    </row>
    <row r="762" spans="1:1" x14ac:dyDescent="0.5">
      <c r="A762" s="15">
        <f t="shared" ca="1" si="12"/>
        <v>98.522835092209775</v>
      </c>
    </row>
    <row r="763" spans="1:1" x14ac:dyDescent="0.5">
      <c r="A763" s="15">
        <f t="shared" ca="1" si="12"/>
        <v>87.15498127137289</v>
      </c>
    </row>
    <row r="764" spans="1:1" x14ac:dyDescent="0.5">
      <c r="A764" s="15">
        <f t="shared" ca="1" si="12"/>
        <v>108.35499238072501</v>
      </c>
    </row>
    <row r="765" spans="1:1" x14ac:dyDescent="0.5">
      <c r="A765" s="15">
        <f t="shared" ca="1" si="12"/>
        <v>84.184849578252425</v>
      </c>
    </row>
    <row r="766" spans="1:1" x14ac:dyDescent="0.5">
      <c r="A766" s="15">
        <f t="shared" ca="1" si="12"/>
        <v>141.21839151350872</v>
      </c>
    </row>
    <row r="767" spans="1:1" x14ac:dyDescent="0.5">
      <c r="A767" s="15">
        <f t="shared" ca="1" si="12"/>
        <v>88.555361062168515</v>
      </c>
    </row>
    <row r="768" spans="1:1" x14ac:dyDescent="0.5">
      <c r="A768" s="15">
        <f t="shared" ca="1" si="12"/>
        <v>83.610591111122005</v>
      </c>
    </row>
    <row r="769" spans="1:1" x14ac:dyDescent="0.5">
      <c r="A769" s="15">
        <f t="shared" ca="1" si="12"/>
        <v>79.90691169240749</v>
      </c>
    </row>
    <row r="770" spans="1:1" x14ac:dyDescent="0.5">
      <c r="A770" s="15">
        <f t="shared" ca="1" si="12"/>
        <v>88.585124916248702</v>
      </c>
    </row>
    <row r="771" spans="1:1" x14ac:dyDescent="0.5">
      <c r="A771" s="15">
        <f t="shared" ca="1" si="12"/>
        <v>105.2237597017554</v>
      </c>
    </row>
    <row r="772" spans="1:1" x14ac:dyDescent="0.5">
      <c r="A772" s="15">
        <f t="shared" ca="1" si="12"/>
        <v>112.39510561877907</v>
      </c>
    </row>
    <row r="773" spans="1:1" x14ac:dyDescent="0.5">
      <c r="A773" s="15">
        <f t="shared" ca="1" si="12"/>
        <v>113.79358275616569</v>
      </c>
    </row>
    <row r="774" spans="1:1" x14ac:dyDescent="0.5">
      <c r="A774" s="15">
        <f t="shared" ca="1" si="12"/>
        <v>68.537605993688146</v>
      </c>
    </row>
    <row r="775" spans="1:1" x14ac:dyDescent="0.5">
      <c r="A775" s="15">
        <f t="shared" ca="1" si="12"/>
        <v>109.3630882688646</v>
      </c>
    </row>
    <row r="776" spans="1:1" x14ac:dyDescent="0.5">
      <c r="A776" s="15">
        <f t="shared" ca="1" si="12"/>
        <v>89.904560395034338</v>
      </c>
    </row>
    <row r="777" spans="1:1" x14ac:dyDescent="0.5">
      <c r="A777" s="15">
        <f t="shared" ca="1" si="12"/>
        <v>75.808086726661301</v>
      </c>
    </row>
    <row r="778" spans="1:1" x14ac:dyDescent="0.5">
      <c r="A778" s="15">
        <f t="shared" ca="1" si="12"/>
        <v>87.221062213652615</v>
      </c>
    </row>
    <row r="779" spans="1:1" x14ac:dyDescent="0.5">
      <c r="A779" s="15">
        <f t="shared" ca="1" si="12"/>
        <v>84.012560104898668</v>
      </c>
    </row>
    <row r="780" spans="1:1" x14ac:dyDescent="0.5">
      <c r="A780" s="15">
        <f t="shared" ca="1" si="12"/>
        <v>92.388878541604612</v>
      </c>
    </row>
    <row r="781" spans="1:1" x14ac:dyDescent="0.5">
      <c r="A781" s="15">
        <f t="shared" ref="A781:A844" ca="1" si="13">IF(ROW()-12&lt;=$B$7,_xlfn.NORM.INV(RAND(),$B$5,$B$6),"")</f>
        <v>113.41040790336217</v>
      </c>
    </row>
    <row r="782" spans="1:1" x14ac:dyDescent="0.5">
      <c r="A782" s="15">
        <f t="shared" ca="1" si="13"/>
        <v>87.843252063201206</v>
      </c>
    </row>
    <row r="783" spans="1:1" x14ac:dyDescent="0.5">
      <c r="A783" s="15">
        <f t="shared" ca="1" si="13"/>
        <v>137.68708774045831</v>
      </c>
    </row>
    <row r="784" spans="1:1" x14ac:dyDescent="0.5">
      <c r="A784" s="15">
        <f t="shared" ca="1" si="13"/>
        <v>105.86223689789379</v>
      </c>
    </row>
    <row r="785" spans="1:1" x14ac:dyDescent="0.5">
      <c r="A785" s="15">
        <f t="shared" ca="1" si="13"/>
        <v>168.73921669576345</v>
      </c>
    </row>
    <row r="786" spans="1:1" x14ac:dyDescent="0.5">
      <c r="A786" s="15">
        <f t="shared" ca="1" si="13"/>
        <v>96.470860038428782</v>
      </c>
    </row>
    <row r="787" spans="1:1" x14ac:dyDescent="0.5">
      <c r="A787" s="15">
        <f t="shared" ca="1" si="13"/>
        <v>107.80457924927804</v>
      </c>
    </row>
    <row r="788" spans="1:1" x14ac:dyDescent="0.5">
      <c r="A788" s="15">
        <f t="shared" ca="1" si="13"/>
        <v>59.188844487595226</v>
      </c>
    </row>
    <row r="789" spans="1:1" x14ac:dyDescent="0.5">
      <c r="A789" s="15">
        <f t="shared" ca="1" si="13"/>
        <v>118.91788963030622</v>
      </c>
    </row>
    <row r="790" spans="1:1" x14ac:dyDescent="0.5">
      <c r="A790" s="15">
        <f t="shared" ca="1" si="13"/>
        <v>64.731917438013426</v>
      </c>
    </row>
    <row r="791" spans="1:1" x14ac:dyDescent="0.5">
      <c r="A791" s="15">
        <f t="shared" ca="1" si="13"/>
        <v>50.800192780716763</v>
      </c>
    </row>
    <row r="792" spans="1:1" x14ac:dyDescent="0.5">
      <c r="A792" s="15">
        <f t="shared" ca="1" si="13"/>
        <v>127.44649897521171</v>
      </c>
    </row>
    <row r="793" spans="1:1" x14ac:dyDescent="0.5">
      <c r="A793" s="15">
        <f t="shared" ca="1" si="13"/>
        <v>116.56547785814725</v>
      </c>
    </row>
    <row r="794" spans="1:1" x14ac:dyDescent="0.5">
      <c r="A794" s="15">
        <f t="shared" ca="1" si="13"/>
        <v>96.585809487110609</v>
      </c>
    </row>
    <row r="795" spans="1:1" x14ac:dyDescent="0.5">
      <c r="A795" s="15">
        <f t="shared" ca="1" si="13"/>
        <v>92.949459603545435</v>
      </c>
    </row>
    <row r="796" spans="1:1" x14ac:dyDescent="0.5">
      <c r="A796" s="15">
        <f t="shared" ca="1" si="13"/>
        <v>83.443445854628308</v>
      </c>
    </row>
    <row r="797" spans="1:1" x14ac:dyDescent="0.5">
      <c r="A797" s="15">
        <f t="shared" ca="1" si="13"/>
        <v>134.25522030513497</v>
      </c>
    </row>
    <row r="798" spans="1:1" x14ac:dyDescent="0.5">
      <c r="A798" s="15">
        <f t="shared" ca="1" si="13"/>
        <v>103.70900737404762</v>
      </c>
    </row>
    <row r="799" spans="1:1" x14ac:dyDescent="0.5">
      <c r="A799" s="15">
        <f t="shared" ca="1" si="13"/>
        <v>121.42586083586681</v>
      </c>
    </row>
    <row r="800" spans="1:1" x14ac:dyDescent="0.5">
      <c r="A800" s="15">
        <f t="shared" ca="1" si="13"/>
        <v>65.663936092050832</v>
      </c>
    </row>
    <row r="801" spans="1:1" x14ac:dyDescent="0.5">
      <c r="A801" s="15">
        <f t="shared" ca="1" si="13"/>
        <v>63.238803668246263</v>
      </c>
    </row>
    <row r="802" spans="1:1" x14ac:dyDescent="0.5">
      <c r="A802" s="15">
        <f t="shared" ca="1" si="13"/>
        <v>83.831389924546542</v>
      </c>
    </row>
    <row r="803" spans="1:1" x14ac:dyDescent="0.5">
      <c r="A803" s="15">
        <f t="shared" ca="1" si="13"/>
        <v>49.946815465948845</v>
      </c>
    </row>
    <row r="804" spans="1:1" x14ac:dyDescent="0.5">
      <c r="A804" s="15">
        <f t="shared" ca="1" si="13"/>
        <v>124.54414152259963</v>
      </c>
    </row>
    <row r="805" spans="1:1" x14ac:dyDescent="0.5">
      <c r="A805" s="15">
        <f t="shared" ca="1" si="13"/>
        <v>97.303368315613497</v>
      </c>
    </row>
    <row r="806" spans="1:1" x14ac:dyDescent="0.5">
      <c r="A806" s="15">
        <f t="shared" ca="1" si="13"/>
        <v>87.233939875151108</v>
      </c>
    </row>
    <row r="807" spans="1:1" x14ac:dyDescent="0.5">
      <c r="A807" s="15">
        <f t="shared" ca="1" si="13"/>
        <v>122.0200371561361</v>
      </c>
    </row>
    <row r="808" spans="1:1" x14ac:dyDescent="0.5">
      <c r="A808" s="15">
        <f t="shared" ca="1" si="13"/>
        <v>94.693314770568193</v>
      </c>
    </row>
    <row r="809" spans="1:1" x14ac:dyDescent="0.5">
      <c r="A809" s="15">
        <f t="shared" ca="1" si="13"/>
        <v>112.04055795204236</v>
      </c>
    </row>
    <row r="810" spans="1:1" x14ac:dyDescent="0.5">
      <c r="A810" s="15">
        <f t="shared" ca="1" si="13"/>
        <v>60.18183972320471</v>
      </c>
    </row>
    <row r="811" spans="1:1" x14ac:dyDescent="0.5">
      <c r="A811" s="15">
        <f t="shared" ca="1" si="13"/>
        <v>110.58534659671795</v>
      </c>
    </row>
    <row r="812" spans="1:1" x14ac:dyDescent="0.5">
      <c r="A812" s="15">
        <f t="shared" ca="1" si="13"/>
        <v>56.827297659051915</v>
      </c>
    </row>
    <row r="813" spans="1:1" x14ac:dyDescent="0.5">
      <c r="A813" s="15">
        <f t="shared" ca="1" si="13"/>
        <v>95.125576644172568</v>
      </c>
    </row>
    <row r="814" spans="1:1" x14ac:dyDescent="0.5">
      <c r="A814" s="15">
        <f t="shared" ca="1" si="13"/>
        <v>90.584124703113716</v>
      </c>
    </row>
    <row r="815" spans="1:1" x14ac:dyDescent="0.5">
      <c r="A815" s="15">
        <f t="shared" ca="1" si="13"/>
        <v>107.00206375771035</v>
      </c>
    </row>
    <row r="816" spans="1:1" x14ac:dyDescent="0.5">
      <c r="A816" s="15">
        <f t="shared" ca="1" si="13"/>
        <v>72.170200550565298</v>
      </c>
    </row>
    <row r="817" spans="1:1" x14ac:dyDescent="0.5">
      <c r="A817" s="15">
        <f t="shared" ca="1" si="13"/>
        <v>110.86579591513251</v>
      </c>
    </row>
    <row r="818" spans="1:1" x14ac:dyDescent="0.5">
      <c r="A818" s="15">
        <f t="shared" ca="1" si="13"/>
        <v>74.371543169310257</v>
      </c>
    </row>
    <row r="819" spans="1:1" x14ac:dyDescent="0.5">
      <c r="A819" s="15">
        <f t="shared" ca="1" si="13"/>
        <v>136.22274422021684</v>
      </c>
    </row>
    <row r="820" spans="1:1" x14ac:dyDescent="0.5">
      <c r="A820" s="15">
        <f t="shared" ca="1" si="13"/>
        <v>117.14011768690031</v>
      </c>
    </row>
    <row r="821" spans="1:1" x14ac:dyDescent="0.5">
      <c r="A821" s="15">
        <f t="shared" ca="1" si="13"/>
        <v>152.91665721466478</v>
      </c>
    </row>
    <row r="822" spans="1:1" x14ac:dyDescent="0.5">
      <c r="A822" s="15">
        <f t="shared" ca="1" si="13"/>
        <v>93.528350848941315</v>
      </c>
    </row>
    <row r="823" spans="1:1" x14ac:dyDescent="0.5">
      <c r="A823" s="15">
        <f t="shared" ca="1" si="13"/>
        <v>86.62167479287686</v>
      </c>
    </row>
    <row r="824" spans="1:1" x14ac:dyDescent="0.5">
      <c r="A824" s="15">
        <f t="shared" ca="1" si="13"/>
        <v>86.003689581632585</v>
      </c>
    </row>
    <row r="825" spans="1:1" x14ac:dyDescent="0.5">
      <c r="A825" s="15">
        <f t="shared" ca="1" si="13"/>
        <v>75.739494801269544</v>
      </c>
    </row>
    <row r="826" spans="1:1" x14ac:dyDescent="0.5">
      <c r="A826" s="15">
        <f t="shared" ca="1" si="13"/>
        <v>134.10026932004769</v>
      </c>
    </row>
    <row r="827" spans="1:1" x14ac:dyDescent="0.5">
      <c r="A827" s="15">
        <f t="shared" ca="1" si="13"/>
        <v>90.314281802648281</v>
      </c>
    </row>
    <row r="828" spans="1:1" x14ac:dyDescent="0.5">
      <c r="A828" s="15">
        <f t="shared" ca="1" si="13"/>
        <v>105.52444687948397</v>
      </c>
    </row>
    <row r="829" spans="1:1" x14ac:dyDescent="0.5">
      <c r="A829" s="15">
        <f t="shared" ca="1" si="13"/>
        <v>103.21017268120796</v>
      </c>
    </row>
    <row r="830" spans="1:1" x14ac:dyDescent="0.5">
      <c r="A830" s="15">
        <f t="shared" ca="1" si="13"/>
        <v>134.27570815713091</v>
      </c>
    </row>
    <row r="831" spans="1:1" x14ac:dyDescent="0.5">
      <c r="A831" s="15">
        <f t="shared" ca="1" si="13"/>
        <v>50.49598423381677</v>
      </c>
    </row>
    <row r="832" spans="1:1" x14ac:dyDescent="0.5">
      <c r="A832" s="15">
        <f t="shared" ca="1" si="13"/>
        <v>65.029229449834531</v>
      </c>
    </row>
    <row r="833" spans="1:1" x14ac:dyDescent="0.5">
      <c r="A833" s="15">
        <f t="shared" ca="1" si="13"/>
        <v>85.925872112026809</v>
      </c>
    </row>
    <row r="834" spans="1:1" x14ac:dyDescent="0.5">
      <c r="A834" s="15">
        <f t="shared" ca="1" si="13"/>
        <v>66.105029345743674</v>
      </c>
    </row>
    <row r="835" spans="1:1" x14ac:dyDescent="0.5">
      <c r="A835" s="15">
        <f t="shared" ca="1" si="13"/>
        <v>116.48314903969147</v>
      </c>
    </row>
    <row r="836" spans="1:1" x14ac:dyDescent="0.5">
      <c r="A836" s="15">
        <f t="shared" ca="1" si="13"/>
        <v>117.21763562187576</v>
      </c>
    </row>
    <row r="837" spans="1:1" x14ac:dyDescent="0.5">
      <c r="A837" s="15">
        <f t="shared" ca="1" si="13"/>
        <v>129.06782821401416</v>
      </c>
    </row>
    <row r="838" spans="1:1" x14ac:dyDescent="0.5">
      <c r="A838" s="15">
        <f t="shared" ca="1" si="13"/>
        <v>53.225311034742681</v>
      </c>
    </row>
    <row r="839" spans="1:1" x14ac:dyDescent="0.5">
      <c r="A839" s="15">
        <f t="shared" ca="1" si="13"/>
        <v>159.86439379343784</v>
      </c>
    </row>
    <row r="840" spans="1:1" x14ac:dyDescent="0.5">
      <c r="A840" s="15">
        <f t="shared" ca="1" si="13"/>
        <v>103.82871781807022</v>
      </c>
    </row>
    <row r="841" spans="1:1" x14ac:dyDescent="0.5">
      <c r="A841" s="15">
        <f t="shared" ca="1" si="13"/>
        <v>57.118956625546176</v>
      </c>
    </row>
    <row r="842" spans="1:1" x14ac:dyDescent="0.5">
      <c r="A842" s="15">
        <f t="shared" ca="1" si="13"/>
        <v>72.995421270425268</v>
      </c>
    </row>
    <row r="843" spans="1:1" x14ac:dyDescent="0.5">
      <c r="A843" s="15">
        <f t="shared" ca="1" si="13"/>
        <v>124.86324831991291</v>
      </c>
    </row>
    <row r="844" spans="1:1" x14ac:dyDescent="0.5">
      <c r="A844" s="15">
        <f t="shared" ca="1" si="13"/>
        <v>126.11166267948582</v>
      </c>
    </row>
    <row r="845" spans="1:1" x14ac:dyDescent="0.5">
      <c r="A845" s="15">
        <f t="shared" ref="A845:A908" ca="1" si="14">IF(ROW()-12&lt;=$B$7,_xlfn.NORM.INV(RAND(),$B$5,$B$6),"")</f>
        <v>98.18168209280563</v>
      </c>
    </row>
    <row r="846" spans="1:1" x14ac:dyDescent="0.5">
      <c r="A846" s="15">
        <f t="shared" ca="1" si="14"/>
        <v>132.80949071683946</v>
      </c>
    </row>
    <row r="847" spans="1:1" x14ac:dyDescent="0.5">
      <c r="A847" s="15">
        <f t="shared" ca="1" si="14"/>
        <v>51.779292394179322</v>
      </c>
    </row>
    <row r="848" spans="1:1" x14ac:dyDescent="0.5">
      <c r="A848" s="15">
        <f t="shared" ca="1" si="14"/>
        <v>135.27431028772489</v>
      </c>
    </row>
    <row r="849" spans="1:1" x14ac:dyDescent="0.5">
      <c r="A849" s="15">
        <f t="shared" ca="1" si="14"/>
        <v>125.556131629324</v>
      </c>
    </row>
    <row r="850" spans="1:1" x14ac:dyDescent="0.5">
      <c r="A850" s="15">
        <f t="shared" ca="1" si="14"/>
        <v>92.390815134355989</v>
      </c>
    </row>
    <row r="851" spans="1:1" x14ac:dyDescent="0.5">
      <c r="A851" s="15">
        <f t="shared" ca="1" si="14"/>
        <v>54.412728126525245</v>
      </c>
    </row>
    <row r="852" spans="1:1" x14ac:dyDescent="0.5">
      <c r="A852" s="15">
        <f t="shared" ca="1" si="14"/>
        <v>63.138492623097491</v>
      </c>
    </row>
    <row r="853" spans="1:1" x14ac:dyDescent="0.5">
      <c r="A853" s="15">
        <f t="shared" ca="1" si="14"/>
        <v>102.26256983327522</v>
      </c>
    </row>
    <row r="854" spans="1:1" x14ac:dyDescent="0.5">
      <c r="A854" s="15">
        <f t="shared" ca="1" si="14"/>
        <v>104.1959176814899</v>
      </c>
    </row>
    <row r="855" spans="1:1" x14ac:dyDescent="0.5">
      <c r="A855" s="15">
        <f t="shared" ca="1" si="14"/>
        <v>47.825777536566981</v>
      </c>
    </row>
    <row r="856" spans="1:1" x14ac:dyDescent="0.5">
      <c r="A856" s="15">
        <f t="shared" ca="1" si="14"/>
        <v>90.676377621099547</v>
      </c>
    </row>
    <row r="857" spans="1:1" x14ac:dyDescent="0.5">
      <c r="A857" s="15">
        <f t="shared" ca="1" si="14"/>
        <v>62.563735342467744</v>
      </c>
    </row>
    <row r="858" spans="1:1" x14ac:dyDescent="0.5">
      <c r="A858" s="15">
        <f t="shared" ca="1" si="14"/>
        <v>145.16281188785348</v>
      </c>
    </row>
    <row r="859" spans="1:1" x14ac:dyDescent="0.5">
      <c r="A859" s="15">
        <f t="shared" ca="1" si="14"/>
        <v>107.29255341946453</v>
      </c>
    </row>
    <row r="860" spans="1:1" x14ac:dyDescent="0.5">
      <c r="A860" s="15">
        <f t="shared" ca="1" si="14"/>
        <v>135.17052463957316</v>
      </c>
    </row>
    <row r="861" spans="1:1" x14ac:dyDescent="0.5">
      <c r="A861" s="15">
        <f t="shared" ca="1" si="14"/>
        <v>128.20955441100168</v>
      </c>
    </row>
    <row r="862" spans="1:1" x14ac:dyDescent="0.5">
      <c r="A862" s="15">
        <f t="shared" ca="1" si="14"/>
        <v>98.003663125654072</v>
      </c>
    </row>
    <row r="863" spans="1:1" x14ac:dyDescent="0.5">
      <c r="A863" s="15">
        <f t="shared" ca="1" si="14"/>
        <v>119.2586414973274</v>
      </c>
    </row>
    <row r="864" spans="1:1" x14ac:dyDescent="0.5">
      <c r="A864" s="15">
        <f t="shared" ca="1" si="14"/>
        <v>137.69851692388625</v>
      </c>
    </row>
    <row r="865" spans="1:1" x14ac:dyDescent="0.5">
      <c r="A865" s="15">
        <f t="shared" ca="1" si="14"/>
        <v>95.63412321647597</v>
      </c>
    </row>
    <row r="866" spans="1:1" x14ac:dyDescent="0.5">
      <c r="A866" s="15">
        <f t="shared" ca="1" si="14"/>
        <v>98.957058044822574</v>
      </c>
    </row>
    <row r="867" spans="1:1" x14ac:dyDescent="0.5">
      <c r="A867" s="15">
        <f t="shared" ca="1" si="14"/>
        <v>101.92521100275121</v>
      </c>
    </row>
    <row r="868" spans="1:1" x14ac:dyDescent="0.5">
      <c r="A868" s="15">
        <f t="shared" ca="1" si="14"/>
        <v>124.09726600492303</v>
      </c>
    </row>
    <row r="869" spans="1:1" x14ac:dyDescent="0.5">
      <c r="A869" s="15">
        <f t="shared" ca="1" si="14"/>
        <v>95.118795445732331</v>
      </c>
    </row>
    <row r="870" spans="1:1" x14ac:dyDescent="0.5">
      <c r="A870" s="15">
        <f t="shared" ca="1" si="14"/>
        <v>116.32071982197661</v>
      </c>
    </row>
    <row r="871" spans="1:1" x14ac:dyDescent="0.5">
      <c r="A871" s="15">
        <f t="shared" ca="1" si="14"/>
        <v>58.612824633143248</v>
      </c>
    </row>
    <row r="872" spans="1:1" x14ac:dyDescent="0.5">
      <c r="A872" s="15">
        <f t="shared" ca="1" si="14"/>
        <v>126.28152246167247</v>
      </c>
    </row>
    <row r="873" spans="1:1" x14ac:dyDescent="0.5">
      <c r="A873" s="15">
        <f t="shared" ca="1" si="14"/>
        <v>87.845209338969752</v>
      </c>
    </row>
    <row r="874" spans="1:1" x14ac:dyDescent="0.5">
      <c r="A874" s="15">
        <f t="shared" ca="1" si="14"/>
        <v>87.76094786817238</v>
      </c>
    </row>
    <row r="875" spans="1:1" x14ac:dyDescent="0.5">
      <c r="A875" s="15">
        <f t="shared" ca="1" si="14"/>
        <v>153.27130573846156</v>
      </c>
    </row>
    <row r="876" spans="1:1" x14ac:dyDescent="0.5">
      <c r="A876" s="15">
        <f t="shared" ca="1" si="14"/>
        <v>94.115985719899257</v>
      </c>
    </row>
    <row r="877" spans="1:1" x14ac:dyDescent="0.5">
      <c r="A877" s="15">
        <f t="shared" ca="1" si="14"/>
        <v>103.1947634423875</v>
      </c>
    </row>
    <row r="878" spans="1:1" x14ac:dyDescent="0.5">
      <c r="A878" s="15">
        <f t="shared" ca="1" si="14"/>
        <v>100.78024753488948</v>
      </c>
    </row>
    <row r="879" spans="1:1" x14ac:dyDescent="0.5">
      <c r="A879" s="15">
        <f t="shared" ca="1" si="14"/>
        <v>114.70371272825786</v>
      </c>
    </row>
    <row r="880" spans="1:1" x14ac:dyDescent="0.5">
      <c r="A880" s="15">
        <f t="shared" ca="1" si="14"/>
        <v>130.59851985588489</v>
      </c>
    </row>
    <row r="881" spans="1:1" x14ac:dyDescent="0.5">
      <c r="A881" s="15">
        <f t="shared" ca="1" si="14"/>
        <v>105.64123965861242</v>
      </c>
    </row>
    <row r="882" spans="1:1" x14ac:dyDescent="0.5">
      <c r="A882" s="15">
        <f t="shared" ca="1" si="14"/>
        <v>177.59571281785304</v>
      </c>
    </row>
    <row r="883" spans="1:1" x14ac:dyDescent="0.5">
      <c r="A883" s="15">
        <f t="shared" ca="1" si="14"/>
        <v>94.775733284827993</v>
      </c>
    </row>
    <row r="884" spans="1:1" x14ac:dyDescent="0.5">
      <c r="A884" s="15">
        <f t="shared" ca="1" si="14"/>
        <v>103.71962936317968</v>
      </c>
    </row>
    <row r="885" spans="1:1" x14ac:dyDescent="0.5">
      <c r="A885" s="15">
        <f t="shared" ca="1" si="14"/>
        <v>121.37236442308054</v>
      </c>
    </row>
    <row r="886" spans="1:1" x14ac:dyDescent="0.5">
      <c r="A886" s="15">
        <f t="shared" ca="1" si="14"/>
        <v>105.94838600934365</v>
      </c>
    </row>
    <row r="887" spans="1:1" x14ac:dyDescent="0.5">
      <c r="A887" s="15">
        <f t="shared" ca="1" si="14"/>
        <v>115.45739819342846</v>
      </c>
    </row>
    <row r="888" spans="1:1" x14ac:dyDescent="0.5">
      <c r="A888" s="15">
        <f t="shared" ca="1" si="14"/>
        <v>135.59704740171827</v>
      </c>
    </row>
    <row r="889" spans="1:1" x14ac:dyDescent="0.5">
      <c r="A889" s="15">
        <f t="shared" ca="1" si="14"/>
        <v>60.149163073909847</v>
      </c>
    </row>
    <row r="890" spans="1:1" x14ac:dyDescent="0.5">
      <c r="A890" s="15">
        <f t="shared" ca="1" si="14"/>
        <v>93.452231057075494</v>
      </c>
    </row>
    <row r="891" spans="1:1" x14ac:dyDescent="0.5">
      <c r="A891" s="15">
        <f t="shared" ca="1" si="14"/>
        <v>76.101534154425337</v>
      </c>
    </row>
    <row r="892" spans="1:1" x14ac:dyDescent="0.5">
      <c r="A892" s="15">
        <f t="shared" ca="1" si="14"/>
        <v>61.832704689984588</v>
      </c>
    </row>
    <row r="893" spans="1:1" x14ac:dyDescent="0.5">
      <c r="A893" s="15">
        <f t="shared" ca="1" si="14"/>
        <v>105.47571146500155</v>
      </c>
    </row>
    <row r="894" spans="1:1" x14ac:dyDescent="0.5">
      <c r="A894" s="15">
        <f t="shared" ca="1" si="14"/>
        <v>147.58345676292373</v>
      </c>
    </row>
    <row r="895" spans="1:1" x14ac:dyDescent="0.5">
      <c r="A895" s="15">
        <f t="shared" ca="1" si="14"/>
        <v>62.382334110769321</v>
      </c>
    </row>
    <row r="896" spans="1:1" x14ac:dyDescent="0.5">
      <c r="A896" s="15">
        <f t="shared" ca="1" si="14"/>
        <v>103.86143920331433</v>
      </c>
    </row>
    <row r="897" spans="1:1" x14ac:dyDescent="0.5">
      <c r="A897" s="15">
        <f t="shared" ca="1" si="14"/>
        <v>105.0119523657069</v>
      </c>
    </row>
    <row r="898" spans="1:1" x14ac:dyDescent="0.5">
      <c r="A898" s="15">
        <f t="shared" ca="1" si="14"/>
        <v>113.89852671048179</v>
      </c>
    </row>
    <row r="899" spans="1:1" x14ac:dyDescent="0.5">
      <c r="A899" s="15">
        <f t="shared" ca="1" si="14"/>
        <v>141.68253671657592</v>
      </c>
    </row>
    <row r="900" spans="1:1" x14ac:dyDescent="0.5">
      <c r="A900" s="15">
        <f t="shared" ca="1" si="14"/>
        <v>105.44121537217416</v>
      </c>
    </row>
    <row r="901" spans="1:1" x14ac:dyDescent="0.5">
      <c r="A901" s="15">
        <f t="shared" ca="1" si="14"/>
        <v>96.06329326905194</v>
      </c>
    </row>
    <row r="902" spans="1:1" x14ac:dyDescent="0.5">
      <c r="A902" s="15">
        <f t="shared" ca="1" si="14"/>
        <v>85.908555092683372</v>
      </c>
    </row>
    <row r="903" spans="1:1" x14ac:dyDescent="0.5">
      <c r="A903" s="15">
        <f t="shared" ca="1" si="14"/>
        <v>79.709038289923825</v>
      </c>
    </row>
    <row r="904" spans="1:1" x14ac:dyDescent="0.5">
      <c r="A904" s="15">
        <f t="shared" ca="1" si="14"/>
        <v>147.22366958528545</v>
      </c>
    </row>
    <row r="905" spans="1:1" x14ac:dyDescent="0.5">
      <c r="A905" s="15">
        <f t="shared" ca="1" si="14"/>
        <v>98.787664930919291</v>
      </c>
    </row>
    <row r="906" spans="1:1" x14ac:dyDescent="0.5">
      <c r="A906" s="15">
        <f t="shared" ca="1" si="14"/>
        <v>123.07563271525235</v>
      </c>
    </row>
    <row r="907" spans="1:1" x14ac:dyDescent="0.5">
      <c r="A907" s="15">
        <f t="shared" ca="1" si="14"/>
        <v>45.902159550757425</v>
      </c>
    </row>
    <row r="908" spans="1:1" x14ac:dyDescent="0.5">
      <c r="A908" s="15">
        <f t="shared" ca="1" si="14"/>
        <v>92.877032194349169</v>
      </c>
    </row>
    <row r="909" spans="1:1" x14ac:dyDescent="0.5">
      <c r="A909" s="15">
        <f t="shared" ref="A909:A972" ca="1" si="15">IF(ROW()-12&lt;=$B$7,_xlfn.NORM.INV(RAND(),$B$5,$B$6),"")</f>
        <v>100.56768286846443</v>
      </c>
    </row>
    <row r="910" spans="1:1" x14ac:dyDescent="0.5">
      <c r="A910" s="15">
        <f t="shared" ca="1" si="15"/>
        <v>122.79696624726157</v>
      </c>
    </row>
    <row r="911" spans="1:1" x14ac:dyDescent="0.5">
      <c r="A911" s="15">
        <f t="shared" ca="1" si="15"/>
        <v>71.896600894337993</v>
      </c>
    </row>
    <row r="912" spans="1:1" x14ac:dyDescent="0.5">
      <c r="A912" s="15">
        <f t="shared" ca="1" si="15"/>
        <v>67.744843415345258</v>
      </c>
    </row>
    <row r="913" spans="1:1" x14ac:dyDescent="0.5">
      <c r="A913" s="15">
        <f t="shared" ca="1" si="15"/>
        <v>139.43830269559203</v>
      </c>
    </row>
    <row r="914" spans="1:1" x14ac:dyDescent="0.5">
      <c r="A914" s="15">
        <f t="shared" ca="1" si="15"/>
        <v>92.310497352323964</v>
      </c>
    </row>
    <row r="915" spans="1:1" x14ac:dyDescent="0.5">
      <c r="A915" s="15">
        <f t="shared" ca="1" si="15"/>
        <v>112.10166704467215</v>
      </c>
    </row>
    <row r="916" spans="1:1" x14ac:dyDescent="0.5">
      <c r="A916" s="15">
        <f t="shared" ca="1" si="15"/>
        <v>102.02927971881512</v>
      </c>
    </row>
    <row r="917" spans="1:1" x14ac:dyDescent="0.5">
      <c r="A917" s="15">
        <f t="shared" ca="1" si="15"/>
        <v>76.445689624252765</v>
      </c>
    </row>
    <row r="918" spans="1:1" x14ac:dyDescent="0.5">
      <c r="A918" s="15">
        <f t="shared" ca="1" si="15"/>
        <v>120.14770941219545</v>
      </c>
    </row>
    <row r="919" spans="1:1" x14ac:dyDescent="0.5">
      <c r="A919" s="15">
        <f t="shared" ca="1" si="15"/>
        <v>114.44099112968716</v>
      </c>
    </row>
    <row r="920" spans="1:1" x14ac:dyDescent="0.5">
      <c r="A920" s="15">
        <f t="shared" ca="1" si="15"/>
        <v>79.329277718475652</v>
      </c>
    </row>
    <row r="921" spans="1:1" x14ac:dyDescent="0.5">
      <c r="A921" s="15">
        <f t="shared" ca="1" si="15"/>
        <v>89.322684559646191</v>
      </c>
    </row>
    <row r="922" spans="1:1" x14ac:dyDescent="0.5">
      <c r="A922" s="15">
        <f t="shared" ca="1" si="15"/>
        <v>111.77625587601344</v>
      </c>
    </row>
    <row r="923" spans="1:1" x14ac:dyDescent="0.5">
      <c r="A923" s="15">
        <f t="shared" ca="1" si="15"/>
        <v>169.73394776891359</v>
      </c>
    </row>
    <row r="924" spans="1:1" x14ac:dyDescent="0.5">
      <c r="A924" s="15">
        <f t="shared" ca="1" si="15"/>
        <v>83.092945124952493</v>
      </c>
    </row>
    <row r="925" spans="1:1" x14ac:dyDescent="0.5">
      <c r="A925" s="15">
        <f t="shared" ca="1" si="15"/>
        <v>126.27571326321886</v>
      </c>
    </row>
    <row r="926" spans="1:1" x14ac:dyDescent="0.5">
      <c r="A926" s="15">
        <f t="shared" ca="1" si="15"/>
        <v>94.788628970313951</v>
      </c>
    </row>
    <row r="927" spans="1:1" x14ac:dyDescent="0.5">
      <c r="A927" s="15">
        <f t="shared" ca="1" si="15"/>
        <v>85.795154377982172</v>
      </c>
    </row>
    <row r="928" spans="1:1" x14ac:dyDescent="0.5">
      <c r="A928" s="15">
        <f t="shared" ca="1" si="15"/>
        <v>62.815891386809589</v>
      </c>
    </row>
    <row r="929" spans="1:1" x14ac:dyDescent="0.5">
      <c r="A929" s="15">
        <f t="shared" ca="1" si="15"/>
        <v>140.67777336020316</v>
      </c>
    </row>
    <row r="930" spans="1:1" x14ac:dyDescent="0.5">
      <c r="A930" s="15">
        <f t="shared" ca="1" si="15"/>
        <v>113.33942014206042</v>
      </c>
    </row>
    <row r="931" spans="1:1" x14ac:dyDescent="0.5">
      <c r="A931" s="15">
        <f t="shared" ca="1" si="15"/>
        <v>93.306214525740458</v>
      </c>
    </row>
    <row r="932" spans="1:1" x14ac:dyDescent="0.5">
      <c r="A932" s="15">
        <f t="shared" ca="1" si="15"/>
        <v>65.425967735507157</v>
      </c>
    </row>
    <row r="933" spans="1:1" x14ac:dyDescent="0.5">
      <c r="A933" s="15">
        <f t="shared" ca="1" si="15"/>
        <v>115.11384602447703</v>
      </c>
    </row>
    <row r="934" spans="1:1" x14ac:dyDescent="0.5">
      <c r="A934" s="15">
        <f t="shared" ca="1" si="15"/>
        <v>74.994297672689527</v>
      </c>
    </row>
    <row r="935" spans="1:1" x14ac:dyDescent="0.5">
      <c r="A935" s="15">
        <f t="shared" ca="1" si="15"/>
        <v>78.056983942405637</v>
      </c>
    </row>
    <row r="936" spans="1:1" x14ac:dyDescent="0.5">
      <c r="A936" s="15">
        <f t="shared" ca="1" si="15"/>
        <v>118.02862148023917</v>
      </c>
    </row>
    <row r="937" spans="1:1" x14ac:dyDescent="0.5">
      <c r="A937" s="15">
        <f t="shared" ca="1" si="15"/>
        <v>102.6914851280948</v>
      </c>
    </row>
    <row r="938" spans="1:1" x14ac:dyDescent="0.5">
      <c r="A938" s="15">
        <f t="shared" ca="1" si="15"/>
        <v>87.693859282968219</v>
      </c>
    </row>
    <row r="939" spans="1:1" x14ac:dyDescent="0.5">
      <c r="A939" s="15">
        <f t="shared" ca="1" si="15"/>
        <v>128.43079230853172</v>
      </c>
    </row>
    <row r="940" spans="1:1" x14ac:dyDescent="0.5">
      <c r="A940" s="15">
        <f t="shared" ca="1" si="15"/>
        <v>60.727125898353407</v>
      </c>
    </row>
    <row r="941" spans="1:1" x14ac:dyDescent="0.5">
      <c r="A941" s="15">
        <f t="shared" ca="1" si="15"/>
        <v>74.688551220020457</v>
      </c>
    </row>
    <row r="942" spans="1:1" x14ac:dyDescent="0.5">
      <c r="A942" s="15">
        <f t="shared" ca="1" si="15"/>
        <v>134.0723264732548</v>
      </c>
    </row>
    <row r="943" spans="1:1" x14ac:dyDescent="0.5">
      <c r="A943" s="15">
        <f t="shared" ca="1" si="15"/>
        <v>77.808104559048004</v>
      </c>
    </row>
    <row r="944" spans="1:1" x14ac:dyDescent="0.5">
      <c r="A944" s="15">
        <f t="shared" ca="1" si="15"/>
        <v>128.05414039416141</v>
      </c>
    </row>
    <row r="945" spans="1:1" x14ac:dyDescent="0.5">
      <c r="A945" s="15">
        <f t="shared" ca="1" si="15"/>
        <v>58.007916930101629</v>
      </c>
    </row>
    <row r="946" spans="1:1" x14ac:dyDescent="0.5">
      <c r="A946" s="15">
        <f t="shared" ca="1" si="15"/>
        <v>99.421049579270473</v>
      </c>
    </row>
    <row r="947" spans="1:1" x14ac:dyDescent="0.5">
      <c r="A947" s="15">
        <f t="shared" ca="1" si="15"/>
        <v>80.030358591847317</v>
      </c>
    </row>
    <row r="948" spans="1:1" x14ac:dyDescent="0.5">
      <c r="A948" s="15">
        <f t="shared" ca="1" si="15"/>
        <v>105.33084719264951</v>
      </c>
    </row>
    <row r="949" spans="1:1" x14ac:dyDescent="0.5">
      <c r="A949" s="15">
        <f t="shared" ca="1" si="15"/>
        <v>107.5197666307692</v>
      </c>
    </row>
    <row r="950" spans="1:1" x14ac:dyDescent="0.5">
      <c r="A950" s="15">
        <f t="shared" ca="1" si="15"/>
        <v>57.22394350291912</v>
      </c>
    </row>
    <row r="951" spans="1:1" x14ac:dyDescent="0.5">
      <c r="A951" s="15">
        <f t="shared" ca="1" si="15"/>
        <v>59.807668197252603</v>
      </c>
    </row>
    <row r="952" spans="1:1" x14ac:dyDescent="0.5">
      <c r="A952" s="15">
        <f t="shared" ca="1" si="15"/>
        <v>85.748083592098638</v>
      </c>
    </row>
    <row r="953" spans="1:1" x14ac:dyDescent="0.5">
      <c r="A953" s="15">
        <f t="shared" ca="1" si="15"/>
        <v>69.710350666919211</v>
      </c>
    </row>
    <row r="954" spans="1:1" x14ac:dyDescent="0.5">
      <c r="A954" s="15">
        <f t="shared" ca="1" si="15"/>
        <v>104.05923015440038</v>
      </c>
    </row>
    <row r="955" spans="1:1" x14ac:dyDescent="0.5">
      <c r="A955" s="15">
        <f t="shared" ca="1" si="15"/>
        <v>151.20525526929691</v>
      </c>
    </row>
    <row r="956" spans="1:1" x14ac:dyDescent="0.5">
      <c r="A956" s="15">
        <f t="shared" ca="1" si="15"/>
        <v>109.45171292587769</v>
      </c>
    </row>
    <row r="957" spans="1:1" x14ac:dyDescent="0.5">
      <c r="A957" s="15">
        <f t="shared" ca="1" si="15"/>
        <v>106.42985176602761</v>
      </c>
    </row>
    <row r="958" spans="1:1" x14ac:dyDescent="0.5">
      <c r="A958" s="15">
        <f t="shared" ca="1" si="15"/>
        <v>133.07277616370175</v>
      </c>
    </row>
    <row r="959" spans="1:1" x14ac:dyDescent="0.5">
      <c r="A959" s="15">
        <f t="shared" ca="1" si="15"/>
        <v>56.464215006669207</v>
      </c>
    </row>
    <row r="960" spans="1:1" x14ac:dyDescent="0.5">
      <c r="A960" s="15">
        <f t="shared" ca="1" si="15"/>
        <v>114.11510957670608</v>
      </c>
    </row>
    <row r="961" spans="1:1" x14ac:dyDescent="0.5">
      <c r="A961" s="15">
        <f t="shared" ca="1" si="15"/>
        <v>91.027100361051097</v>
      </c>
    </row>
    <row r="962" spans="1:1" x14ac:dyDescent="0.5">
      <c r="A962" s="15">
        <f t="shared" ca="1" si="15"/>
        <v>103.57122703762742</v>
      </c>
    </row>
    <row r="963" spans="1:1" x14ac:dyDescent="0.5">
      <c r="A963" s="15">
        <f t="shared" ca="1" si="15"/>
        <v>110.97222525646832</v>
      </c>
    </row>
    <row r="964" spans="1:1" x14ac:dyDescent="0.5">
      <c r="A964" s="15">
        <f t="shared" ca="1" si="15"/>
        <v>149.30711468492956</v>
      </c>
    </row>
    <row r="965" spans="1:1" x14ac:dyDescent="0.5">
      <c r="A965" s="15">
        <f t="shared" ca="1" si="15"/>
        <v>80.591949805470463</v>
      </c>
    </row>
    <row r="966" spans="1:1" x14ac:dyDescent="0.5">
      <c r="A966" s="15">
        <f t="shared" ca="1" si="15"/>
        <v>81.430042462237267</v>
      </c>
    </row>
    <row r="967" spans="1:1" x14ac:dyDescent="0.5">
      <c r="A967" s="15">
        <f t="shared" ca="1" si="15"/>
        <v>86.193188940916414</v>
      </c>
    </row>
    <row r="968" spans="1:1" x14ac:dyDescent="0.5">
      <c r="A968" s="15">
        <f t="shared" ca="1" si="15"/>
        <v>114.80069899464797</v>
      </c>
    </row>
    <row r="969" spans="1:1" x14ac:dyDescent="0.5">
      <c r="A969" s="15">
        <f t="shared" ca="1" si="15"/>
        <v>90.979065732455396</v>
      </c>
    </row>
    <row r="970" spans="1:1" x14ac:dyDescent="0.5">
      <c r="A970" s="15">
        <f t="shared" ca="1" si="15"/>
        <v>71.061453300776051</v>
      </c>
    </row>
    <row r="971" spans="1:1" x14ac:dyDescent="0.5">
      <c r="A971" s="15">
        <f t="shared" ca="1" si="15"/>
        <v>101.09705744390359</v>
      </c>
    </row>
    <row r="972" spans="1:1" x14ac:dyDescent="0.5">
      <c r="A972" s="15">
        <f t="shared" ca="1" si="15"/>
        <v>143.5451118896907</v>
      </c>
    </row>
    <row r="973" spans="1:1" x14ac:dyDescent="0.5">
      <c r="A973" s="15">
        <f t="shared" ref="A973:A1036" ca="1" si="16">IF(ROW()-12&lt;=$B$7,_xlfn.NORM.INV(RAND(),$B$5,$B$6),"")</f>
        <v>88.868941471840671</v>
      </c>
    </row>
    <row r="974" spans="1:1" x14ac:dyDescent="0.5">
      <c r="A974" s="15">
        <f t="shared" ca="1" si="16"/>
        <v>161.4223087040275</v>
      </c>
    </row>
    <row r="975" spans="1:1" x14ac:dyDescent="0.5">
      <c r="A975" s="15">
        <f t="shared" ca="1" si="16"/>
        <v>122.49309330918882</v>
      </c>
    </row>
    <row r="976" spans="1:1" x14ac:dyDescent="0.5">
      <c r="A976" s="15">
        <f t="shared" ca="1" si="16"/>
        <v>74.968804043197011</v>
      </c>
    </row>
    <row r="977" spans="1:1" x14ac:dyDescent="0.5">
      <c r="A977" s="15">
        <f t="shared" ca="1" si="16"/>
        <v>128.07671050272032</v>
      </c>
    </row>
    <row r="978" spans="1:1" x14ac:dyDescent="0.5">
      <c r="A978" s="15">
        <f t="shared" ca="1" si="16"/>
        <v>132.69146564330953</v>
      </c>
    </row>
    <row r="979" spans="1:1" x14ac:dyDescent="0.5">
      <c r="A979" s="15">
        <f t="shared" ca="1" si="16"/>
        <v>68.157954611573842</v>
      </c>
    </row>
    <row r="980" spans="1:1" x14ac:dyDescent="0.5">
      <c r="A980" s="15">
        <f t="shared" ca="1" si="16"/>
        <v>148.62642133826682</v>
      </c>
    </row>
    <row r="981" spans="1:1" x14ac:dyDescent="0.5">
      <c r="A981" s="15">
        <f t="shared" ca="1" si="16"/>
        <v>93.28595441212947</v>
      </c>
    </row>
    <row r="982" spans="1:1" x14ac:dyDescent="0.5">
      <c r="A982" s="15">
        <f t="shared" ca="1" si="16"/>
        <v>128.27608487439659</v>
      </c>
    </row>
    <row r="983" spans="1:1" x14ac:dyDescent="0.5">
      <c r="A983" s="15">
        <f t="shared" ca="1" si="16"/>
        <v>123.87304683631685</v>
      </c>
    </row>
    <row r="984" spans="1:1" x14ac:dyDescent="0.5">
      <c r="A984" s="15">
        <f t="shared" ca="1" si="16"/>
        <v>138.58272060142966</v>
      </c>
    </row>
    <row r="985" spans="1:1" x14ac:dyDescent="0.5">
      <c r="A985" s="15">
        <f t="shared" ca="1" si="16"/>
        <v>134.37828323507935</v>
      </c>
    </row>
    <row r="986" spans="1:1" x14ac:dyDescent="0.5">
      <c r="A986" s="15">
        <f t="shared" ca="1" si="16"/>
        <v>136.93602752827073</v>
      </c>
    </row>
    <row r="987" spans="1:1" x14ac:dyDescent="0.5">
      <c r="A987" s="15">
        <f t="shared" ca="1" si="16"/>
        <v>87.937169134736465</v>
      </c>
    </row>
    <row r="988" spans="1:1" x14ac:dyDescent="0.5">
      <c r="A988" s="15">
        <f t="shared" ca="1" si="16"/>
        <v>106.47808879669583</v>
      </c>
    </row>
    <row r="989" spans="1:1" x14ac:dyDescent="0.5">
      <c r="A989" s="15">
        <f t="shared" ca="1" si="16"/>
        <v>122.56512432539515</v>
      </c>
    </row>
    <row r="990" spans="1:1" x14ac:dyDescent="0.5">
      <c r="A990" s="15">
        <f t="shared" ca="1" si="16"/>
        <v>82.396053641925775</v>
      </c>
    </row>
    <row r="991" spans="1:1" x14ac:dyDescent="0.5">
      <c r="A991" s="15">
        <f t="shared" ca="1" si="16"/>
        <v>96.310049293896398</v>
      </c>
    </row>
    <row r="992" spans="1:1" x14ac:dyDescent="0.5">
      <c r="A992" s="15">
        <f t="shared" ca="1" si="16"/>
        <v>111.40500554307519</v>
      </c>
    </row>
    <row r="993" spans="1:1" x14ac:dyDescent="0.5">
      <c r="A993" s="15">
        <f t="shared" ca="1" si="16"/>
        <v>78.419542277514253</v>
      </c>
    </row>
    <row r="994" spans="1:1" x14ac:dyDescent="0.5">
      <c r="A994" s="15">
        <f t="shared" ca="1" si="16"/>
        <v>117.82218262561663</v>
      </c>
    </row>
    <row r="995" spans="1:1" x14ac:dyDescent="0.5">
      <c r="A995" s="15">
        <f t="shared" ca="1" si="16"/>
        <v>97.823284374635406</v>
      </c>
    </row>
    <row r="996" spans="1:1" x14ac:dyDescent="0.5">
      <c r="A996" s="15">
        <f t="shared" ca="1" si="16"/>
        <v>74.007466696562673</v>
      </c>
    </row>
    <row r="997" spans="1:1" x14ac:dyDescent="0.5">
      <c r="A997" s="15">
        <f t="shared" ca="1" si="16"/>
        <v>119.11455051622183</v>
      </c>
    </row>
    <row r="998" spans="1:1" x14ac:dyDescent="0.5">
      <c r="A998" s="15">
        <f t="shared" ca="1" si="16"/>
        <v>113.65407125589554</v>
      </c>
    </row>
    <row r="999" spans="1:1" x14ac:dyDescent="0.5">
      <c r="A999" s="15">
        <f t="shared" ca="1" si="16"/>
        <v>131.76156308103944</v>
      </c>
    </row>
    <row r="1000" spans="1:1" x14ac:dyDescent="0.5">
      <c r="A1000" s="15">
        <f t="shared" ca="1" si="16"/>
        <v>93.894550635240606</v>
      </c>
    </row>
    <row r="1001" spans="1:1" x14ac:dyDescent="0.5">
      <c r="A1001" s="15">
        <f t="shared" ca="1" si="16"/>
        <v>106.81332871273729</v>
      </c>
    </row>
    <row r="1002" spans="1:1" x14ac:dyDescent="0.5">
      <c r="A1002" s="15">
        <f t="shared" ca="1" si="16"/>
        <v>87.545893384404323</v>
      </c>
    </row>
    <row r="1003" spans="1:1" x14ac:dyDescent="0.5">
      <c r="A1003" s="15">
        <f t="shared" ca="1" si="16"/>
        <v>106.20745547850875</v>
      </c>
    </row>
    <row r="1004" spans="1:1" x14ac:dyDescent="0.5">
      <c r="A1004" s="15">
        <f t="shared" ca="1" si="16"/>
        <v>92.605571906377804</v>
      </c>
    </row>
    <row r="1005" spans="1:1" x14ac:dyDescent="0.5">
      <c r="A1005" s="15">
        <f t="shared" ca="1" si="16"/>
        <v>101.94633327459589</v>
      </c>
    </row>
    <row r="1006" spans="1:1" x14ac:dyDescent="0.5">
      <c r="A1006" s="15">
        <f t="shared" ca="1" si="16"/>
        <v>100.51366879249329</v>
      </c>
    </row>
    <row r="1007" spans="1:1" x14ac:dyDescent="0.5">
      <c r="A1007" s="15">
        <f t="shared" ca="1" si="16"/>
        <v>91.517558147337866</v>
      </c>
    </row>
    <row r="1008" spans="1:1" x14ac:dyDescent="0.5">
      <c r="A1008" s="15">
        <f t="shared" ca="1" si="16"/>
        <v>53.702751584287824</v>
      </c>
    </row>
    <row r="1009" spans="1:1" x14ac:dyDescent="0.5">
      <c r="A1009" s="15">
        <f t="shared" ca="1" si="16"/>
        <v>102.08971846677989</v>
      </c>
    </row>
    <row r="1010" spans="1:1" x14ac:dyDescent="0.5">
      <c r="A1010" s="15">
        <f t="shared" ca="1" si="16"/>
        <v>130.99356667525157</v>
      </c>
    </row>
    <row r="1011" spans="1:1" x14ac:dyDescent="0.5">
      <c r="A1011" s="15">
        <f t="shared" ca="1" si="16"/>
        <v>133.36048550633288</v>
      </c>
    </row>
    <row r="1012" spans="1:1" x14ac:dyDescent="0.5">
      <c r="A1012" s="15">
        <f t="shared" ca="1" si="16"/>
        <v>145.29866934684026</v>
      </c>
    </row>
    <row r="1013" spans="1:1" x14ac:dyDescent="0.5">
      <c r="A1013" s="15" t="str">
        <f t="shared" ca="1" si="16"/>
        <v/>
      </c>
    </row>
    <row r="1014" spans="1:1" x14ac:dyDescent="0.5">
      <c r="A1014" s="15" t="str">
        <f t="shared" ca="1" si="16"/>
        <v/>
      </c>
    </row>
    <row r="1015" spans="1:1" x14ac:dyDescent="0.5">
      <c r="A1015" s="15" t="str">
        <f t="shared" ca="1" si="16"/>
        <v/>
      </c>
    </row>
    <row r="1016" spans="1:1" x14ac:dyDescent="0.5">
      <c r="A1016" s="15" t="str">
        <f t="shared" ca="1" si="16"/>
        <v/>
      </c>
    </row>
    <row r="1017" spans="1:1" x14ac:dyDescent="0.5">
      <c r="A1017" s="15" t="str">
        <f t="shared" ca="1" si="16"/>
        <v/>
      </c>
    </row>
    <row r="1018" spans="1:1" x14ac:dyDescent="0.5">
      <c r="A1018" s="15" t="str">
        <f t="shared" ca="1" si="16"/>
        <v/>
      </c>
    </row>
    <row r="1019" spans="1:1" x14ac:dyDescent="0.5">
      <c r="A1019" s="15" t="str">
        <f t="shared" ca="1" si="16"/>
        <v/>
      </c>
    </row>
    <row r="1020" spans="1:1" x14ac:dyDescent="0.5">
      <c r="A1020" s="15" t="str">
        <f t="shared" ca="1" si="16"/>
        <v/>
      </c>
    </row>
    <row r="1021" spans="1:1" x14ac:dyDescent="0.5">
      <c r="A1021" s="15" t="str">
        <f t="shared" ca="1" si="16"/>
        <v/>
      </c>
    </row>
    <row r="1022" spans="1:1" x14ac:dyDescent="0.5">
      <c r="A1022" s="15" t="str">
        <f t="shared" ca="1" si="16"/>
        <v/>
      </c>
    </row>
    <row r="1023" spans="1:1" x14ac:dyDescent="0.5">
      <c r="A1023" s="15" t="str">
        <f t="shared" ca="1" si="16"/>
        <v/>
      </c>
    </row>
    <row r="1024" spans="1:1" x14ac:dyDescent="0.5">
      <c r="A1024" s="15" t="str">
        <f t="shared" ca="1" si="16"/>
        <v/>
      </c>
    </row>
    <row r="1025" spans="1:1" x14ac:dyDescent="0.5">
      <c r="A1025" s="15" t="str">
        <f t="shared" ca="1" si="16"/>
        <v/>
      </c>
    </row>
    <row r="1026" spans="1:1" x14ac:dyDescent="0.5">
      <c r="A1026" s="15" t="str">
        <f t="shared" ca="1" si="16"/>
        <v/>
      </c>
    </row>
    <row r="1027" spans="1:1" x14ac:dyDescent="0.5">
      <c r="A1027" s="15" t="str">
        <f t="shared" ca="1" si="16"/>
        <v/>
      </c>
    </row>
    <row r="1028" spans="1:1" x14ac:dyDescent="0.5">
      <c r="A1028" s="15" t="str">
        <f t="shared" ca="1" si="16"/>
        <v/>
      </c>
    </row>
    <row r="1029" spans="1:1" x14ac:dyDescent="0.5">
      <c r="A1029" s="15" t="str">
        <f t="shared" ca="1" si="16"/>
        <v/>
      </c>
    </row>
    <row r="1030" spans="1:1" x14ac:dyDescent="0.5">
      <c r="A1030" s="15" t="str">
        <f t="shared" ca="1" si="16"/>
        <v/>
      </c>
    </row>
    <row r="1031" spans="1:1" x14ac:dyDescent="0.5">
      <c r="A1031" s="15" t="str">
        <f t="shared" ca="1" si="16"/>
        <v/>
      </c>
    </row>
    <row r="1032" spans="1:1" x14ac:dyDescent="0.5">
      <c r="A1032" s="15" t="str">
        <f t="shared" ca="1" si="16"/>
        <v/>
      </c>
    </row>
    <row r="1033" spans="1:1" x14ac:dyDescent="0.5">
      <c r="A1033" s="15" t="str">
        <f t="shared" ca="1" si="16"/>
        <v/>
      </c>
    </row>
    <row r="1034" spans="1:1" x14ac:dyDescent="0.5">
      <c r="A1034" s="15" t="str">
        <f t="shared" ca="1" si="16"/>
        <v/>
      </c>
    </row>
    <row r="1035" spans="1:1" x14ac:dyDescent="0.5">
      <c r="A1035" s="15" t="str">
        <f t="shared" ca="1" si="16"/>
        <v/>
      </c>
    </row>
    <row r="1036" spans="1:1" x14ac:dyDescent="0.5">
      <c r="A1036" s="15" t="str">
        <f t="shared" ca="1" si="16"/>
        <v/>
      </c>
    </row>
    <row r="1037" spans="1:1" x14ac:dyDescent="0.5">
      <c r="A1037" s="15" t="str">
        <f t="shared" ref="A1037:A1100" ca="1" si="17">IF(ROW()-12&lt;=$B$7,_xlfn.NORM.INV(RAND(),$B$5,$B$6),"")</f>
        <v/>
      </c>
    </row>
    <row r="1038" spans="1:1" x14ac:dyDescent="0.5">
      <c r="A1038" s="15" t="str">
        <f t="shared" ca="1" si="17"/>
        <v/>
      </c>
    </row>
    <row r="1039" spans="1:1" x14ac:dyDescent="0.5">
      <c r="A1039" s="15" t="str">
        <f t="shared" ca="1" si="17"/>
        <v/>
      </c>
    </row>
    <row r="1040" spans="1:1" x14ac:dyDescent="0.5">
      <c r="A1040" s="15" t="str">
        <f t="shared" ca="1" si="17"/>
        <v/>
      </c>
    </row>
    <row r="1041" spans="1:1" x14ac:dyDescent="0.5">
      <c r="A1041" s="15" t="str">
        <f t="shared" ca="1" si="17"/>
        <v/>
      </c>
    </row>
    <row r="1042" spans="1:1" x14ac:dyDescent="0.5">
      <c r="A1042" s="15" t="str">
        <f t="shared" ca="1" si="17"/>
        <v/>
      </c>
    </row>
    <row r="1043" spans="1:1" x14ac:dyDescent="0.5">
      <c r="A1043" s="15" t="str">
        <f t="shared" ca="1" si="17"/>
        <v/>
      </c>
    </row>
    <row r="1044" spans="1:1" x14ac:dyDescent="0.5">
      <c r="A1044" s="15" t="str">
        <f t="shared" ca="1" si="17"/>
        <v/>
      </c>
    </row>
    <row r="1045" spans="1:1" x14ac:dyDescent="0.5">
      <c r="A1045" s="15" t="str">
        <f t="shared" ca="1" si="17"/>
        <v/>
      </c>
    </row>
    <row r="1046" spans="1:1" x14ac:dyDescent="0.5">
      <c r="A1046" s="15" t="str">
        <f t="shared" ca="1" si="17"/>
        <v/>
      </c>
    </row>
    <row r="1047" spans="1:1" x14ac:dyDescent="0.5">
      <c r="A1047" s="15" t="str">
        <f t="shared" ca="1" si="17"/>
        <v/>
      </c>
    </row>
    <row r="1048" spans="1:1" x14ac:dyDescent="0.5">
      <c r="A1048" s="15" t="str">
        <f t="shared" ca="1" si="17"/>
        <v/>
      </c>
    </row>
    <row r="1049" spans="1:1" x14ac:dyDescent="0.5">
      <c r="A1049" s="15" t="str">
        <f t="shared" ca="1" si="17"/>
        <v/>
      </c>
    </row>
    <row r="1050" spans="1:1" x14ac:dyDescent="0.5">
      <c r="A1050" s="15" t="str">
        <f t="shared" ca="1" si="17"/>
        <v/>
      </c>
    </row>
    <row r="1051" spans="1:1" x14ac:dyDescent="0.5">
      <c r="A1051" s="15" t="str">
        <f t="shared" ca="1" si="17"/>
        <v/>
      </c>
    </row>
    <row r="1052" spans="1:1" x14ac:dyDescent="0.5">
      <c r="A1052" s="15" t="str">
        <f t="shared" ca="1" si="17"/>
        <v/>
      </c>
    </row>
    <row r="1053" spans="1:1" x14ac:dyDescent="0.5">
      <c r="A1053" s="15" t="str">
        <f t="shared" ca="1" si="17"/>
        <v/>
      </c>
    </row>
    <row r="1054" spans="1:1" x14ac:dyDescent="0.5">
      <c r="A1054" s="15" t="str">
        <f t="shared" ca="1" si="17"/>
        <v/>
      </c>
    </row>
    <row r="1055" spans="1:1" x14ac:dyDescent="0.5">
      <c r="A1055" s="15" t="str">
        <f t="shared" ca="1" si="17"/>
        <v/>
      </c>
    </row>
    <row r="1056" spans="1:1" x14ac:dyDescent="0.5">
      <c r="A1056" s="15" t="str">
        <f t="shared" ca="1" si="17"/>
        <v/>
      </c>
    </row>
    <row r="1057" spans="1:1" x14ac:dyDescent="0.5">
      <c r="A1057" s="15" t="str">
        <f t="shared" ca="1" si="17"/>
        <v/>
      </c>
    </row>
    <row r="1058" spans="1:1" x14ac:dyDescent="0.5">
      <c r="A1058" s="15" t="str">
        <f t="shared" ca="1" si="17"/>
        <v/>
      </c>
    </row>
    <row r="1059" spans="1:1" x14ac:dyDescent="0.5">
      <c r="A1059" s="15" t="str">
        <f t="shared" ca="1" si="17"/>
        <v/>
      </c>
    </row>
    <row r="1060" spans="1:1" x14ac:dyDescent="0.5">
      <c r="A1060" s="15" t="str">
        <f t="shared" ca="1" si="17"/>
        <v/>
      </c>
    </row>
    <row r="1061" spans="1:1" x14ac:dyDescent="0.5">
      <c r="A1061" s="15" t="str">
        <f t="shared" ca="1" si="17"/>
        <v/>
      </c>
    </row>
    <row r="1062" spans="1:1" x14ac:dyDescent="0.5">
      <c r="A1062" s="15" t="str">
        <f t="shared" ca="1" si="17"/>
        <v/>
      </c>
    </row>
    <row r="1063" spans="1:1" x14ac:dyDescent="0.5">
      <c r="A1063" s="15" t="str">
        <f t="shared" ca="1" si="17"/>
        <v/>
      </c>
    </row>
    <row r="1064" spans="1:1" x14ac:dyDescent="0.5">
      <c r="A1064" s="15" t="str">
        <f t="shared" ca="1" si="17"/>
        <v/>
      </c>
    </row>
    <row r="1065" spans="1:1" x14ac:dyDescent="0.5">
      <c r="A1065" s="15" t="str">
        <f t="shared" ca="1" si="17"/>
        <v/>
      </c>
    </row>
    <row r="1066" spans="1:1" x14ac:dyDescent="0.5">
      <c r="A1066" s="15" t="str">
        <f t="shared" ca="1" si="17"/>
        <v/>
      </c>
    </row>
    <row r="1067" spans="1:1" x14ac:dyDescent="0.5">
      <c r="A1067" s="15" t="str">
        <f t="shared" ca="1" si="17"/>
        <v/>
      </c>
    </row>
    <row r="1068" spans="1:1" x14ac:dyDescent="0.5">
      <c r="A1068" s="15" t="str">
        <f t="shared" ca="1" si="17"/>
        <v/>
      </c>
    </row>
    <row r="1069" spans="1:1" x14ac:dyDescent="0.5">
      <c r="A1069" s="15" t="str">
        <f t="shared" ca="1" si="17"/>
        <v/>
      </c>
    </row>
    <row r="1070" spans="1:1" x14ac:dyDescent="0.5">
      <c r="A1070" s="15" t="str">
        <f t="shared" ca="1" si="17"/>
        <v/>
      </c>
    </row>
    <row r="1071" spans="1:1" x14ac:dyDescent="0.5">
      <c r="A1071" s="15" t="str">
        <f t="shared" ca="1" si="17"/>
        <v/>
      </c>
    </row>
    <row r="1072" spans="1:1" x14ac:dyDescent="0.5">
      <c r="A1072" s="15" t="str">
        <f t="shared" ca="1" si="17"/>
        <v/>
      </c>
    </row>
    <row r="1073" spans="1:1" x14ac:dyDescent="0.5">
      <c r="A1073" s="15" t="str">
        <f t="shared" ca="1" si="17"/>
        <v/>
      </c>
    </row>
    <row r="1074" spans="1:1" x14ac:dyDescent="0.5">
      <c r="A1074" s="15" t="str">
        <f t="shared" ca="1" si="17"/>
        <v/>
      </c>
    </row>
    <row r="1075" spans="1:1" x14ac:dyDescent="0.5">
      <c r="A1075" s="15" t="str">
        <f t="shared" ca="1" si="17"/>
        <v/>
      </c>
    </row>
    <row r="1076" spans="1:1" x14ac:dyDescent="0.5">
      <c r="A1076" s="15" t="str">
        <f t="shared" ca="1" si="17"/>
        <v/>
      </c>
    </row>
    <row r="1077" spans="1:1" x14ac:dyDescent="0.5">
      <c r="A1077" s="15" t="str">
        <f t="shared" ca="1" si="17"/>
        <v/>
      </c>
    </row>
    <row r="1078" spans="1:1" x14ac:dyDescent="0.5">
      <c r="A1078" s="15" t="str">
        <f t="shared" ca="1" si="17"/>
        <v/>
      </c>
    </row>
    <row r="1079" spans="1:1" x14ac:dyDescent="0.5">
      <c r="A1079" s="15" t="str">
        <f t="shared" ca="1" si="17"/>
        <v/>
      </c>
    </row>
    <row r="1080" spans="1:1" x14ac:dyDescent="0.5">
      <c r="A1080" s="15" t="str">
        <f t="shared" ca="1" si="17"/>
        <v/>
      </c>
    </row>
    <row r="1081" spans="1:1" x14ac:dyDescent="0.5">
      <c r="A1081" s="15" t="str">
        <f t="shared" ca="1" si="17"/>
        <v/>
      </c>
    </row>
    <row r="1082" spans="1:1" x14ac:dyDescent="0.5">
      <c r="A1082" s="15" t="str">
        <f t="shared" ca="1" si="17"/>
        <v/>
      </c>
    </row>
    <row r="1083" spans="1:1" x14ac:dyDescent="0.5">
      <c r="A1083" s="15" t="str">
        <f t="shared" ca="1" si="17"/>
        <v/>
      </c>
    </row>
    <row r="1084" spans="1:1" x14ac:dyDescent="0.5">
      <c r="A1084" s="15" t="str">
        <f t="shared" ca="1" si="17"/>
        <v/>
      </c>
    </row>
    <row r="1085" spans="1:1" x14ac:dyDescent="0.5">
      <c r="A1085" s="15" t="str">
        <f t="shared" ca="1" si="17"/>
        <v/>
      </c>
    </row>
    <row r="1086" spans="1:1" x14ac:dyDescent="0.5">
      <c r="A1086" s="15" t="str">
        <f t="shared" ca="1" si="17"/>
        <v/>
      </c>
    </row>
    <row r="1087" spans="1:1" x14ac:dyDescent="0.5">
      <c r="A1087" s="15" t="str">
        <f t="shared" ca="1" si="17"/>
        <v/>
      </c>
    </row>
    <row r="1088" spans="1:1" x14ac:dyDescent="0.5">
      <c r="A1088" s="15" t="str">
        <f t="shared" ca="1" si="17"/>
        <v/>
      </c>
    </row>
    <row r="1089" spans="1:1" x14ac:dyDescent="0.5">
      <c r="A1089" s="15" t="str">
        <f t="shared" ca="1" si="17"/>
        <v/>
      </c>
    </row>
    <row r="1090" spans="1:1" x14ac:dyDescent="0.5">
      <c r="A1090" s="15" t="str">
        <f t="shared" ca="1" si="17"/>
        <v/>
      </c>
    </row>
    <row r="1091" spans="1:1" x14ac:dyDescent="0.5">
      <c r="A1091" s="15" t="str">
        <f t="shared" ca="1" si="17"/>
        <v/>
      </c>
    </row>
    <row r="1092" spans="1:1" x14ac:dyDescent="0.5">
      <c r="A1092" s="15" t="str">
        <f t="shared" ca="1" si="17"/>
        <v/>
      </c>
    </row>
    <row r="1093" spans="1:1" x14ac:dyDescent="0.5">
      <c r="A1093" s="15" t="str">
        <f t="shared" ca="1" si="17"/>
        <v/>
      </c>
    </row>
    <row r="1094" spans="1:1" x14ac:dyDescent="0.5">
      <c r="A1094" s="15" t="str">
        <f t="shared" ca="1" si="17"/>
        <v/>
      </c>
    </row>
    <row r="1095" spans="1:1" x14ac:dyDescent="0.5">
      <c r="A1095" s="15" t="str">
        <f t="shared" ca="1" si="17"/>
        <v/>
      </c>
    </row>
    <row r="1096" spans="1:1" x14ac:dyDescent="0.5">
      <c r="A1096" s="15" t="str">
        <f t="shared" ca="1" si="17"/>
        <v/>
      </c>
    </row>
    <row r="1097" spans="1:1" x14ac:dyDescent="0.5">
      <c r="A1097" s="15" t="str">
        <f t="shared" ca="1" si="17"/>
        <v/>
      </c>
    </row>
    <row r="1098" spans="1:1" x14ac:dyDescent="0.5">
      <c r="A1098" s="15" t="str">
        <f t="shared" ca="1" si="17"/>
        <v/>
      </c>
    </row>
    <row r="1099" spans="1:1" x14ac:dyDescent="0.5">
      <c r="A1099" s="15" t="str">
        <f t="shared" ca="1" si="17"/>
        <v/>
      </c>
    </row>
    <row r="1100" spans="1:1" x14ac:dyDescent="0.5">
      <c r="A1100" s="15" t="str">
        <f t="shared" ca="1" si="17"/>
        <v/>
      </c>
    </row>
    <row r="1101" spans="1:1" x14ac:dyDescent="0.5">
      <c r="A1101" s="15" t="str">
        <f t="shared" ref="A1101:A1164" ca="1" si="18">IF(ROW()-12&lt;=$B$7,_xlfn.NORM.INV(RAND(),$B$5,$B$6),"")</f>
        <v/>
      </c>
    </row>
    <row r="1102" spans="1:1" x14ac:dyDescent="0.5">
      <c r="A1102" s="15" t="str">
        <f t="shared" ca="1" si="18"/>
        <v/>
      </c>
    </row>
    <row r="1103" spans="1:1" x14ac:dyDescent="0.5">
      <c r="A1103" s="15" t="str">
        <f t="shared" ca="1" si="18"/>
        <v/>
      </c>
    </row>
    <row r="1104" spans="1:1" x14ac:dyDescent="0.5">
      <c r="A1104" s="15" t="str">
        <f t="shared" ca="1" si="18"/>
        <v/>
      </c>
    </row>
    <row r="1105" spans="1:1" x14ac:dyDescent="0.5">
      <c r="A1105" s="15" t="str">
        <f t="shared" ca="1" si="18"/>
        <v/>
      </c>
    </row>
    <row r="1106" spans="1:1" x14ac:dyDescent="0.5">
      <c r="A1106" s="15" t="str">
        <f t="shared" ca="1" si="18"/>
        <v/>
      </c>
    </row>
    <row r="1107" spans="1:1" x14ac:dyDescent="0.5">
      <c r="A1107" s="15" t="str">
        <f t="shared" ca="1" si="18"/>
        <v/>
      </c>
    </row>
    <row r="1108" spans="1:1" x14ac:dyDescent="0.5">
      <c r="A1108" s="15" t="str">
        <f t="shared" ca="1" si="18"/>
        <v/>
      </c>
    </row>
    <row r="1109" spans="1:1" x14ac:dyDescent="0.5">
      <c r="A1109" s="15" t="str">
        <f t="shared" ca="1" si="18"/>
        <v/>
      </c>
    </row>
    <row r="1110" spans="1:1" x14ac:dyDescent="0.5">
      <c r="A1110" s="15" t="str">
        <f t="shared" ca="1" si="18"/>
        <v/>
      </c>
    </row>
    <row r="1111" spans="1:1" x14ac:dyDescent="0.5">
      <c r="A1111" s="15" t="str">
        <f t="shared" ca="1" si="18"/>
        <v/>
      </c>
    </row>
    <row r="1112" spans="1:1" x14ac:dyDescent="0.5">
      <c r="A1112" s="15" t="str">
        <f t="shared" ca="1" si="18"/>
        <v/>
      </c>
    </row>
    <row r="1113" spans="1:1" x14ac:dyDescent="0.5">
      <c r="A1113" s="15" t="str">
        <f t="shared" ca="1" si="18"/>
        <v/>
      </c>
    </row>
    <row r="1114" spans="1:1" x14ac:dyDescent="0.5">
      <c r="A1114" s="15" t="str">
        <f t="shared" ca="1" si="18"/>
        <v/>
      </c>
    </row>
    <row r="1115" spans="1:1" x14ac:dyDescent="0.5">
      <c r="A1115" s="15" t="str">
        <f t="shared" ca="1" si="18"/>
        <v/>
      </c>
    </row>
    <row r="1116" spans="1:1" x14ac:dyDescent="0.5">
      <c r="A1116" s="15" t="str">
        <f t="shared" ca="1" si="18"/>
        <v/>
      </c>
    </row>
    <row r="1117" spans="1:1" x14ac:dyDescent="0.5">
      <c r="A1117" s="15" t="str">
        <f t="shared" ca="1" si="18"/>
        <v/>
      </c>
    </row>
    <row r="1118" spans="1:1" x14ac:dyDescent="0.5">
      <c r="A1118" s="15" t="str">
        <f t="shared" ca="1" si="18"/>
        <v/>
      </c>
    </row>
    <row r="1119" spans="1:1" x14ac:dyDescent="0.5">
      <c r="A1119" s="15" t="str">
        <f t="shared" ca="1" si="18"/>
        <v/>
      </c>
    </row>
    <row r="1120" spans="1:1" x14ac:dyDescent="0.5">
      <c r="A1120" s="15" t="str">
        <f t="shared" ca="1" si="18"/>
        <v/>
      </c>
    </row>
    <row r="1121" spans="1:1" x14ac:dyDescent="0.5">
      <c r="A1121" s="15" t="str">
        <f t="shared" ca="1" si="18"/>
        <v/>
      </c>
    </row>
    <row r="1122" spans="1:1" x14ac:dyDescent="0.5">
      <c r="A1122" s="15" t="str">
        <f t="shared" ca="1" si="18"/>
        <v/>
      </c>
    </row>
    <row r="1123" spans="1:1" x14ac:dyDescent="0.5">
      <c r="A1123" s="15" t="str">
        <f t="shared" ca="1" si="18"/>
        <v/>
      </c>
    </row>
    <row r="1124" spans="1:1" x14ac:dyDescent="0.5">
      <c r="A1124" s="15" t="str">
        <f t="shared" ca="1" si="18"/>
        <v/>
      </c>
    </row>
    <row r="1125" spans="1:1" x14ac:dyDescent="0.5">
      <c r="A1125" s="15" t="str">
        <f t="shared" ca="1" si="18"/>
        <v/>
      </c>
    </row>
    <row r="1126" spans="1:1" x14ac:dyDescent="0.5">
      <c r="A1126" s="15" t="str">
        <f t="shared" ca="1" si="18"/>
        <v/>
      </c>
    </row>
    <row r="1127" spans="1:1" x14ac:dyDescent="0.5">
      <c r="A1127" s="15" t="str">
        <f t="shared" ca="1" si="18"/>
        <v/>
      </c>
    </row>
    <row r="1128" spans="1:1" x14ac:dyDescent="0.5">
      <c r="A1128" s="15" t="str">
        <f t="shared" ca="1" si="18"/>
        <v/>
      </c>
    </row>
    <row r="1129" spans="1:1" x14ac:dyDescent="0.5">
      <c r="A1129" s="15" t="str">
        <f t="shared" ca="1" si="18"/>
        <v/>
      </c>
    </row>
    <row r="1130" spans="1:1" x14ac:dyDescent="0.5">
      <c r="A1130" s="15" t="str">
        <f t="shared" ca="1" si="18"/>
        <v/>
      </c>
    </row>
    <row r="1131" spans="1:1" x14ac:dyDescent="0.5">
      <c r="A1131" s="15" t="str">
        <f t="shared" ca="1" si="18"/>
        <v/>
      </c>
    </row>
    <row r="1132" spans="1:1" x14ac:dyDescent="0.5">
      <c r="A1132" s="15" t="str">
        <f t="shared" ca="1" si="18"/>
        <v/>
      </c>
    </row>
    <row r="1133" spans="1:1" x14ac:dyDescent="0.5">
      <c r="A1133" s="15" t="str">
        <f t="shared" ca="1" si="18"/>
        <v/>
      </c>
    </row>
    <row r="1134" spans="1:1" x14ac:dyDescent="0.5">
      <c r="A1134" s="15" t="str">
        <f t="shared" ca="1" si="18"/>
        <v/>
      </c>
    </row>
    <row r="1135" spans="1:1" x14ac:dyDescent="0.5">
      <c r="A1135" s="15" t="str">
        <f t="shared" ca="1" si="18"/>
        <v/>
      </c>
    </row>
    <row r="1136" spans="1:1" x14ac:dyDescent="0.5">
      <c r="A1136" s="15" t="str">
        <f t="shared" ca="1" si="18"/>
        <v/>
      </c>
    </row>
    <row r="1137" spans="1:1" x14ac:dyDescent="0.5">
      <c r="A1137" s="15" t="str">
        <f t="shared" ca="1" si="18"/>
        <v/>
      </c>
    </row>
    <row r="1138" spans="1:1" x14ac:dyDescent="0.5">
      <c r="A1138" s="15" t="str">
        <f t="shared" ca="1" si="18"/>
        <v/>
      </c>
    </row>
    <row r="1139" spans="1:1" x14ac:dyDescent="0.5">
      <c r="A1139" s="15" t="str">
        <f t="shared" ca="1" si="18"/>
        <v/>
      </c>
    </row>
    <row r="1140" spans="1:1" x14ac:dyDescent="0.5">
      <c r="A1140" s="15" t="str">
        <f t="shared" ca="1" si="18"/>
        <v/>
      </c>
    </row>
    <row r="1141" spans="1:1" x14ac:dyDescent="0.5">
      <c r="A1141" s="15" t="str">
        <f t="shared" ca="1" si="18"/>
        <v/>
      </c>
    </row>
    <row r="1142" spans="1:1" x14ac:dyDescent="0.5">
      <c r="A1142" s="15" t="str">
        <f t="shared" ca="1" si="18"/>
        <v/>
      </c>
    </row>
    <row r="1143" spans="1:1" x14ac:dyDescent="0.5">
      <c r="A1143" s="15" t="str">
        <f t="shared" ca="1" si="18"/>
        <v/>
      </c>
    </row>
    <row r="1144" spans="1:1" x14ac:dyDescent="0.5">
      <c r="A1144" s="15" t="str">
        <f t="shared" ca="1" si="18"/>
        <v/>
      </c>
    </row>
    <row r="1145" spans="1:1" x14ac:dyDescent="0.5">
      <c r="A1145" s="15" t="str">
        <f t="shared" ca="1" si="18"/>
        <v/>
      </c>
    </row>
    <row r="1146" spans="1:1" x14ac:dyDescent="0.5">
      <c r="A1146" s="15" t="str">
        <f t="shared" ca="1" si="18"/>
        <v/>
      </c>
    </row>
    <row r="1147" spans="1:1" x14ac:dyDescent="0.5">
      <c r="A1147" s="15" t="str">
        <f t="shared" ca="1" si="18"/>
        <v/>
      </c>
    </row>
    <row r="1148" spans="1:1" x14ac:dyDescent="0.5">
      <c r="A1148" s="15" t="str">
        <f t="shared" ca="1" si="18"/>
        <v/>
      </c>
    </row>
    <row r="1149" spans="1:1" x14ac:dyDescent="0.5">
      <c r="A1149" s="15" t="str">
        <f t="shared" ca="1" si="18"/>
        <v/>
      </c>
    </row>
    <row r="1150" spans="1:1" x14ac:dyDescent="0.5">
      <c r="A1150" s="15" t="str">
        <f t="shared" ca="1" si="18"/>
        <v/>
      </c>
    </row>
    <row r="1151" spans="1:1" x14ac:dyDescent="0.5">
      <c r="A1151" s="15" t="str">
        <f t="shared" ca="1" si="18"/>
        <v/>
      </c>
    </row>
    <row r="1152" spans="1:1" x14ac:dyDescent="0.5">
      <c r="A1152" s="15" t="str">
        <f t="shared" ca="1" si="18"/>
        <v/>
      </c>
    </row>
    <row r="1153" spans="1:1" x14ac:dyDescent="0.5">
      <c r="A1153" s="15" t="str">
        <f t="shared" ca="1" si="18"/>
        <v/>
      </c>
    </row>
    <row r="1154" spans="1:1" x14ac:dyDescent="0.5">
      <c r="A1154" s="15" t="str">
        <f t="shared" ca="1" si="18"/>
        <v/>
      </c>
    </row>
    <row r="1155" spans="1:1" x14ac:dyDescent="0.5">
      <c r="A1155" s="15" t="str">
        <f t="shared" ca="1" si="18"/>
        <v/>
      </c>
    </row>
    <row r="1156" spans="1:1" x14ac:dyDescent="0.5">
      <c r="A1156" s="15" t="str">
        <f t="shared" ca="1" si="18"/>
        <v/>
      </c>
    </row>
    <row r="1157" spans="1:1" x14ac:dyDescent="0.5">
      <c r="A1157" s="15" t="str">
        <f t="shared" ca="1" si="18"/>
        <v/>
      </c>
    </row>
    <row r="1158" spans="1:1" x14ac:dyDescent="0.5">
      <c r="A1158" s="15" t="str">
        <f t="shared" ca="1" si="18"/>
        <v/>
      </c>
    </row>
    <row r="1159" spans="1:1" x14ac:dyDescent="0.5">
      <c r="A1159" s="15" t="str">
        <f t="shared" ca="1" si="18"/>
        <v/>
      </c>
    </row>
    <row r="1160" spans="1:1" x14ac:dyDescent="0.5">
      <c r="A1160" s="15" t="str">
        <f t="shared" ca="1" si="18"/>
        <v/>
      </c>
    </row>
    <row r="1161" spans="1:1" x14ac:dyDescent="0.5">
      <c r="A1161" s="15" t="str">
        <f t="shared" ca="1" si="18"/>
        <v/>
      </c>
    </row>
    <row r="1162" spans="1:1" x14ac:dyDescent="0.5">
      <c r="A1162" s="15" t="str">
        <f t="shared" ca="1" si="18"/>
        <v/>
      </c>
    </row>
    <row r="1163" spans="1:1" x14ac:dyDescent="0.5">
      <c r="A1163" s="15" t="str">
        <f t="shared" ca="1" si="18"/>
        <v/>
      </c>
    </row>
    <row r="1164" spans="1:1" x14ac:dyDescent="0.5">
      <c r="A1164" s="15" t="str">
        <f t="shared" ca="1" si="18"/>
        <v/>
      </c>
    </row>
    <row r="1165" spans="1:1" x14ac:dyDescent="0.5">
      <c r="A1165" s="15" t="str">
        <f t="shared" ref="A1165:A1228" ca="1" si="19">IF(ROW()-12&lt;=$B$7,_xlfn.NORM.INV(RAND(),$B$5,$B$6),"")</f>
        <v/>
      </c>
    </row>
    <row r="1166" spans="1:1" x14ac:dyDescent="0.5">
      <c r="A1166" s="15" t="str">
        <f t="shared" ca="1" si="19"/>
        <v/>
      </c>
    </row>
    <row r="1167" spans="1:1" x14ac:dyDescent="0.5">
      <c r="A1167" s="15" t="str">
        <f t="shared" ca="1" si="19"/>
        <v/>
      </c>
    </row>
    <row r="1168" spans="1:1" x14ac:dyDescent="0.5">
      <c r="A1168" s="15" t="str">
        <f t="shared" ca="1" si="19"/>
        <v/>
      </c>
    </row>
    <row r="1169" spans="1:1" x14ac:dyDescent="0.5">
      <c r="A1169" s="15" t="str">
        <f t="shared" ca="1" si="19"/>
        <v/>
      </c>
    </row>
    <row r="1170" spans="1:1" x14ac:dyDescent="0.5">
      <c r="A1170" s="15" t="str">
        <f t="shared" ca="1" si="19"/>
        <v/>
      </c>
    </row>
    <row r="1171" spans="1:1" x14ac:dyDescent="0.5">
      <c r="A1171" s="15" t="str">
        <f t="shared" ca="1" si="19"/>
        <v/>
      </c>
    </row>
    <row r="1172" spans="1:1" x14ac:dyDescent="0.5">
      <c r="A1172" s="15" t="str">
        <f t="shared" ca="1" si="19"/>
        <v/>
      </c>
    </row>
    <row r="1173" spans="1:1" x14ac:dyDescent="0.5">
      <c r="A1173" s="15" t="str">
        <f t="shared" ca="1" si="19"/>
        <v/>
      </c>
    </row>
    <row r="1174" spans="1:1" x14ac:dyDescent="0.5">
      <c r="A1174" s="15" t="str">
        <f t="shared" ca="1" si="19"/>
        <v/>
      </c>
    </row>
    <row r="1175" spans="1:1" x14ac:dyDescent="0.5">
      <c r="A1175" s="15" t="str">
        <f t="shared" ca="1" si="19"/>
        <v/>
      </c>
    </row>
    <row r="1176" spans="1:1" x14ac:dyDescent="0.5">
      <c r="A1176" s="15" t="str">
        <f t="shared" ca="1" si="19"/>
        <v/>
      </c>
    </row>
    <row r="1177" spans="1:1" x14ac:dyDescent="0.5">
      <c r="A1177" s="15" t="str">
        <f t="shared" ca="1" si="19"/>
        <v/>
      </c>
    </row>
    <row r="1178" spans="1:1" x14ac:dyDescent="0.5">
      <c r="A1178" s="15" t="str">
        <f t="shared" ca="1" si="19"/>
        <v/>
      </c>
    </row>
    <row r="1179" spans="1:1" x14ac:dyDescent="0.5">
      <c r="A1179" s="15" t="str">
        <f t="shared" ca="1" si="19"/>
        <v/>
      </c>
    </row>
    <row r="1180" spans="1:1" x14ac:dyDescent="0.5">
      <c r="A1180" s="15" t="str">
        <f t="shared" ca="1" si="19"/>
        <v/>
      </c>
    </row>
    <row r="1181" spans="1:1" x14ac:dyDescent="0.5">
      <c r="A1181" s="15" t="str">
        <f t="shared" ca="1" si="19"/>
        <v/>
      </c>
    </row>
    <row r="1182" spans="1:1" x14ac:dyDescent="0.5">
      <c r="A1182" s="15" t="str">
        <f t="shared" ca="1" si="19"/>
        <v/>
      </c>
    </row>
    <row r="1183" spans="1:1" x14ac:dyDescent="0.5">
      <c r="A1183" s="15" t="str">
        <f t="shared" ca="1" si="19"/>
        <v/>
      </c>
    </row>
    <row r="1184" spans="1:1" x14ac:dyDescent="0.5">
      <c r="A1184" s="15" t="str">
        <f t="shared" ca="1" si="19"/>
        <v/>
      </c>
    </row>
    <row r="1185" spans="1:1" x14ac:dyDescent="0.5">
      <c r="A1185" s="15" t="str">
        <f t="shared" ca="1" si="19"/>
        <v/>
      </c>
    </row>
    <row r="1186" spans="1:1" x14ac:dyDescent="0.5">
      <c r="A1186" s="15" t="str">
        <f t="shared" ca="1" si="19"/>
        <v/>
      </c>
    </row>
    <row r="1187" spans="1:1" x14ac:dyDescent="0.5">
      <c r="A1187" s="15" t="str">
        <f t="shared" ca="1" si="19"/>
        <v/>
      </c>
    </row>
    <row r="1188" spans="1:1" x14ac:dyDescent="0.5">
      <c r="A1188" s="15" t="str">
        <f t="shared" ca="1" si="19"/>
        <v/>
      </c>
    </row>
    <row r="1189" spans="1:1" x14ac:dyDescent="0.5">
      <c r="A1189" s="15" t="str">
        <f t="shared" ca="1" si="19"/>
        <v/>
      </c>
    </row>
    <row r="1190" spans="1:1" x14ac:dyDescent="0.5">
      <c r="A1190" s="15" t="str">
        <f t="shared" ca="1" si="19"/>
        <v/>
      </c>
    </row>
    <row r="1191" spans="1:1" x14ac:dyDescent="0.5">
      <c r="A1191" s="15" t="str">
        <f t="shared" ca="1" si="19"/>
        <v/>
      </c>
    </row>
    <row r="1192" spans="1:1" x14ac:dyDescent="0.5">
      <c r="A1192" s="15" t="str">
        <f t="shared" ca="1" si="19"/>
        <v/>
      </c>
    </row>
    <row r="1193" spans="1:1" x14ac:dyDescent="0.5">
      <c r="A1193" s="15" t="str">
        <f t="shared" ca="1" si="19"/>
        <v/>
      </c>
    </row>
    <row r="1194" spans="1:1" x14ac:dyDescent="0.5">
      <c r="A1194" s="15" t="str">
        <f t="shared" ca="1" si="19"/>
        <v/>
      </c>
    </row>
    <row r="1195" spans="1:1" x14ac:dyDescent="0.5">
      <c r="A1195" s="15" t="str">
        <f t="shared" ca="1" si="19"/>
        <v/>
      </c>
    </row>
    <row r="1196" spans="1:1" x14ac:dyDescent="0.5">
      <c r="A1196" s="15" t="str">
        <f t="shared" ca="1" si="19"/>
        <v/>
      </c>
    </row>
    <row r="1197" spans="1:1" x14ac:dyDescent="0.5">
      <c r="A1197" s="15" t="str">
        <f t="shared" ca="1" si="19"/>
        <v/>
      </c>
    </row>
    <row r="1198" spans="1:1" x14ac:dyDescent="0.5">
      <c r="A1198" s="15" t="str">
        <f t="shared" ca="1" si="19"/>
        <v/>
      </c>
    </row>
    <row r="1199" spans="1:1" x14ac:dyDescent="0.5">
      <c r="A1199" s="15" t="str">
        <f t="shared" ca="1" si="19"/>
        <v/>
      </c>
    </row>
    <row r="1200" spans="1:1" x14ac:dyDescent="0.5">
      <c r="A1200" s="15" t="str">
        <f t="shared" ca="1" si="19"/>
        <v/>
      </c>
    </row>
    <row r="1201" spans="1:1" x14ac:dyDescent="0.5">
      <c r="A1201" s="15" t="str">
        <f t="shared" ca="1" si="19"/>
        <v/>
      </c>
    </row>
    <row r="1202" spans="1:1" x14ac:dyDescent="0.5">
      <c r="A1202" s="15" t="str">
        <f t="shared" ca="1" si="19"/>
        <v/>
      </c>
    </row>
    <row r="1203" spans="1:1" x14ac:dyDescent="0.5">
      <c r="A1203" s="15" t="str">
        <f t="shared" ca="1" si="19"/>
        <v/>
      </c>
    </row>
    <row r="1204" spans="1:1" x14ac:dyDescent="0.5">
      <c r="A1204" s="15" t="str">
        <f t="shared" ca="1" si="19"/>
        <v/>
      </c>
    </row>
    <row r="1205" spans="1:1" x14ac:dyDescent="0.5">
      <c r="A1205" s="15" t="str">
        <f t="shared" ca="1" si="19"/>
        <v/>
      </c>
    </row>
    <row r="1206" spans="1:1" x14ac:dyDescent="0.5">
      <c r="A1206" s="15" t="str">
        <f t="shared" ca="1" si="19"/>
        <v/>
      </c>
    </row>
    <row r="1207" spans="1:1" x14ac:dyDescent="0.5">
      <c r="A1207" s="15" t="str">
        <f t="shared" ca="1" si="19"/>
        <v/>
      </c>
    </row>
    <row r="1208" spans="1:1" x14ac:dyDescent="0.5">
      <c r="A1208" s="15" t="str">
        <f t="shared" ca="1" si="19"/>
        <v/>
      </c>
    </row>
    <row r="1209" spans="1:1" x14ac:dyDescent="0.5">
      <c r="A1209" s="15" t="str">
        <f t="shared" ca="1" si="19"/>
        <v/>
      </c>
    </row>
    <row r="1210" spans="1:1" x14ac:dyDescent="0.5">
      <c r="A1210" s="15" t="str">
        <f t="shared" ca="1" si="19"/>
        <v/>
      </c>
    </row>
    <row r="1211" spans="1:1" x14ac:dyDescent="0.5">
      <c r="A1211" s="15" t="str">
        <f t="shared" ca="1" si="19"/>
        <v/>
      </c>
    </row>
    <row r="1212" spans="1:1" x14ac:dyDescent="0.5">
      <c r="A1212" s="15" t="str">
        <f t="shared" ca="1" si="19"/>
        <v/>
      </c>
    </row>
    <row r="1213" spans="1:1" x14ac:dyDescent="0.5">
      <c r="A1213" s="15" t="str">
        <f t="shared" ca="1" si="19"/>
        <v/>
      </c>
    </row>
    <row r="1214" spans="1:1" x14ac:dyDescent="0.5">
      <c r="A1214" s="15" t="str">
        <f t="shared" ca="1" si="19"/>
        <v/>
      </c>
    </row>
    <row r="1215" spans="1:1" x14ac:dyDescent="0.5">
      <c r="A1215" s="15" t="str">
        <f t="shared" ca="1" si="19"/>
        <v/>
      </c>
    </row>
    <row r="1216" spans="1:1" x14ac:dyDescent="0.5">
      <c r="A1216" s="15" t="str">
        <f t="shared" ca="1" si="19"/>
        <v/>
      </c>
    </row>
    <row r="1217" spans="1:1" x14ac:dyDescent="0.5">
      <c r="A1217" s="15" t="str">
        <f t="shared" ca="1" si="19"/>
        <v/>
      </c>
    </row>
    <row r="1218" spans="1:1" x14ac:dyDescent="0.5">
      <c r="A1218" s="15" t="str">
        <f t="shared" ca="1" si="19"/>
        <v/>
      </c>
    </row>
    <row r="1219" spans="1:1" x14ac:dyDescent="0.5">
      <c r="A1219" s="15" t="str">
        <f t="shared" ca="1" si="19"/>
        <v/>
      </c>
    </row>
    <row r="1220" spans="1:1" x14ac:dyDescent="0.5">
      <c r="A1220" s="15" t="str">
        <f t="shared" ca="1" si="19"/>
        <v/>
      </c>
    </row>
    <row r="1221" spans="1:1" x14ac:dyDescent="0.5">
      <c r="A1221" s="15" t="str">
        <f t="shared" ca="1" si="19"/>
        <v/>
      </c>
    </row>
    <row r="1222" spans="1:1" x14ac:dyDescent="0.5">
      <c r="A1222" s="15" t="str">
        <f t="shared" ca="1" si="19"/>
        <v/>
      </c>
    </row>
    <row r="1223" spans="1:1" x14ac:dyDescent="0.5">
      <c r="A1223" s="15" t="str">
        <f t="shared" ca="1" si="19"/>
        <v/>
      </c>
    </row>
    <row r="1224" spans="1:1" x14ac:dyDescent="0.5">
      <c r="A1224" s="15" t="str">
        <f t="shared" ca="1" si="19"/>
        <v/>
      </c>
    </row>
    <row r="1225" spans="1:1" x14ac:dyDescent="0.5">
      <c r="A1225" s="15" t="str">
        <f t="shared" ca="1" si="19"/>
        <v/>
      </c>
    </row>
    <row r="1226" spans="1:1" x14ac:dyDescent="0.5">
      <c r="A1226" s="15" t="str">
        <f t="shared" ca="1" si="19"/>
        <v/>
      </c>
    </row>
    <row r="1227" spans="1:1" x14ac:dyDescent="0.5">
      <c r="A1227" s="15" t="str">
        <f t="shared" ca="1" si="19"/>
        <v/>
      </c>
    </row>
    <row r="1228" spans="1:1" x14ac:dyDescent="0.5">
      <c r="A1228" s="15" t="str">
        <f t="shared" ca="1" si="19"/>
        <v/>
      </c>
    </row>
    <row r="1229" spans="1:1" x14ac:dyDescent="0.5">
      <c r="A1229" s="15" t="str">
        <f t="shared" ref="A1229:A1292" ca="1" si="20">IF(ROW()-12&lt;=$B$7,_xlfn.NORM.INV(RAND(),$B$5,$B$6),"")</f>
        <v/>
      </c>
    </row>
    <row r="1230" spans="1:1" x14ac:dyDescent="0.5">
      <c r="A1230" s="15" t="str">
        <f t="shared" ca="1" si="20"/>
        <v/>
      </c>
    </row>
    <row r="1231" spans="1:1" x14ac:dyDescent="0.5">
      <c r="A1231" s="15" t="str">
        <f t="shared" ca="1" si="20"/>
        <v/>
      </c>
    </row>
    <row r="1232" spans="1:1" x14ac:dyDescent="0.5">
      <c r="A1232" s="15" t="str">
        <f t="shared" ca="1" si="20"/>
        <v/>
      </c>
    </row>
    <row r="1233" spans="1:1" x14ac:dyDescent="0.5">
      <c r="A1233" s="15" t="str">
        <f t="shared" ca="1" si="20"/>
        <v/>
      </c>
    </row>
    <row r="1234" spans="1:1" x14ac:dyDescent="0.5">
      <c r="A1234" s="15" t="str">
        <f t="shared" ca="1" si="20"/>
        <v/>
      </c>
    </row>
    <row r="1235" spans="1:1" x14ac:dyDescent="0.5">
      <c r="A1235" s="15" t="str">
        <f t="shared" ca="1" si="20"/>
        <v/>
      </c>
    </row>
    <row r="1236" spans="1:1" x14ac:dyDescent="0.5">
      <c r="A1236" s="15" t="str">
        <f t="shared" ca="1" si="20"/>
        <v/>
      </c>
    </row>
    <row r="1237" spans="1:1" x14ac:dyDescent="0.5">
      <c r="A1237" s="15" t="str">
        <f t="shared" ca="1" si="20"/>
        <v/>
      </c>
    </row>
    <row r="1238" spans="1:1" x14ac:dyDescent="0.5">
      <c r="A1238" s="15" t="str">
        <f t="shared" ca="1" si="20"/>
        <v/>
      </c>
    </row>
    <row r="1239" spans="1:1" x14ac:dyDescent="0.5">
      <c r="A1239" s="15" t="str">
        <f t="shared" ca="1" si="20"/>
        <v/>
      </c>
    </row>
    <row r="1240" spans="1:1" x14ac:dyDescent="0.5">
      <c r="A1240" s="15" t="str">
        <f t="shared" ca="1" si="20"/>
        <v/>
      </c>
    </row>
    <row r="1241" spans="1:1" x14ac:dyDescent="0.5">
      <c r="A1241" s="15" t="str">
        <f t="shared" ca="1" si="20"/>
        <v/>
      </c>
    </row>
    <row r="1242" spans="1:1" x14ac:dyDescent="0.5">
      <c r="A1242" s="15" t="str">
        <f t="shared" ca="1" si="20"/>
        <v/>
      </c>
    </row>
    <row r="1243" spans="1:1" x14ac:dyDescent="0.5">
      <c r="A1243" s="15" t="str">
        <f t="shared" ca="1" si="20"/>
        <v/>
      </c>
    </row>
    <row r="1244" spans="1:1" x14ac:dyDescent="0.5">
      <c r="A1244" s="15" t="str">
        <f t="shared" ca="1" si="20"/>
        <v/>
      </c>
    </row>
    <row r="1245" spans="1:1" x14ac:dyDescent="0.5">
      <c r="A1245" s="15" t="str">
        <f t="shared" ca="1" si="20"/>
        <v/>
      </c>
    </row>
    <row r="1246" spans="1:1" x14ac:dyDescent="0.5">
      <c r="A1246" s="15" t="str">
        <f t="shared" ca="1" si="20"/>
        <v/>
      </c>
    </row>
    <row r="1247" spans="1:1" x14ac:dyDescent="0.5">
      <c r="A1247" s="15" t="str">
        <f t="shared" ca="1" si="20"/>
        <v/>
      </c>
    </row>
    <row r="1248" spans="1:1" x14ac:dyDescent="0.5">
      <c r="A1248" s="15" t="str">
        <f t="shared" ca="1" si="20"/>
        <v/>
      </c>
    </row>
    <row r="1249" spans="1:1" x14ac:dyDescent="0.5">
      <c r="A1249" s="15" t="str">
        <f t="shared" ca="1" si="20"/>
        <v/>
      </c>
    </row>
    <row r="1250" spans="1:1" x14ac:dyDescent="0.5">
      <c r="A1250" s="15" t="str">
        <f t="shared" ca="1" si="20"/>
        <v/>
      </c>
    </row>
    <row r="1251" spans="1:1" x14ac:dyDescent="0.5">
      <c r="A1251" s="15" t="str">
        <f t="shared" ca="1" si="20"/>
        <v/>
      </c>
    </row>
    <row r="1252" spans="1:1" x14ac:dyDescent="0.5">
      <c r="A1252" s="15" t="str">
        <f t="shared" ca="1" si="20"/>
        <v/>
      </c>
    </row>
    <row r="1253" spans="1:1" x14ac:dyDescent="0.5">
      <c r="A1253" s="15" t="str">
        <f t="shared" ca="1" si="20"/>
        <v/>
      </c>
    </row>
    <row r="1254" spans="1:1" x14ac:dyDescent="0.5">
      <c r="A1254" s="15" t="str">
        <f t="shared" ca="1" si="20"/>
        <v/>
      </c>
    </row>
    <row r="1255" spans="1:1" x14ac:dyDescent="0.5">
      <c r="A1255" s="15" t="str">
        <f t="shared" ca="1" si="20"/>
        <v/>
      </c>
    </row>
    <row r="1256" spans="1:1" x14ac:dyDescent="0.5">
      <c r="A1256" s="15" t="str">
        <f t="shared" ca="1" si="20"/>
        <v/>
      </c>
    </row>
    <row r="1257" spans="1:1" x14ac:dyDescent="0.5">
      <c r="A1257" s="15" t="str">
        <f t="shared" ca="1" si="20"/>
        <v/>
      </c>
    </row>
    <row r="1258" spans="1:1" x14ac:dyDescent="0.5">
      <c r="A1258" s="15" t="str">
        <f t="shared" ca="1" si="20"/>
        <v/>
      </c>
    </row>
    <row r="1259" spans="1:1" x14ac:dyDescent="0.5">
      <c r="A1259" s="15" t="str">
        <f t="shared" ca="1" si="20"/>
        <v/>
      </c>
    </row>
    <row r="1260" spans="1:1" x14ac:dyDescent="0.5">
      <c r="A1260" s="15" t="str">
        <f t="shared" ca="1" si="20"/>
        <v/>
      </c>
    </row>
    <row r="1261" spans="1:1" x14ac:dyDescent="0.5">
      <c r="A1261" s="15" t="str">
        <f t="shared" ca="1" si="20"/>
        <v/>
      </c>
    </row>
    <row r="1262" spans="1:1" x14ac:dyDescent="0.5">
      <c r="A1262" s="15" t="str">
        <f t="shared" ca="1" si="20"/>
        <v/>
      </c>
    </row>
    <row r="1263" spans="1:1" x14ac:dyDescent="0.5">
      <c r="A1263" s="15" t="str">
        <f t="shared" ca="1" si="20"/>
        <v/>
      </c>
    </row>
    <row r="1264" spans="1:1" x14ac:dyDescent="0.5">
      <c r="A1264" s="15" t="str">
        <f t="shared" ca="1" si="20"/>
        <v/>
      </c>
    </row>
    <row r="1265" spans="1:1" x14ac:dyDescent="0.5">
      <c r="A1265" s="15" t="str">
        <f t="shared" ca="1" si="20"/>
        <v/>
      </c>
    </row>
    <row r="1266" spans="1:1" x14ac:dyDescent="0.5">
      <c r="A1266" s="15" t="str">
        <f t="shared" ca="1" si="20"/>
        <v/>
      </c>
    </row>
    <row r="1267" spans="1:1" x14ac:dyDescent="0.5">
      <c r="A1267" s="15" t="str">
        <f t="shared" ca="1" si="20"/>
        <v/>
      </c>
    </row>
    <row r="1268" spans="1:1" x14ac:dyDescent="0.5">
      <c r="A1268" s="15" t="str">
        <f t="shared" ca="1" si="20"/>
        <v/>
      </c>
    </row>
    <row r="1269" spans="1:1" x14ac:dyDescent="0.5">
      <c r="A1269" s="15" t="str">
        <f t="shared" ca="1" si="20"/>
        <v/>
      </c>
    </row>
    <row r="1270" spans="1:1" x14ac:dyDescent="0.5">
      <c r="A1270" s="15" t="str">
        <f t="shared" ca="1" si="20"/>
        <v/>
      </c>
    </row>
    <row r="1271" spans="1:1" x14ac:dyDescent="0.5">
      <c r="A1271" s="15" t="str">
        <f t="shared" ca="1" si="20"/>
        <v/>
      </c>
    </row>
    <row r="1272" spans="1:1" x14ac:dyDescent="0.5">
      <c r="A1272" s="15" t="str">
        <f t="shared" ca="1" si="20"/>
        <v/>
      </c>
    </row>
    <row r="1273" spans="1:1" x14ac:dyDescent="0.5">
      <c r="A1273" s="15" t="str">
        <f t="shared" ca="1" si="20"/>
        <v/>
      </c>
    </row>
    <row r="1274" spans="1:1" x14ac:dyDescent="0.5">
      <c r="A1274" s="15" t="str">
        <f t="shared" ca="1" si="20"/>
        <v/>
      </c>
    </row>
    <row r="1275" spans="1:1" x14ac:dyDescent="0.5">
      <c r="A1275" s="15" t="str">
        <f t="shared" ca="1" si="20"/>
        <v/>
      </c>
    </row>
    <row r="1276" spans="1:1" x14ac:dyDescent="0.5">
      <c r="A1276" s="15" t="str">
        <f t="shared" ca="1" si="20"/>
        <v/>
      </c>
    </row>
    <row r="1277" spans="1:1" x14ac:dyDescent="0.5">
      <c r="A1277" s="15" t="str">
        <f t="shared" ca="1" si="20"/>
        <v/>
      </c>
    </row>
    <row r="1278" spans="1:1" x14ac:dyDescent="0.5">
      <c r="A1278" s="15" t="str">
        <f t="shared" ca="1" si="20"/>
        <v/>
      </c>
    </row>
    <row r="1279" spans="1:1" x14ac:dyDescent="0.5">
      <c r="A1279" s="15" t="str">
        <f t="shared" ca="1" si="20"/>
        <v/>
      </c>
    </row>
    <row r="1280" spans="1:1" x14ac:dyDescent="0.5">
      <c r="A1280" s="15" t="str">
        <f t="shared" ca="1" si="20"/>
        <v/>
      </c>
    </row>
    <row r="1281" spans="1:1" x14ac:dyDescent="0.5">
      <c r="A1281" s="15" t="str">
        <f t="shared" ca="1" si="20"/>
        <v/>
      </c>
    </row>
    <row r="1282" spans="1:1" x14ac:dyDescent="0.5">
      <c r="A1282" s="15" t="str">
        <f t="shared" ca="1" si="20"/>
        <v/>
      </c>
    </row>
    <row r="1283" spans="1:1" x14ac:dyDescent="0.5">
      <c r="A1283" s="15" t="str">
        <f t="shared" ca="1" si="20"/>
        <v/>
      </c>
    </row>
    <row r="1284" spans="1:1" x14ac:dyDescent="0.5">
      <c r="A1284" s="15" t="str">
        <f t="shared" ca="1" si="20"/>
        <v/>
      </c>
    </row>
    <row r="1285" spans="1:1" x14ac:dyDescent="0.5">
      <c r="A1285" s="15" t="str">
        <f t="shared" ca="1" si="20"/>
        <v/>
      </c>
    </row>
    <row r="1286" spans="1:1" x14ac:dyDescent="0.5">
      <c r="A1286" s="15" t="str">
        <f t="shared" ca="1" si="20"/>
        <v/>
      </c>
    </row>
    <row r="1287" spans="1:1" x14ac:dyDescent="0.5">
      <c r="A1287" s="15" t="str">
        <f t="shared" ca="1" si="20"/>
        <v/>
      </c>
    </row>
    <row r="1288" spans="1:1" x14ac:dyDescent="0.5">
      <c r="A1288" s="15" t="str">
        <f t="shared" ca="1" si="20"/>
        <v/>
      </c>
    </row>
    <row r="1289" spans="1:1" x14ac:dyDescent="0.5">
      <c r="A1289" s="15" t="str">
        <f t="shared" ca="1" si="20"/>
        <v/>
      </c>
    </row>
    <row r="1290" spans="1:1" x14ac:dyDescent="0.5">
      <c r="A1290" s="15" t="str">
        <f t="shared" ca="1" si="20"/>
        <v/>
      </c>
    </row>
    <row r="1291" spans="1:1" x14ac:dyDescent="0.5">
      <c r="A1291" s="15" t="str">
        <f t="shared" ca="1" si="20"/>
        <v/>
      </c>
    </row>
    <row r="1292" spans="1:1" x14ac:dyDescent="0.5">
      <c r="A1292" s="15" t="str">
        <f t="shared" ca="1" si="20"/>
        <v/>
      </c>
    </row>
    <row r="1293" spans="1:1" x14ac:dyDescent="0.5">
      <c r="A1293" s="15" t="str">
        <f t="shared" ref="A1293:A1356" ca="1" si="21">IF(ROW()-12&lt;=$B$7,_xlfn.NORM.INV(RAND(),$B$5,$B$6),"")</f>
        <v/>
      </c>
    </row>
    <row r="1294" spans="1:1" x14ac:dyDescent="0.5">
      <c r="A1294" s="15" t="str">
        <f t="shared" ca="1" si="21"/>
        <v/>
      </c>
    </row>
    <row r="1295" spans="1:1" x14ac:dyDescent="0.5">
      <c r="A1295" s="15" t="str">
        <f t="shared" ca="1" si="21"/>
        <v/>
      </c>
    </row>
    <row r="1296" spans="1:1" x14ac:dyDescent="0.5">
      <c r="A1296" s="15" t="str">
        <f t="shared" ca="1" si="21"/>
        <v/>
      </c>
    </row>
    <row r="1297" spans="1:1" x14ac:dyDescent="0.5">
      <c r="A1297" s="15" t="str">
        <f t="shared" ca="1" si="21"/>
        <v/>
      </c>
    </row>
    <row r="1298" spans="1:1" x14ac:dyDescent="0.5">
      <c r="A1298" s="15" t="str">
        <f t="shared" ca="1" si="21"/>
        <v/>
      </c>
    </row>
    <row r="1299" spans="1:1" x14ac:dyDescent="0.5">
      <c r="A1299" s="15" t="str">
        <f t="shared" ca="1" si="21"/>
        <v/>
      </c>
    </row>
    <row r="1300" spans="1:1" x14ac:dyDescent="0.5">
      <c r="A1300" s="15" t="str">
        <f t="shared" ca="1" si="21"/>
        <v/>
      </c>
    </row>
    <row r="1301" spans="1:1" x14ac:dyDescent="0.5">
      <c r="A1301" s="15" t="str">
        <f t="shared" ca="1" si="21"/>
        <v/>
      </c>
    </row>
    <row r="1302" spans="1:1" x14ac:dyDescent="0.5">
      <c r="A1302" s="15" t="str">
        <f t="shared" ca="1" si="21"/>
        <v/>
      </c>
    </row>
    <row r="1303" spans="1:1" x14ac:dyDescent="0.5">
      <c r="A1303" s="15" t="str">
        <f t="shared" ca="1" si="21"/>
        <v/>
      </c>
    </row>
    <row r="1304" spans="1:1" x14ac:dyDescent="0.5">
      <c r="A1304" s="15" t="str">
        <f t="shared" ca="1" si="21"/>
        <v/>
      </c>
    </row>
    <row r="1305" spans="1:1" x14ac:dyDescent="0.5">
      <c r="A1305" s="15" t="str">
        <f t="shared" ca="1" si="21"/>
        <v/>
      </c>
    </row>
    <row r="1306" spans="1:1" x14ac:dyDescent="0.5">
      <c r="A1306" s="15" t="str">
        <f t="shared" ca="1" si="21"/>
        <v/>
      </c>
    </row>
    <row r="1307" spans="1:1" x14ac:dyDescent="0.5">
      <c r="A1307" s="15" t="str">
        <f t="shared" ca="1" si="21"/>
        <v/>
      </c>
    </row>
    <row r="1308" spans="1:1" x14ac:dyDescent="0.5">
      <c r="A1308" s="15" t="str">
        <f t="shared" ca="1" si="21"/>
        <v/>
      </c>
    </row>
    <row r="1309" spans="1:1" x14ac:dyDescent="0.5">
      <c r="A1309" s="15" t="str">
        <f t="shared" ca="1" si="21"/>
        <v/>
      </c>
    </row>
    <row r="1310" spans="1:1" x14ac:dyDescent="0.5">
      <c r="A1310" s="15" t="str">
        <f t="shared" ca="1" si="21"/>
        <v/>
      </c>
    </row>
    <row r="1311" spans="1:1" x14ac:dyDescent="0.5">
      <c r="A1311" s="15" t="str">
        <f t="shared" ca="1" si="21"/>
        <v/>
      </c>
    </row>
    <row r="1312" spans="1:1" x14ac:dyDescent="0.5">
      <c r="A1312" s="15" t="str">
        <f t="shared" ca="1" si="21"/>
        <v/>
      </c>
    </row>
    <row r="1313" spans="1:1" x14ac:dyDescent="0.5">
      <c r="A1313" s="15" t="str">
        <f t="shared" ca="1" si="21"/>
        <v/>
      </c>
    </row>
    <row r="1314" spans="1:1" x14ac:dyDescent="0.5">
      <c r="A1314" s="15" t="str">
        <f t="shared" ca="1" si="21"/>
        <v/>
      </c>
    </row>
    <row r="1315" spans="1:1" x14ac:dyDescent="0.5">
      <c r="A1315" s="15" t="str">
        <f t="shared" ca="1" si="21"/>
        <v/>
      </c>
    </row>
    <row r="1316" spans="1:1" x14ac:dyDescent="0.5">
      <c r="A1316" s="15" t="str">
        <f t="shared" ca="1" si="21"/>
        <v/>
      </c>
    </row>
    <row r="1317" spans="1:1" x14ac:dyDescent="0.5">
      <c r="A1317" s="15" t="str">
        <f t="shared" ca="1" si="21"/>
        <v/>
      </c>
    </row>
    <row r="1318" spans="1:1" x14ac:dyDescent="0.5">
      <c r="A1318" s="15" t="str">
        <f t="shared" ca="1" si="21"/>
        <v/>
      </c>
    </row>
    <row r="1319" spans="1:1" x14ac:dyDescent="0.5">
      <c r="A1319" s="15" t="str">
        <f t="shared" ca="1" si="21"/>
        <v/>
      </c>
    </row>
    <row r="1320" spans="1:1" x14ac:dyDescent="0.5">
      <c r="A1320" s="15" t="str">
        <f t="shared" ca="1" si="21"/>
        <v/>
      </c>
    </row>
    <row r="1321" spans="1:1" x14ac:dyDescent="0.5">
      <c r="A1321" s="15" t="str">
        <f t="shared" ca="1" si="21"/>
        <v/>
      </c>
    </row>
    <row r="1322" spans="1:1" x14ac:dyDescent="0.5">
      <c r="A1322" s="15" t="str">
        <f t="shared" ca="1" si="21"/>
        <v/>
      </c>
    </row>
    <row r="1323" spans="1:1" x14ac:dyDescent="0.5">
      <c r="A1323" s="15" t="str">
        <f t="shared" ca="1" si="21"/>
        <v/>
      </c>
    </row>
    <row r="1324" spans="1:1" x14ac:dyDescent="0.5">
      <c r="A1324" s="15" t="str">
        <f t="shared" ca="1" si="21"/>
        <v/>
      </c>
    </row>
    <row r="1325" spans="1:1" x14ac:dyDescent="0.5">
      <c r="A1325" s="15" t="str">
        <f t="shared" ca="1" si="21"/>
        <v/>
      </c>
    </row>
    <row r="1326" spans="1:1" x14ac:dyDescent="0.5">
      <c r="A1326" s="15" t="str">
        <f t="shared" ca="1" si="21"/>
        <v/>
      </c>
    </row>
    <row r="1327" spans="1:1" x14ac:dyDescent="0.5">
      <c r="A1327" s="15" t="str">
        <f t="shared" ca="1" si="21"/>
        <v/>
      </c>
    </row>
    <row r="1328" spans="1:1" x14ac:dyDescent="0.5">
      <c r="A1328" s="15" t="str">
        <f t="shared" ca="1" si="21"/>
        <v/>
      </c>
    </row>
    <row r="1329" spans="1:1" x14ac:dyDescent="0.5">
      <c r="A1329" s="15" t="str">
        <f t="shared" ca="1" si="21"/>
        <v/>
      </c>
    </row>
    <row r="1330" spans="1:1" x14ac:dyDescent="0.5">
      <c r="A1330" s="15" t="str">
        <f t="shared" ca="1" si="21"/>
        <v/>
      </c>
    </row>
    <row r="1331" spans="1:1" x14ac:dyDescent="0.5">
      <c r="A1331" s="15" t="str">
        <f t="shared" ca="1" si="21"/>
        <v/>
      </c>
    </row>
    <row r="1332" spans="1:1" x14ac:dyDescent="0.5">
      <c r="A1332" s="15" t="str">
        <f t="shared" ca="1" si="21"/>
        <v/>
      </c>
    </row>
    <row r="1333" spans="1:1" x14ac:dyDescent="0.5">
      <c r="A1333" s="15" t="str">
        <f t="shared" ca="1" si="21"/>
        <v/>
      </c>
    </row>
    <row r="1334" spans="1:1" x14ac:dyDescent="0.5">
      <c r="A1334" s="15" t="str">
        <f t="shared" ca="1" si="21"/>
        <v/>
      </c>
    </row>
    <row r="1335" spans="1:1" x14ac:dyDescent="0.5">
      <c r="A1335" s="15" t="str">
        <f t="shared" ca="1" si="21"/>
        <v/>
      </c>
    </row>
    <row r="1336" spans="1:1" x14ac:dyDescent="0.5">
      <c r="A1336" s="15" t="str">
        <f t="shared" ca="1" si="21"/>
        <v/>
      </c>
    </row>
    <row r="1337" spans="1:1" x14ac:dyDescent="0.5">
      <c r="A1337" s="15" t="str">
        <f t="shared" ca="1" si="21"/>
        <v/>
      </c>
    </row>
    <row r="1338" spans="1:1" x14ac:dyDescent="0.5">
      <c r="A1338" s="15" t="str">
        <f t="shared" ca="1" si="21"/>
        <v/>
      </c>
    </row>
    <row r="1339" spans="1:1" x14ac:dyDescent="0.5">
      <c r="A1339" s="15" t="str">
        <f t="shared" ca="1" si="21"/>
        <v/>
      </c>
    </row>
    <row r="1340" spans="1:1" x14ac:dyDescent="0.5">
      <c r="A1340" s="15" t="str">
        <f t="shared" ca="1" si="21"/>
        <v/>
      </c>
    </row>
    <row r="1341" spans="1:1" x14ac:dyDescent="0.5">
      <c r="A1341" s="15" t="str">
        <f t="shared" ca="1" si="21"/>
        <v/>
      </c>
    </row>
    <row r="1342" spans="1:1" x14ac:dyDescent="0.5">
      <c r="A1342" s="15" t="str">
        <f t="shared" ca="1" si="21"/>
        <v/>
      </c>
    </row>
    <row r="1343" spans="1:1" x14ac:dyDescent="0.5">
      <c r="A1343" s="15" t="str">
        <f t="shared" ca="1" si="21"/>
        <v/>
      </c>
    </row>
    <row r="1344" spans="1:1" x14ac:dyDescent="0.5">
      <c r="A1344" s="15" t="str">
        <f t="shared" ca="1" si="21"/>
        <v/>
      </c>
    </row>
    <row r="1345" spans="1:1" x14ac:dyDescent="0.5">
      <c r="A1345" s="15" t="str">
        <f t="shared" ca="1" si="21"/>
        <v/>
      </c>
    </row>
    <row r="1346" spans="1:1" x14ac:dyDescent="0.5">
      <c r="A1346" s="15" t="str">
        <f t="shared" ca="1" si="21"/>
        <v/>
      </c>
    </row>
    <row r="1347" spans="1:1" x14ac:dyDescent="0.5">
      <c r="A1347" s="15" t="str">
        <f t="shared" ca="1" si="21"/>
        <v/>
      </c>
    </row>
    <row r="1348" spans="1:1" x14ac:dyDescent="0.5">
      <c r="A1348" s="15" t="str">
        <f t="shared" ca="1" si="21"/>
        <v/>
      </c>
    </row>
    <row r="1349" spans="1:1" x14ac:dyDescent="0.5">
      <c r="A1349" s="15" t="str">
        <f t="shared" ca="1" si="21"/>
        <v/>
      </c>
    </row>
    <row r="1350" spans="1:1" x14ac:dyDescent="0.5">
      <c r="A1350" s="15" t="str">
        <f t="shared" ca="1" si="21"/>
        <v/>
      </c>
    </row>
    <row r="1351" spans="1:1" x14ac:dyDescent="0.5">
      <c r="A1351" s="15" t="str">
        <f t="shared" ca="1" si="21"/>
        <v/>
      </c>
    </row>
    <row r="1352" spans="1:1" x14ac:dyDescent="0.5">
      <c r="A1352" s="15" t="str">
        <f t="shared" ca="1" si="21"/>
        <v/>
      </c>
    </row>
    <row r="1353" spans="1:1" x14ac:dyDescent="0.5">
      <c r="A1353" s="15" t="str">
        <f t="shared" ca="1" si="21"/>
        <v/>
      </c>
    </row>
    <row r="1354" spans="1:1" x14ac:dyDescent="0.5">
      <c r="A1354" s="15" t="str">
        <f t="shared" ca="1" si="21"/>
        <v/>
      </c>
    </row>
    <row r="1355" spans="1:1" x14ac:dyDescent="0.5">
      <c r="A1355" s="15" t="str">
        <f t="shared" ca="1" si="21"/>
        <v/>
      </c>
    </row>
    <row r="1356" spans="1:1" x14ac:dyDescent="0.5">
      <c r="A1356" s="15" t="str">
        <f t="shared" ca="1" si="21"/>
        <v/>
      </c>
    </row>
    <row r="1357" spans="1:1" x14ac:dyDescent="0.5">
      <c r="A1357" s="15" t="str">
        <f t="shared" ref="A1357:A1420" ca="1" si="22">IF(ROW()-12&lt;=$B$7,_xlfn.NORM.INV(RAND(),$B$5,$B$6),"")</f>
        <v/>
      </c>
    </row>
    <row r="1358" spans="1:1" x14ac:dyDescent="0.5">
      <c r="A1358" s="15" t="str">
        <f t="shared" ca="1" si="22"/>
        <v/>
      </c>
    </row>
    <row r="1359" spans="1:1" x14ac:dyDescent="0.5">
      <c r="A1359" s="15" t="str">
        <f t="shared" ca="1" si="22"/>
        <v/>
      </c>
    </row>
    <row r="1360" spans="1:1" x14ac:dyDescent="0.5">
      <c r="A1360" s="15" t="str">
        <f t="shared" ca="1" si="22"/>
        <v/>
      </c>
    </row>
    <row r="1361" spans="1:1" x14ac:dyDescent="0.5">
      <c r="A1361" s="15" t="str">
        <f t="shared" ca="1" si="22"/>
        <v/>
      </c>
    </row>
    <row r="1362" spans="1:1" x14ac:dyDescent="0.5">
      <c r="A1362" s="15" t="str">
        <f t="shared" ca="1" si="22"/>
        <v/>
      </c>
    </row>
    <row r="1363" spans="1:1" x14ac:dyDescent="0.5">
      <c r="A1363" s="15" t="str">
        <f t="shared" ca="1" si="22"/>
        <v/>
      </c>
    </row>
    <row r="1364" spans="1:1" x14ac:dyDescent="0.5">
      <c r="A1364" s="15" t="str">
        <f t="shared" ca="1" si="22"/>
        <v/>
      </c>
    </row>
    <row r="1365" spans="1:1" x14ac:dyDescent="0.5">
      <c r="A1365" s="15" t="str">
        <f t="shared" ca="1" si="22"/>
        <v/>
      </c>
    </row>
    <row r="1366" spans="1:1" x14ac:dyDescent="0.5">
      <c r="A1366" s="15" t="str">
        <f t="shared" ca="1" si="22"/>
        <v/>
      </c>
    </row>
    <row r="1367" spans="1:1" x14ac:dyDescent="0.5">
      <c r="A1367" s="15" t="str">
        <f t="shared" ca="1" si="22"/>
        <v/>
      </c>
    </row>
    <row r="1368" spans="1:1" x14ac:dyDescent="0.5">
      <c r="A1368" s="15" t="str">
        <f t="shared" ca="1" si="22"/>
        <v/>
      </c>
    </row>
    <row r="1369" spans="1:1" x14ac:dyDescent="0.5">
      <c r="A1369" s="15" t="str">
        <f t="shared" ca="1" si="22"/>
        <v/>
      </c>
    </row>
    <row r="1370" spans="1:1" x14ac:dyDescent="0.5">
      <c r="A1370" s="15" t="str">
        <f t="shared" ca="1" si="22"/>
        <v/>
      </c>
    </row>
    <row r="1371" spans="1:1" x14ac:dyDescent="0.5">
      <c r="A1371" s="15" t="str">
        <f t="shared" ca="1" si="22"/>
        <v/>
      </c>
    </row>
    <row r="1372" spans="1:1" x14ac:dyDescent="0.5">
      <c r="A1372" s="15" t="str">
        <f t="shared" ca="1" si="22"/>
        <v/>
      </c>
    </row>
    <row r="1373" spans="1:1" x14ac:dyDescent="0.5">
      <c r="A1373" s="15" t="str">
        <f t="shared" ca="1" si="22"/>
        <v/>
      </c>
    </row>
    <row r="1374" spans="1:1" x14ac:dyDescent="0.5">
      <c r="A1374" s="15" t="str">
        <f t="shared" ca="1" si="22"/>
        <v/>
      </c>
    </row>
    <row r="1375" spans="1:1" x14ac:dyDescent="0.5">
      <c r="A1375" s="15" t="str">
        <f t="shared" ca="1" si="22"/>
        <v/>
      </c>
    </row>
    <row r="1376" spans="1:1" x14ac:dyDescent="0.5">
      <c r="A1376" s="15" t="str">
        <f t="shared" ca="1" si="22"/>
        <v/>
      </c>
    </row>
    <row r="1377" spans="1:1" x14ac:dyDescent="0.5">
      <c r="A1377" s="15" t="str">
        <f t="shared" ca="1" si="22"/>
        <v/>
      </c>
    </row>
    <row r="1378" spans="1:1" x14ac:dyDescent="0.5">
      <c r="A1378" s="15" t="str">
        <f t="shared" ca="1" si="22"/>
        <v/>
      </c>
    </row>
    <row r="1379" spans="1:1" x14ac:dyDescent="0.5">
      <c r="A1379" s="15" t="str">
        <f t="shared" ca="1" si="22"/>
        <v/>
      </c>
    </row>
    <row r="1380" spans="1:1" x14ac:dyDescent="0.5">
      <c r="A1380" s="15" t="str">
        <f t="shared" ca="1" si="22"/>
        <v/>
      </c>
    </row>
    <row r="1381" spans="1:1" x14ac:dyDescent="0.5">
      <c r="A1381" s="15" t="str">
        <f t="shared" ca="1" si="22"/>
        <v/>
      </c>
    </row>
    <row r="1382" spans="1:1" x14ac:dyDescent="0.5">
      <c r="A1382" s="15" t="str">
        <f t="shared" ca="1" si="22"/>
        <v/>
      </c>
    </row>
    <row r="1383" spans="1:1" x14ac:dyDescent="0.5">
      <c r="A1383" s="15" t="str">
        <f t="shared" ca="1" si="22"/>
        <v/>
      </c>
    </row>
    <row r="1384" spans="1:1" x14ac:dyDescent="0.5">
      <c r="A1384" s="15" t="str">
        <f t="shared" ca="1" si="22"/>
        <v/>
      </c>
    </row>
    <row r="1385" spans="1:1" x14ac:dyDescent="0.5">
      <c r="A1385" s="15" t="str">
        <f t="shared" ca="1" si="22"/>
        <v/>
      </c>
    </row>
    <row r="1386" spans="1:1" x14ac:dyDescent="0.5">
      <c r="A1386" s="15" t="str">
        <f t="shared" ca="1" si="22"/>
        <v/>
      </c>
    </row>
    <row r="1387" spans="1:1" x14ac:dyDescent="0.5">
      <c r="A1387" s="15" t="str">
        <f t="shared" ca="1" si="22"/>
        <v/>
      </c>
    </row>
    <row r="1388" spans="1:1" x14ac:dyDescent="0.5">
      <c r="A1388" s="15" t="str">
        <f t="shared" ca="1" si="22"/>
        <v/>
      </c>
    </row>
    <row r="1389" spans="1:1" x14ac:dyDescent="0.5">
      <c r="A1389" s="15" t="str">
        <f t="shared" ca="1" si="22"/>
        <v/>
      </c>
    </row>
    <row r="1390" spans="1:1" x14ac:dyDescent="0.5">
      <c r="A1390" s="15" t="str">
        <f t="shared" ca="1" si="22"/>
        <v/>
      </c>
    </row>
    <row r="1391" spans="1:1" x14ac:dyDescent="0.5">
      <c r="A1391" s="15" t="str">
        <f t="shared" ca="1" si="22"/>
        <v/>
      </c>
    </row>
    <row r="1392" spans="1:1" x14ac:dyDescent="0.5">
      <c r="A1392" s="15" t="str">
        <f t="shared" ca="1" si="22"/>
        <v/>
      </c>
    </row>
    <row r="1393" spans="1:1" x14ac:dyDescent="0.5">
      <c r="A1393" s="15" t="str">
        <f t="shared" ca="1" si="22"/>
        <v/>
      </c>
    </row>
    <row r="1394" spans="1:1" x14ac:dyDescent="0.5">
      <c r="A1394" s="15" t="str">
        <f t="shared" ca="1" si="22"/>
        <v/>
      </c>
    </row>
    <row r="1395" spans="1:1" x14ac:dyDescent="0.5">
      <c r="A1395" s="15" t="str">
        <f t="shared" ca="1" si="22"/>
        <v/>
      </c>
    </row>
    <row r="1396" spans="1:1" x14ac:dyDescent="0.5">
      <c r="A1396" s="15" t="str">
        <f t="shared" ca="1" si="22"/>
        <v/>
      </c>
    </row>
    <row r="1397" spans="1:1" x14ac:dyDescent="0.5">
      <c r="A1397" s="15" t="str">
        <f t="shared" ca="1" si="22"/>
        <v/>
      </c>
    </row>
    <row r="1398" spans="1:1" x14ac:dyDescent="0.5">
      <c r="A1398" s="15" t="str">
        <f t="shared" ca="1" si="22"/>
        <v/>
      </c>
    </row>
    <row r="1399" spans="1:1" x14ac:dyDescent="0.5">
      <c r="A1399" s="15" t="str">
        <f t="shared" ca="1" si="22"/>
        <v/>
      </c>
    </row>
    <row r="1400" spans="1:1" x14ac:dyDescent="0.5">
      <c r="A1400" s="15" t="str">
        <f t="shared" ca="1" si="22"/>
        <v/>
      </c>
    </row>
    <row r="1401" spans="1:1" x14ac:dyDescent="0.5">
      <c r="A1401" s="15" t="str">
        <f t="shared" ca="1" si="22"/>
        <v/>
      </c>
    </row>
    <row r="1402" spans="1:1" x14ac:dyDescent="0.5">
      <c r="A1402" s="15" t="str">
        <f t="shared" ca="1" si="22"/>
        <v/>
      </c>
    </row>
    <row r="1403" spans="1:1" x14ac:dyDescent="0.5">
      <c r="A1403" s="15" t="str">
        <f t="shared" ca="1" si="22"/>
        <v/>
      </c>
    </row>
    <row r="1404" spans="1:1" x14ac:dyDescent="0.5">
      <c r="A1404" s="15" t="str">
        <f t="shared" ca="1" si="22"/>
        <v/>
      </c>
    </row>
    <row r="1405" spans="1:1" x14ac:dyDescent="0.5">
      <c r="A1405" s="15" t="str">
        <f t="shared" ca="1" si="22"/>
        <v/>
      </c>
    </row>
    <row r="1406" spans="1:1" x14ac:dyDescent="0.5">
      <c r="A1406" s="15" t="str">
        <f t="shared" ca="1" si="22"/>
        <v/>
      </c>
    </row>
    <row r="1407" spans="1:1" x14ac:dyDescent="0.5">
      <c r="A1407" s="15" t="str">
        <f t="shared" ca="1" si="22"/>
        <v/>
      </c>
    </row>
    <row r="1408" spans="1:1" x14ac:dyDescent="0.5">
      <c r="A1408" s="15" t="str">
        <f t="shared" ca="1" si="22"/>
        <v/>
      </c>
    </row>
    <row r="1409" spans="1:1" x14ac:dyDescent="0.5">
      <c r="A1409" s="15" t="str">
        <f t="shared" ca="1" si="22"/>
        <v/>
      </c>
    </row>
    <row r="1410" spans="1:1" x14ac:dyDescent="0.5">
      <c r="A1410" s="15" t="str">
        <f t="shared" ca="1" si="22"/>
        <v/>
      </c>
    </row>
    <row r="1411" spans="1:1" x14ac:dyDescent="0.5">
      <c r="A1411" s="15" t="str">
        <f t="shared" ca="1" si="22"/>
        <v/>
      </c>
    </row>
    <row r="1412" spans="1:1" x14ac:dyDescent="0.5">
      <c r="A1412" s="15" t="str">
        <f t="shared" ca="1" si="22"/>
        <v/>
      </c>
    </row>
    <row r="1413" spans="1:1" x14ac:dyDescent="0.5">
      <c r="A1413" s="15" t="str">
        <f t="shared" ca="1" si="22"/>
        <v/>
      </c>
    </row>
    <row r="1414" spans="1:1" x14ac:dyDescent="0.5">
      <c r="A1414" s="15" t="str">
        <f t="shared" ca="1" si="22"/>
        <v/>
      </c>
    </row>
    <row r="1415" spans="1:1" x14ac:dyDescent="0.5">
      <c r="A1415" s="15" t="str">
        <f t="shared" ca="1" si="22"/>
        <v/>
      </c>
    </row>
    <row r="1416" spans="1:1" x14ac:dyDescent="0.5">
      <c r="A1416" s="15" t="str">
        <f t="shared" ca="1" si="22"/>
        <v/>
      </c>
    </row>
    <row r="1417" spans="1:1" x14ac:dyDescent="0.5">
      <c r="A1417" s="15" t="str">
        <f t="shared" ca="1" si="22"/>
        <v/>
      </c>
    </row>
    <row r="1418" spans="1:1" x14ac:dyDescent="0.5">
      <c r="A1418" s="15" t="str">
        <f t="shared" ca="1" si="22"/>
        <v/>
      </c>
    </row>
    <row r="1419" spans="1:1" x14ac:dyDescent="0.5">
      <c r="A1419" s="15" t="str">
        <f t="shared" ca="1" si="22"/>
        <v/>
      </c>
    </row>
    <row r="1420" spans="1:1" x14ac:dyDescent="0.5">
      <c r="A1420" s="15" t="str">
        <f t="shared" ca="1" si="22"/>
        <v/>
      </c>
    </row>
    <row r="1421" spans="1:1" x14ac:dyDescent="0.5">
      <c r="A1421" s="15" t="str">
        <f t="shared" ref="A1421:A1484" ca="1" si="23">IF(ROW()-12&lt;=$B$7,_xlfn.NORM.INV(RAND(),$B$5,$B$6),"")</f>
        <v/>
      </c>
    </row>
    <row r="1422" spans="1:1" x14ac:dyDescent="0.5">
      <c r="A1422" s="15" t="str">
        <f t="shared" ca="1" si="23"/>
        <v/>
      </c>
    </row>
    <row r="1423" spans="1:1" x14ac:dyDescent="0.5">
      <c r="A1423" s="15" t="str">
        <f t="shared" ca="1" si="23"/>
        <v/>
      </c>
    </row>
    <row r="1424" spans="1:1" x14ac:dyDescent="0.5">
      <c r="A1424" s="15" t="str">
        <f t="shared" ca="1" si="23"/>
        <v/>
      </c>
    </row>
    <row r="1425" spans="1:1" x14ac:dyDescent="0.5">
      <c r="A1425" s="15" t="str">
        <f t="shared" ca="1" si="23"/>
        <v/>
      </c>
    </row>
    <row r="1426" spans="1:1" x14ac:dyDescent="0.5">
      <c r="A1426" s="15" t="str">
        <f t="shared" ca="1" si="23"/>
        <v/>
      </c>
    </row>
    <row r="1427" spans="1:1" x14ac:dyDescent="0.5">
      <c r="A1427" s="15" t="str">
        <f t="shared" ca="1" si="23"/>
        <v/>
      </c>
    </row>
    <row r="1428" spans="1:1" x14ac:dyDescent="0.5">
      <c r="A1428" s="15" t="str">
        <f t="shared" ca="1" si="23"/>
        <v/>
      </c>
    </row>
    <row r="1429" spans="1:1" x14ac:dyDescent="0.5">
      <c r="A1429" s="15" t="str">
        <f t="shared" ca="1" si="23"/>
        <v/>
      </c>
    </row>
    <row r="1430" spans="1:1" x14ac:dyDescent="0.5">
      <c r="A1430" s="15" t="str">
        <f t="shared" ca="1" si="23"/>
        <v/>
      </c>
    </row>
    <row r="1431" spans="1:1" x14ac:dyDescent="0.5">
      <c r="A1431" s="15" t="str">
        <f t="shared" ca="1" si="23"/>
        <v/>
      </c>
    </row>
    <row r="1432" spans="1:1" x14ac:dyDescent="0.5">
      <c r="A1432" s="15" t="str">
        <f t="shared" ca="1" si="23"/>
        <v/>
      </c>
    </row>
    <row r="1433" spans="1:1" x14ac:dyDescent="0.5">
      <c r="A1433" s="15" t="str">
        <f t="shared" ca="1" si="23"/>
        <v/>
      </c>
    </row>
    <row r="1434" spans="1:1" x14ac:dyDescent="0.5">
      <c r="A1434" s="15" t="str">
        <f t="shared" ca="1" si="23"/>
        <v/>
      </c>
    </row>
    <row r="1435" spans="1:1" x14ac:dyDescent="0.5">
      <c r="A1435" s="15" t="str">
        <f t="shared" ca="1" si="23"/>
        <v/>
      </c>
    </row>
    <row r="1436" spans="1:1" x14ac:dyDescent="0.5">
      <c r="A1436" s="15" t="str">
        <f t="shared" ca="1" si="23"/>
        <v/>
      </c>
    </row>
    <row r="1437" spans="1:1" x14ac:dyDescent="0.5">
      <c r="A1437" s="15" t="str">
        <f t="shared" ca="1" si="23"/>
        <v/>
      </c>
    </row>
    <row r="1438" spans="1:1" x14ac:dyDescent="0.5">
      <c r="A1438" s="15" t="str">
        <f t="shared" ca="1" si="23"/>
        <v/>
      </c>
    </row>
    <row r="1439" spans="1:1" x14ac:dyDescent="0.5">
      <c r="A1439" s="15" t="str">
        <f t="shared" ca="1" si="23"/>
        <v/>
      </c>
    </row>
    <row r="1440" spans="1:1" x14ac:dyDescent="0.5">
      <c r="A1440" s="15" t="str">
        <f t="shared" ca="1" si="23"/>
        <v/>
      </c>
    </row>
    <row r="1441" spans="1:1" x14ac:dyDescent="0.5">
      <c r="A1441" s="15" t="str">
        <f t="shared" ca="1" si="23"/>
        <v/>
      </c>
    </row>
    <row r="1442" spans="1:1" x14ac:dyDescent="0.5">
      <c r="A1442" s="15" t="str">
        <f t="shared" ca="1" si="23"/>
        <v/>
      </c>
    </row>
    <row r="1443" spans="1:1" x14ac:dyDescent="0.5">
      <c r="A1443" s="15" t="str">
        <f t="shared" ca="1" si="23"/>
        <v/>
      </c>
    </row>
    <row r="1444" spans="1:1" x14ac:dyDescent="0.5">
      <c r="A1444" s="15" t="str">
        <f t="shared" ca="1" si="23"/>
        <v/>
      </c>
    </row>
    <row r="1445" spans="1:1" x14ac:dyDescent="0.5">
      <c r="A1445" s="15" t="str">
        <f t="shared" ca="1" si="23"/>
        <v/>
      </c>
    </row>
    <row r="1446" spans="1:1" x14ac:dyDescent="0.5">
      <c r="A1446" s="15" t="str">
        <f t="shared" ca="1" si="23"/>
        <v/>
      </c>
    </row>
    <row r="1447" spans="1:1" x14ac:dyDescent="0.5">
      <c r="A1447" s="15" t="str">
        <f t="shared" ca="1" si="23"/>
        <v/>
      </c>
    </row>
    <row r="1448" spans="1:1" x14ac:dyDescent="0.5">
      <c r="A1448" s="15" t="str">
        <f t="shared" ca="1" si="23"/>
        <v/>
      </c>
    </row>
    <row r="1449" spans="1:1" x14ac:dyDescent="0.5">
      <c r="A1449" s="15" t="str">
        <f t="shared" ca="1" si="23"/>
        <v/>
      </c>
    </row>
    <row r="1450" spans="1:1" x14ac:dyDescent="0.5">
      <c r="A1450" s="15" t="str">
        <f t="shared" ca="1" si="23"/>
        <v/>
      </c>
    </row>
    <row r="1451" spans="1:1" x14ac:dyDescent="0.5">
      <c r="A1451" s="15" t="str">
        <f t="shared" ca="1" si="23"/>
        <v/>
      </c>
    </row>
    <row r="1452" spans="1:1" x14ac:dyDescent="0.5">
      <c r="A1452" s="15" t="str">
        <f t="shared" ca="1" si="23"/>
        <v/>
      </c>
    </row>
    <row r="1453" spans="1:1" x14ac:dyDescent="0.5">
      <c r="A1453" s="15" t="str">
        <f t="shared" ca="1" si="23"/>
        <v/>
      </c>
    </row>
    <row r="1454" spans="1:1" x14ac:dyDescent="0.5">
      <c r="A1454" s="15" t="str">
        <f t="shared" ca="1" si="23"/>
        <v/>
      </c>
    </row>
    <row r="1455" spans="1:1" x14ac:dyDescent="0.5">
      <c r="A1455" s="15" t="str">
        <f t="shared" ca="1" si="23"/>
        <v/>
      </c>
    </row>
    <row r="1456" spans="1:1" x14ac:dyDescent="0.5">
      <c r="A1456" s="15" t="str">
        <f t="shared" ca="1" si="23"/>
        <v/>
      </c>
    </row>
    <row r="1457" spans="1:1" x14ac:dyDescent="0.5">
      <c r="A1457" s="15" t="str">
        <f t="shared" ca="1" si="23"/>
        <v/>
      </c>
    </row>
    <row r="1458" spans="1:1" x14ac:dyDescent="0.5">
      <c r="A1458" s="15" t="str">
        <f t="shared" ca="1" si="23"/>
        <v/>
      </c>
    </row>
    <row r="1459" spans="1:1" x14ac:dyDescent="0.5">
      <c r="A1459" s="15" t="str">
        <f t="shared" ca="1" si="23"/>
        <v/>
      </c>
    </row>
    <row r="1460" spans="1:1" x14ac:dyDescent="0.5">
      <c r="A1460" s="15" t="str">
        <f t="shared" ca="1" si="23"/>
        <v/>
      </c>
    </row>
    <row r="1461" spans="1:1" x14ac:dyDescent="0.5">
      <c r="A1461" s="15" t="str">
        <f t="shared" ca="1" si="23"/>
        <v/>
      </c>
    </row>
    <row r="1462" spans="1:1" x14ac:dyDescent="0.5">
      <c r="A1462" s="15" t="str">
        <f t="shared" ca="1" si="23"/>
        <v/>
      </c>
    </row>
    <row r="1463" spans="1:1" x14ac:dyDescent="0.5">
      <c r="A1463" s="15" t="str">
        <f t="shared" ca="1" si="23"/>
        <v/>
      </c>
    </row>
    <row r="1464" spans="1:1" x14ac:dyDescent="0.5">
      <c r="A1464" s="15" t="str">
        <f t="shared" ca="1" si="23"/>
        <v/>
      </c>
    </row>
    <row r="1465" spans="1:1" x14ac:dyDescent="0.5">
      <c r="A1465" s="15" t="str">
        <f t="shared" ca="1" si="23"/>
        <v/>
      </c>
    </row>
    <row r="1466" spans="1:1" x14ac:dyDescent="0.5">
      <c r="A1466" s="15" t="str">
        <f t="shared" ca="1" si="23"/>
        <v/>
      </c>
    </row>
    <row r="1467" spans="1:1" x14ac:dyDescent="0.5">
      <c r="A1467" s="15" t="str">
        <f t="shared" ca="1" si="23"/>
        <v/>
      </c>
    </row>
    <row r="1468" spans="1:1" x14ac:dyDescent="0.5">
      <c r="A1468" s="15" t="str">
        <f t="shared" ca="1" si="23"/>
        <v/>
      </c>
    </row>
    <row r="1469" spans="1:1" x14ac:dyDescent="0.5">
      <c r="A1469" s="15" t="str">
        <f t="shared" ca="1" si="23"/>
        <v/>
      </c>
    </row>
    <row r="1470" spans="1:1" x14ac:dyDescent="0.5">
      <c r="A1470" s="15" t="str">
        <f t="shared" ca="1" si="23"/>
        <v/>
      </c>
    </row>
    <row r="1471" spans="1:1" x14ac:dyDescent="0.5">
      <c r="A1471" s="15" t="str">
        <f t="shared" ca="1" si="23"/>
        <v/>
      </c>
    </row>
    <row r="1472" spans="1:1" x14ac:dyDescent="0.5">
      <c r="A1472" s="15" t="str">
        <f t="shared" ca="1" si="23"/>
        <v/>
      </c>
    </row>
    <row r="1473" spans="1:1" x14ac:dyDescent="0.5">
      <c r="A1473" s="15" t="str">
        <f t="shared" ca="1" si="23"/>
        <v/>
      </c>
    </row>
    <row r="1474" spans="1:1" x14ac:dyDescent="0.5">
      <c r="A1474" s="15" t="str">
        <f t="shared" ca="1" si="23"/>
        <v/>
      </c>
    </row>
    <row r="1475" spans="1:1" x14ac:dyDescent="0.5">
      <c r="A1475" s="15" t="str">
        <f t="shared" ca="1" si="23"/>
        <v/>
      </c>
    </row>
    <row r="1476" spans="1:1" x14ac:dyDescent="0.5">
      <c r="A1476" s="15" t="str">
        <f t="shared" ca="1" si="23"/>
        <v/>
      </c>
    </row>
    <row r="1477" spans="1:1" x14ac:dyDescent="0.5">
      <c r="A1477" s="15" t="str">
        <f t="shared" ca="1" si="23"/>
        <v/>
      </c>
    </row>
    <row r="1478" spans="1:1" x14ac:dyDescent="0.5">
      <c r="A1478" s="15" t="str">
        <f t="shared" ca="1" si="23"/>
        <v/>
      </c>
    </row>
    <row r="1479" spans="1:1" x14ac:dyDescent="0.5">
      <c r="A1479" s="15" t="str">
        <f t="shared" ca="1" si="23"/>
        <v/>
      </c>
    </row>
    <row r="1480" spans="1:1" x14ac:dyDescent="0.5">
      <c r="A1480" s="15" t="str">
        <f t="shared" ca="1" si="23"/>
        <v/>
      </c>
    </row>
    <row r="1481" spans="1:1" x14ac:dyDescent="0.5">
      <c r="A1481" s="15" t="str">
        <f t="shared" ca="1" si="23"/>
        <v/>
      </c>
    </row>
    <row r="1482" spans="1:1" x14ac:dyDescent="0.5">
      <c r="A1482" s="15" t="str">
        <f t="shared" ca="1" si="23"/>
        <v/>
      </c>
    </row>
    <row r="1483" spans="1:1" x14ac:dyDescent="0.5">
      <c r="A1483" s="15" t="str">
        <f t="shared" ca="1" si="23"/>
        <v/>
      </c>
    </row>
    <row r="1484" spans="1:1" x14ac:dyDescent="0.5">
      <c r="A1484" s="15" t="str">
        <f t="shared" ca="1" si="23"/>
        <v/>
      </c>
    </row>
    <row r="1485" spans="1:1" x14ac:dyDescent="0.5">
      <c r="A1485" s="15" t="str">
        <f t="shared" ref="A1485:A1548" ca="1" si="24">IF(ROW()-12&lt;=$B$7,_xlfn.NORM.INV(RAND(),$B$5,$B$6),"")</f>
        <v/>
      </c>
    </row>
    <row r="1486" spans="1:1" x14ac:dyDescent="0.5">
      <c r="A1486" s="15" t="str">
        <f t="shared" ca="1" si="24"/>
        <v/>
      </c>
    </row>
    <row r="1487" spans="1:1" x14ac:dyDescent="0.5">
      <c r="A1487" s="15" t="str">
        <f t="shared" ca="1" si="24"/>
        <v/>
      </c>
    </row>
    <row r="1488" spans="1:1" x14ac:dyDescent="0.5">
      <c r="A1488" s="15" t="str">
        <f t="shared" ca="1" si="24"/>
        <v/>
      </c>
    </row>
    <row r="1489" spans="1:1" x14ac:dyDescent="0.5">
      <c r="A1489" s="15" t="str">
        <f t="shared" ca="1" si="24"/>
        <v/>
      </c>
    </row>
    <row r="1490" spans="1:1" x14ac:dyDescent="0.5">
      <c r="A1490" s="15" t="str">
        <f t="shared" ca="1" si="24"/>
        <v/>
      </c>
    </row>
    <row r="1491" spans="1:1" x14ac:dyDescent="0.5">
      <c r="A1491" s="15" t="str">
        <f t="shared" ca="1" si="24"/>
        <v/>
      </c>
    </row>
    <row r="1492" spans="1:1" x14ac:dyDescent="0.5">
      <c r="A1492" s="15" t="str">
        <f t="shared" ca="1" si="24"/>
        <v/>
      </c>
    </row>
    <row r="1493" spans="1:1" x14ac:dyDescent="0.5">
      <c r="A1493" s="15" t="str">
        <f t="shared" ca="1" si="24"/>
        <v/>
      </c>
    </row>
    <row r="1494" spans="1:1" x14ac:dyDescent="0.5">
      <c r="A1494" s="15" t="str">
        <f t="shared" ca="1" si="24"/>
        <v/>
      </c>
    </row>
    <row r="1495" spans="1:1" x14ac:dyDescent="0.5">
      <c r="A1495" s="15" t="str">
        <f t="shared" ca="1" si="24"/>
        <v/>
      </c>
    </row>
    <row r="1496" spans="1:1" x14ac:dyDescent="0.5">
      <c r="A1496" s="15" t="str">
        <f t="shared" ca="1" si="24"/>
        <v/>
      </c>
    </row>
    <row r="1497" spans="1:1" x14ac:dyDescent="0.5">
      <c r="A1497" s="15" t="str">
        <f t="shared" ca="1" si="24"/>
        <v/>
      </c>
    </row>
    <row r="1498" spans="1:1" x14ac:dyDescent="0.5">
      <c r="A1498" s="15" t="str">
        <f t="shared" ca="1" si="24"/>
        <v/>
      </c>
    </row>
    <row r="1499" spans="1:1" x14ac:dyDescent="0.5">
      <c r="A1499" s="15" t="str">
        <f t="shared" ca="1" si="24"/>
        <v/>
      </c>
    </row>
    <row r="1500" spans="1:1" x14ac:dyDescent="0.5">
      <c r="A1500" s="15" t="str">
        <f t="shared" ca="1" si="24"/>
        <v/>
      </c>
    </row>
    <row r="1501" spans="1:1" x14ac:dyDescent="0.5">
      <c r="A1501" s="15" t="str">
        <f t="shared" ca="1" si="24"/>
        <v/>
      </c>
    </row>
    <row r="1502" spans="1:1" x14ac:dyDescent="0.5">
      <c r="A1502" s="15" t="str">
        <f t="shared" ca="1" si="24"/>
        <v/>
      </c>
    </row>
    <row r="1503" spans="1:1" x14ac:dyDescent="0.5">
      <c r="A1503" s="15" t="str">
        <f t="shared" ca="1" si="24"/>
        <v/>
      </c>
    </row>
    <row r="1504" spans="1:1" x14ac:dyDescent="0.5">
      <c r="A1504" s="15" t="str">
        <f t="shared" ca="1" si="24"/>
        <v/>
      </c>
    </row>
    <row r="1505" spans="1:1" x14ac:dyDescent="0.5">
      <c r="A1505" s="15" t="str">
        <f t="shared" ca="1" si="24"/>
        <v/>
      </c>
    </row>
    <row r="1506" spans="1:1" x14ac:dyDescent="0.5">
      <c r="A1506" s="15" t="str">
        <f t="shared" ca="1" si="24"/>
        <v/>
      </c>
    </row>
    <row r="1507" spans="1:1" x14ac:dyDescent="0.5">
      <c r="A1507" s="15" t="str">
        <f t="shared" ca="1" si="24"/>
        <v/>
      </c>
    </row>
    <row r="1508" spans="1:1" x14ac:dyDescent="0.5">
      <c r="A1508" s="15" t="str">
        <f t="shared" ca="1" si="24"/>
        <v/>
      </c>
    </row>
    <row r="1509" spans="1:1" x14ac:dyDescent="0.5">
      <c r="A1509" s="15" t="str">
        <f t="shared" ca="1" si="24"/>
        <v/>
      </c>
    </row>
    <row r="1510" spans="1:1" x14ac:dyDescent="0.5">
      <c r="A1510" s="15" t="str">
        <f t="shared" ca="1" si="24"/>
        <v/>
      </c>
    </row>
    <row r="1511" spans="1:1" x14ac:dyDescent="0.5">
      <c r="A1511" s="15" t="str">
        <f t="shared" ca="1" si="24"/>
        <v/>
      </c>
    </row>
    <row r="1512" spans="1:1" x14ac:dyDescent="0.5">
      <c r="A1512" s="15" t="str">
        <f t="shared" ca="1" si="24"/>
        <v/>
      </c>
    </row>
    <row r="1513" spans="1:1" x14ac:dyDescent="0.5">
      <c r="A1513" s="15" t="str">
        <f t="shared" ca="1" si="24"/>
        <v/>
      </c>
    </row>
    <row r="1514" spans="1:1" x14ac:dyDescent="0.5">
      <c r="A1514" s="15" t="str">
        <f t="shared" ca="1" si="24"/>
        <v/>
      </c>
    </row>
    <row r="1515" spans="1:1" x14ac:dyDescent="0.5">
      <c r="A1515" s="15" t="str">
        <f t="shared" ca="1" si="24"/>
        <v/>
      </c>
    </row>
    <row r="1516" spans="1:1" x14ac:dyDescent="0.5">
      <c r="A1516" s="15" t="str">
        <f t="shared" ca="1" si="24"/>
        <v/>
      </c>
    </row>
    <row r="1517" spans="1:1" x14ac:dyDescent="0.5">
      <c r="A1517" s="15" t="str">
        <f t="shared" ca="1" si="24"/>
        <v/>
      </c>
    </row>
    <row r="1518" spans="1:1" x14ac:dyDescent="0.5">
      <c r="A1518" s="15" t="str">
        <f t="shared" ca="1" si="24"/>
        <v/>
      </c>
    </row>
    <row r="1519" spans="1:1" x14ac:dyDescent="0.5">
      <c r="A1519" s="15" t="str">
        <f t="shared" ca="1" si="24"/>
        <v/>
      </c>
    </row>
    <row r="1520" spans="1:1" x14ac:dyDescent="0.5">
      <c r="A1520" s="15" t="str">
        <f t="shared" ca="1" si="24"/>
        <v/>
      </c>
    </row>
    <row r="1521" spans="1:1" x14ac:dyDescent="0.5">
      <c r="A1521" s="15" t="str">
        <f t="shared" ca="1" si="24"/>
        <v/>
      </c>
    </row>
    <row r="1522" spans="1:1" x14ac:dyDescent="0.5">
      <c r="A1522" s="15" t="str">
        <f t="shared" ca="1" si="24"/>
        <v/>
      </c>
    </row>
    <row r="1523" spans="1:1" x14ac:dyDescent="0.5">
      <c r="A1523" s="15" t="str">
        <f t="shared" ca="1" si="24"/>
        <v/>
      </c>
    </row>
    <row r="1524" spans="1:1" x14ac:dyDescent="0.5">
      <c r="A1524" s="15" t="str">
        <f t="shared" ca="1" si="24"/>
        <v/>
      </c>
    </row>
    <row r="1525" spans="1:1" x14ac:dyDescent="0.5">
      <c r="A1525" s="15" t="str">
        <f t="shared" ca="1" si="24"/>
        <v/>
      </c>
    </row>
    <row r="1526" spans="1:1" x14ac:dyDescent="0.5">
      <c r="A1526" s="15" t="str">
        <f t="shared" ca="1" si="24"/>
        <v/>
      </c>
    </row>
    <row r="1527" spans="1:1" x14ac:dyDescent="0.5">
      <c r="A1527" s="15" t="str">
        <f t="shared" ca="1" si="24"/>
        <v/>
      </c>
    </row>
    <row r="1528" spans="1:1" x14ac:dyDescent="0.5">
      <c r="A1528" s="15" t="str">
        <f t="shared" ca="1" si="24"/>
        <v/>
      </c>
    </row>
    <row r="1529" spans="1:1" x14ac:dyDescent="0.5">
      <c r="A1529" s="15" t="str">
        <f t="shared" ca="1" si="24"/>
        <v/>
      </c>
    </row>
    <row r="1530" spans="1:1" x14ac:dyDescent="0.5">
      <c r="A1530" s="15" t="str">
        <f t="shared" ca="1" si="24"/>
        <v/>
      </c>
    </row>
    <row r="1531" spans="1:1" x14ac:dyDescent="0.5">
      <c r="A1531" s="15" t="str">
        <f t="shared" ca="1" si="24"/>
        <v/>
      </c>
    </row>
    <row r="1532" spans="1:1" x14ac:dyDescent="0.5">
      <c r="A1532" s="15" t="str">
        <f t="shared" ca="1" si="24"/>
        <v/>
      </c>
    </row>
    <row r="1533" spans="1:1" x14ac:dyDescent="0.5">
      <c r="A1533" s="15" t="str">
        <f t="shared" ca="1" si="24"/>
        <v/>
      </c>
    </row>
    <row r="1534" spans="1:1" x14ac:dyDescent="0.5">
      <c r="A1534" s="15" t="str">
        <f t="shared" ca="1" si="24"/>
        <v/>
      </c>
    </row>
    <row r="1535" spans="1:1" x14ac:dyDescent="0.5">
      <c r="A1535" s="15" t="str">
        <f t="shared" ca="1" si="24"/>
        <v/>
      </c>
    </row>
    <row r="1536" spans="1:1" x14ac:dyDescent="0.5">
      <c r="A1536" s="15" t="str">
        <f t="shared" ca="1" si="24"/>
        <v/>
      </c>
    </row>
    <row r="1537" spans="1:1" x14ac:dyDescent="0.5">
      <c r="A1537" s="15" t="str">
        <f t="shared" ca="1" si="24"/>
        <v/>
      </c>
    </row>
    <row r="1538" spans="1:1" x14ac:dyDescent="0.5">
      <c r="A1538" s="15" t="str">
        <f t="shared" ca="1" si="24"/>
        <v/>
      </c>
    </row>
    <row r="1539" spans="1:1" x14ac:dyDescent="0.5">
      <c r="A1539" s="15" t="str">
        <f t="shared" ca="1" si="24"/>
        <v/>
      </c>
    </row>
    <row r="1540" spans="1:1" x14ac:dyDescent="0.5">
      <c r="A1540" s="15" t="str">
        <f t="shared" ca="1" si="24"/>
        <v/>
      </c>
    </row>
    <row r="1541" spans="1:1" x14ac:dyDescent="0.5">
      <c r="A1541" s="15" t="str">
        <f t="shared" ca="1" si="24"/>
        <v/>
      </c>
    </row>
    <row r="1542" spans="1:1" x14ac:dyDescent="0.5">
      <c r="A1542" s="15" t="str">
        <f t="shared" ca="1" si="24"/>
        <v/>
      </c>
    </row>
    <row r="1543" spans="1:1" x14ac:dyDescent="0.5">
      <c r="A1543" s="15" t="str">
        <f t="shared" ca="1" si="24"/>
        <v/>
      </c>
    </row>
    <row r="1544" spans="1:1" x14ac:dyDescent="0.5">
      <c r="A1544" s="15" t="str">
        <f t="shared" ca="1" si="24"/>
        <v/>
      </c>
    </row>
    <row r="1545" spans="1:1" x14ac:dyDescent="0.5">
      <c r="A1545" s="15" t="str">
        <f t="shared" ca="1" si="24"/>
        <v/>
      </c>
    </row>
    <row r="1546" spans="1:1" x14ac:dyDescent="0.5">
      <c r="A1546" s="15" t="str">
        <f t="shared" ca="1" si="24"/>
        <v/>
      </c>
    </row>
    <row r="1547" spans="1:1" x14ac:dyDescent="0.5">
      <c r="A1547" s="15" t="str">
        <f t="shared" ca="1" si="24"/>
        <v/>
      </c>
    </row>
    <row r="1548" spans="1:1" x14ac:dyDescent="0.5">
      <c r="A1548" s="15" t="str">
        <f t="shared" ca="1" si="24"/>
        <v/>
      </c>
    </row>
    <row r="1549" spans="1:1" x14ac:dyDescent="0.5">
      <c r="A1549" s="15" t="str">
        <f t="shared" ref="A1549:A1612" ca="1" si="25">IF(ROW()-12&lt;=$B$7,_xlfn.NORM.INV(RAND(),$B$5,$B$6),"")</f>
        <v/>
      </c>
    </row>
    <row r="1550" spans="1:1" x14ac:dyDescent="0.5">
      <c r="A1550" s="15" t="str">
        <f t="shared" ca="1" si="25"/>
        <v/>
      </c>
    </row>
    <row r="1551" spans="1:1" x14ac:dyDescent="0.5">
      <c r="A1551" s="15" t="str">
        <f t="shared" ca="1" si="25"/>
        <v/>
      </c>
    </row>
    <row r="1552" spans="1:1" x14ac:dyDescent="0.5">
      <c r="A1552" s="15" t="str">
        <f t="shared" ca="1" si="25"/>
        <v/>
      </c>
    </row>
    <row r="1553" spans="1:1" x14ac:dyDescent="0.5">
      <c r="A1553" s="15" t="str">
        <f t="shared" ca="1" si="25"/>
        <v/>
      </c>
    </row>
    <row r="1554" spans="1:1" x14ac:dyDescent="0.5">
      <c r="A1554" s="15" t="str">
        <f t="shared" ca="1" si="25"/>
        <v/>
      </c>
    </row>
    <row r="1555" spans="1:1" x14ac:dyDescent="0.5">
      <c r="A1555" s="15" t="str">
        <f t="shared" ca="1" si="25"/>
        <v/>
      </c>
    </row>
    <row r="1556" spans="1:1" x14ac:dyDescent="0.5">
      <c r="A1556" s="15" t="str">
        <f t="shared" ca="1" si="25"/>
        <v/>
      </c>
    </row>
    <row r="1557" spans="1:1" x14ac:dyDescent="0.5">
      <c r="A1557" s="15" t="str">
        <f t="shared" ca="1" si="25"/>
        <v/>
      </c>
    </row>
    <row r="1558" spans="1:1" x14ac:dyDescent="0.5">
      <c r="A1558" s="15" t="str">
        <f t="shared" ca="1" si="25"/>
        <v/>
      </c>
    </row>
    <row r="1559" spans="1:1" x14ac:dyDescent="0.5">
      <c r="A1559" s="15" t="str">
        <f t="shared" ca="1" si="25"/>
        <v/>
      </c>
    </row>
    <row r="1560" spans="1:1" x14ac:dyDescent="0.5">
      <c r="A1560" s="15" t="str">
        <f t="shared" ca="1" si="25"/>
        <v/>
      </c>
    </row>
    <row r="1561" spans="1:1" x14ac:dyDescent="0.5">
      <c r="A1561" s="15" t="str">
        <f t="shared" ca="1" si="25"/>
        <v/>
      </c>
    </row>
    <row r="1562" spans="1:1" x14ac:dyDescent="0.5">
      <c r="A1562" s="15" t="str">
        <f t="shared" ca="1" si="25"/>
        <v/>
      </c>
    </row>
    <row r="1563" spans="1:1" x14ac:dyDescent="0.5">
      <c r="A1563" s="15" t="str">
        <f t="shared" ca="1" si="25"/>
        <v/>
      </c>
    </row>
    <row r="1564" spans="1:1" x14ac:dyDescent="0.5">
      <c r="A1564" s="15" t="str">
        <f t="shared" ca="1" si="25"/>
        <v/>
      </c>
    </row>
    <row r="1565" spans="1:1" x14ac:dyDescent="0.5">
      <c r="A1565" s="15" t="str">
        <f t="shared" ca="1" si="25"/>
        <v/>
      </c>
    </row>
    <row r="1566" spans="1:1" x14ac:dyDescent="0.5">
      <c r="A1566" s="15" t="str">
        <f t="shared" ca="1" si="25"/>
        <v/>
      </c>
    </row>
    <row r="1567" spans="1:1" x14ac:dyDescent="0.5">
      <c r="A1567" s="15" t="str">
        <f t="shared" ca="1" si="25"/>
        <v/>
      </c>
    </row>
    <row r="1568" spans="1:1" x14ac:dyDescent="0.5">
      <c r="A1568" s="15" t="str">
        <f t="shared" ca="1" si="25"/>
        <v/>
      </c>
    </row>
    <row r="1569" spans="1:1" x14ac:dyDescent="0.5">
      <c r="A1569" s="15" t="str">
        <f t="shared" ca="1" si="25"/>
        <v/>
      </c>
    </row>
    <row r="1570" spans="1:1" x14ac:dyDescent="0.5">
      <c r="A1570" s="15" t="str">
        <f t="shared" ca="1" si="25"/>
        <v/>
      </c>
    </row>
    <row r="1571" spans="1:1" x14ac:dyDescent="0.5">
      <c r="A1571" s="15" t="str">
        <f t="shared" ca="1" si="25"/>
        <v/>
      </c>
    </row>
    <row r="1572" spans="1:1" x14ac:dyDescent="0.5">
      <c r="A1572" s="15" t="str">
        <f t="shared" ca="1" si="25"/>
        <v/>
      </c>
    </row>
    <row r="1573" spans="1:1" x14ac:dyDescent="0.5">
      <c r="A1573" s="15" t="str">
        <f t="shared" ca="1" si="25"/>
        <v/>
      </c>
    </row>
    <row r="1574" spans="1:1" x14ac:dyDescent="0.5">
      <c r="A1574" s="15" t="str">
        <f t="shared" ca="1" si="25"/>
        <v/>
      </c>
    </row>
    <row r="1575" spans="1:1" x14ac:dyDescent="0.5">
      <c r="A1575" s="15" t="str">
        <f t="shared" ca="1" si="25"/>
        <v/>
      </c>
    </row>
    <row r="1576" spans="1:1" x14ac:dyDescent="0.5">
      <c r="A1576" s="15" t="str">
        <f t="shared" ca="1" si="25"/>
        <v/>
      </c>
    </row>
    <row r="1577" spans="1:1" x14ac:dyDescent="0.5">
      <c r="A1577" s="15" t="str">
        <f t="shared" ca="1" si="25"/>
        <v/>
      </c>
    </row>
    <row r="1578" spans="1:1" x14ac:dyDescent="0.5">
      <c r="A1578" s="15" t="str">
        <f t="shared" ca="1" si="25"/>
        <v/>
      </c>
    </row>
    <row r="1579" spans="1:1" x14ac:dyDescent="0.5">
      <c r="A1579" s="15" t="str">
        <f t="shared" ca="1" si="25"/>
        <v/>
      </c>
    </row>
    <row r="1580" spans="1:1" x14ac:dyDescent="0.5">
      <c r="A1580" s="15" t="str">
        <f t="shared" ca="1" si="25"/>
        <v/>
      </c>
    </row>
    <row r="1581" spans="1:1" x14ac:dyDescent="0.5">
      <c r="A1581" s="15" t="str">
        <f t="shared" ca="1" si="25"/>
        <v/>
      </c>
    </row>
    <row r="1582" spans="1:1" x14ac:dyDescent="0.5">
      <c r="A1582" s="15" t="str">
        <f t="shared" ca="1" si="25"/>
        <v/>
      </c>
    </row>
    <row r="1583" spans="1:1" x14ac:dyDescent="0.5">
      <c r="A1583" s="15" t="str">
        <f t="shared" ca="1" si="25"/>
        <v/>
      </c>
    </row>
    <row r="1584" spans="1:1" x14ac:dyDescent="0.5">
      <c r="A1584" s="15" t="str">
        <f t="shared" ca="1" si="25"/>
        <v/>
      </c>
    </row>
    <row r="1585" spans="1:1" x14ac:dyDescent="0.5">
      <c r="A1585" s="15" t="str">
        <f t="shared" ca="1" si="25"/>
        <v/>
      </c>
    </row>
    <row r="1586" spans="1:1" x14ac:dyDescent="0.5">
      <c r="A1586" s="15" t="str">
        <f t="shared" ca="1" si="25"/>
        <v/>
      </c>
    </row>
    <row r="1587" spans="1:1" x14ac:dyDescent="0.5">
      <c r="A1587" s="15" t="str">
        <f t="shared" ca="1" si="25"/>
        <v/>
      </c>
    </row>
    <row r="1588" spans="1:1" x14ac:dyDescent="0.5">
      <c r="A1588" s="15" t="str">
        <f t="shared" ca="1" si="25"/>
        <v/>
      </c>
    </row>
    <row r="1589" spans="1:1" x14ac:dyDescent="0.5">
      <c r="A1589" s="15" t="str">
        <f t="shared" ca="1" si="25"/>
        <v/>
      </c>
    </row>
    <row r="1590" spans="1:1" x14ac:dyDescent="0.5">
      <c r="A1590" s="15" t="str">
        <f t="shared" ca="1" si="25"/>
        <v/>
      </c>
    </row>
    <row r="1591" spans="1:1" x14ac:dyDescent="0.5">
      <c r="A1591" s="15" t="str">
        <f t="shared" ca="1" si="25"/>
        <v/>
      </c>
    </row>
    <row r="1592" spans="1:1" x14ac:dyDescent="0.5">
      <c r="A1592" s="15" t="str">
        <f t="shared" ca="1" si="25"/>
        <v/>
      </c>
    </row>
    <row r="1593" spans="1:1" x14ac:dyDescent="0.5">
      <c r="A1593" s="15" t="str">
        <f t="shared" ca="1" si="25"/>
        <v/>
      </c>
    </row>
    <row r="1594" spans="1:1" x14ac:dyDescent="0.5">
      <c r="A1594" s="15" t="str">
        <f t="shared" ca="1" si="25"/>
        <v/>
      </c>
    </row>
    <row r="1595" spans="1:1" x14ac:dyDescent="0.5">
      <c r="A1595" s="15" t="str">
        <f t="shared" ca="1" si="25"/>
        <v/>
      </c>
    </row>
    <row r="1596" spans="1:1" x14ac:dyDescent="0.5">
      <c r="A1596" s="15" t="str">
        <f t="shared" ca="1" si="25"/>
        <v/>
      </c>
    </row>
    <row r="1597" spans="1:1" x14ac:dyDescent="0.5">
      <c r="A1597" s="15" t="str">
        <f t="shared" ca="1" si="25"/>
        <v/>
      </c>
    </row>
    <row r="1598" spans="1:1" x14ac:dyDescent="0.5">
      <c r="A1598" s="15" t="str">
        <f t="shared" ca="1" si="25"/>
        <v/>
      </c>
    </row>
    <row r="1599" spans="1:1" x14ac:dyDescent="0.5">
      <c r="A1599" s="15" t="str">
        <f t="shared" ca="1" si="25"/>
        <v/>
      </c>
    </row>
    <row r="1600" spans="1:1" x14ac:dyDescent="0.5">
      <c r="A1600" s="15" t="str">
        <f t="shared" ca="1" si="25"/>
        <v/>
      </c>
    </row>
    <row r="1601" spans="1:1" x14ac:dyDescent="0.5">
      <c r="A1601" s="15" t="str">
        <f t="shared" ca="1" si="25"/>
        <v/>
      </c>
    </row>
    <row r="1602" spans="1:1" x14ac:dyDescent="0.5">
      <c r="A1602" s="15" t="str">
        <f t="shared" ca="1" si="25"/>
        <v/>
      </c>
    </row>
    <row r="1603" spans="1:1" x14ac:dyDescent="0.5">
      <c r="A1603" s="15" t="str">
        <f t="shared" ca="1" si="25"/>
        <v/>
      </c>
    </row>
    <row r="1604" spans="1:1" x14ac:dyDescent="0.5">
      <c r="A1604" s="15" t="str">
        <f t="shared" ca="1" si="25"/>
        <v/>
      </c>
    </row>
    <row r="1605" spans="1:1" x14ac:dyDescent="0.5">
      <c r="A1605" s="15" t="str">
        <f t="shared" ca="1" si="25"/>
        <v/>
      </c>
    </row>
    <row r="1606" spans="1:1" x14ac:dyDescent="0.5">
      <c r="A1606" s="15" t="str">
        <f t="shared" ca="1" si="25"/>
        <v/>
      </c>
    </row>
    <row r="1607" spans="1:1" x14ac:dyDescent="0.5">
      <c r="A1607" s="15" t="str">
        <f t="shared" ca="1" si="25"/>
        <v/>
      </c>
    </row>
    <row r="1608" spans="1:1" x14ac:dyDescent="0.5">
      <c r="A1608" s="15" t="str">
        <f t="shared" ca="1" si="25"/>
        <v/>
      </c>
    </row>
    <row r="1609" spans="1:1" x14ac:dyDescent="0.5">
      <c r="A1609" s="15" t="str">
        <f t="shared" ca="1" si="25"/>
        <v/>
      </c>
    </row>
    <row r="1610" spans="1:1" x14ac:dyDescent="0.5">
      <c r="A1610" s="15" t="str">
        <f t="shared" ca="1" si="25"/>
        <v/>
      </c>
    </row>
    <row r="1611" spans="1:1" x14ac:dyDescent="0.5">
      <c r="A1611" s="15" t="str">
        <f t="shared" ca="1" si="25"/>
        <v/>
      </c>
    </row>
    <row r="1612" spans="1:1" x14ac:dyDescent="0.5">
      <c r="A1612" s="15" t="str">
        <f t="shared" ca="1" si="25"/>
        <v/>
      </c>
    </row>
    <row r="1613" spans="1:1" x14ac:dyDescent="0.5">
      <c r="A1613" s="15" t="str">
        <f t="shared" ref="A1613:A1676" ca="1" si="26">IF(ROW()-12&lt;=$B$7,_xlfn.NORM.INV(RAND(),$B$5,$B$6),"")</f>
        <v/>
      </c>
    </row>
    <row r="1614" spans="1:1" x14ac:dyDescent="0.5">
      <c r="A1614" s="15" t="str">
        <f t="shared" ca="1" si="26"/>
        <v/>
      </c>
    </row>
    <row r="1615" spans="1:1" x14ac:dyDescent="0.5">
      <c r="A1615" s="15" t="str">
        <f t="shared" ca="1" si="26"/>
        <v/>
      </c>
    </row>
    <row r="1616" spans="1:1" x14ac:dyDescent="0.5">
      <c r="A1616" s="15" t="str">
        <f t="shared" ca="1" si="26"/>
        <v/>
      </c>
    </row>
    <row r="1617" spans="1:1" x14ac:dyDescent="0.5">
      <c r="A1617" s="15" t="str">
        <f t="shared" ca="1" si="26"/>
        <v/>
      </c>
    </row>
    <row r="1618" spans="1:1" x14ac:dyDescent="0.5">
      <c r="A1618" s="15" t="str">
        <f t="shared" ca="1" si="26"/>
        <v/>
      </c>
    </row>
    <row r="1619" spans="1:1" x14ac:dyDescent="0.5">
      <c r="A1619" s="15" t="str">
        <f t="shared" ca="1" si="26"/>
        <v/>
      </c>
    </row>
    <row r="1620" spans="1:1" x14ac:dyDescent="0.5">
      <c r="A1620" s="15" t="str">
        <f t="shared" ca="1" si="26"/>
        <v/>
      </c>
    </row>
    <row r="1621" spans="1:1" x14ac:dyDescent="0.5">
      <c r="A1621" s="15" t="str">
        <f t="shared" ca="1" si="26"/>
        <v/>
      </c>
    </row>
    <row r="1622" spans="1:1" x14ac:dyDescent="0.5">
      <c r="A1622" s="15" t="str">
        <f t="shared" ca="1" si="26"/>
        <v/>
      </c>
    </row>
    <row r="1623" spans="1:1" x14ac:dyDescent="0.5">
      <c r="A1623" s="15" t="str">
        <f t="shared" ca="1" si="26"/>
        <v/>
      </c>
    </row>
    <row r="1624" spans="1:1" x14ac:dyDescent="0.5">
      <c r="A1624" s="15" t="str">
        <f t="shared" ca="1" si="26"/>
        <v/>
      </c>
    </row>
    <row r="1625" spans="1:1" x14ac:dyDescent="0.5">
      <c r="A1625" s="15" t="str">
        <f t="shared" ca="1" si="26"/>
        <v/>
      </c>
    </row>
    <row r="1626" spans="1:1" x14ac:dyDescent="0.5">
      <c r="A1626" s="15" t="str">
        <f t="shared" ca="1" si="26"/>
        <v/>
      </c>
    </row>
    <row r="1627" spans="1:1" x14ac:dyDescent="0.5">
      <c r="A1627" s="15" t="str">
        <f t="shared" ca="1" si="26"/>
        <v/>
      </c>
    </row>
    <row r="1628" spans="1:1" x14ac:dyDescent="0.5">
      <c r="A1628" s="15" t="str">
        <f t="shared" ca="1" si="26"/>
        <v/>
      </c>
    </row>
    <row r="1629" spans="1:1" x14ac:dyDescent="0.5">
      <c r="A1629" s="15" t="str">
        <f t="shared" ca="1" si="26"/>
        <v/>
      </c>
    </row>
    <row r="1630" spans="1:1" x14ac:dyDescent="0.5">
      <c r="A1630" s="15" t="str">
        <f t="shared" ca="1" si="26"/>
        <v/>
      </c>
    </row>
    <row r="1631" spans="1:1" x14ac:dyDescent="0.5">
      <c r="A1631" s="15" t="str">
        <f t="shared" ca="1" si="26"/>
        <v/>
      </c>
    </row>
    <row r="1632" spans="1:1" x14ac:dyDescent="0.5">
      <c r="A1632" s="15" t="str">
        <f t="shared" ca="1" si="26"/>
        <v/>
      </c>
    </row>
    <row r="1633" spans="1:1" x14ac:dyDescent="0.5">
      <c r="A1633" s="15" t="str">
        <f t="shared" ca="1" si="26"/>
        <v/>
      </c>
    </row>
    <row r="1634" spans="1:1" x14ac:dyDescent="0.5">
      <c r="A1634" s="15" t="str">
        <f t="shared" ca="1" si="26"/>
        <v/>
      </c>
    </row>
    <row r="1635" spans="1:1" x14ac:dyDescent="0.5">
      <c r="A1635" s="15" t="str">
        <f t="shared" ca="1" si="26"/>
        <v/>
      </c>
    </row>
    <row r="1636" spans="1:1" x14ac:dyDescent="0.5">
      <c r="A1636" s="15" t="str">
        <f t="shared" ca="1" si="26"/>
        <v/>
      </c>
    </row>
    <row r="1637" spans="1:1" x14ac:dyDescent="0.5">
      <c r="A1637" s="15" t="str">
        <f t="shared" ca="1" si="26"/>
        <v/>
      </c>
    </row>
    <row r="1638" spans="1:1" x14ac:dyDescent="0.5">
      <c r="A1638" s="15" t="str">
        <f t="shared" ca="1" si="26"/>
        <v/>
      </c>
    </row>
    <row r="1639" spans="1:1" x14ac:dyDescent="0.5">
      <c r="A1639" s="15" t="str">
        <f t="shared" ca="1" si="26"/>
        <v/>
      </c>
    </row>
    <row r="1640" spans="1:1" x14ac:dyDescent="0.5">
      <c r="A1640" s="15" t="str">
        <f t="shared" ca="1" si="26"/>
        <v/>
      </c>
    </row>
    <row r="1641" spans="1:1" x14ac:dyDescent="0.5">
      <c r="A1641" s="15" t="str">
        <f t="shared" ca="1" si="26"/>
        <v/>
      </c>
    </row>
    <row r="1642" spans="1:1" x14ac:dyDescent="0.5">
      <c r="A1642" s="15" t="str">
        <f t="shared" ca="1" si="26"/>
        <v/>
      </c>
    </row>
    <row r="1643" spans="1:1" x14ac:dyDescent="0.5">
      <c r="A1643" s="15" t="str">
        <f t="shared" ca="1" si="26"/>
        <v/>
      </c>
    </row>
    <row r="1644" spans="1:1" x14ac:dyDescent="0.5">
      <c r="A1644" s="15" t="str">
        <f t="shared" ca="1" si="26"/>
        <v/>
      </c>
    </row>
    <row r="1645" spans="1:1" x14ac:dyDescent="0.5">
      <c r="A1645" s="15" t="str">
        <f t="shared" ca="1" si="26"/>
        <v/>
      </c>
    </row>
    <row r="1646" spans="1:1" x14ac:dyDescent="0.5">
      <c r="A1646" s="15" t="str">
        <f t="shared" ca="1" si="26"/>
        <v/>
      </c>
    </row>
    <row r="1647" spans="1:1" x14ac:dyDescent="0.5">
      <c r="A1647" s="15" t="str">
        <f t="shared" ca="1" si="26"/>
        <v/>
      </c>
    </row>
    <row r="1648" spans="1:1" x14ac:dyDescent="0.5">
      <c r="A1648" s="15" t="str">
        <f t="shared" ca="1" si="26"/>
        <v/>
      </c>
    </row>
    <row r="1649" spans="1:1" x14ac:dyDescent="0.5">
      <c r="A1649" s="15" t="str">
        <f t="shared" ca="1" si="26"/>
        <v/>
      </c>
    </row>
    <row r="1650" spans="1:1" x14ac:dyDescent="0.5">
      <c r="A1650" s="15" t="str">
        <f t="shared" ca="1" si="26"/>
        <v/>
      </c>
    </row>
    <row r="1651" spans="1:1" x14ac:dyDescent="0.5">
      <c r="A1651" s="15" t="str">
        <f t="shared" ca="1" si="26"/>
        <v/>
      </c>
    </row>
    <row r="1652" spans="1:1" x14ac:dyDescent="0.5">
      <c r="A1652" s="15" t="str">
        <f t="shared" ca="1" si="26"/>
        <v/>
      </c>
    </row>
    <row r="1653" spans="1:1" x14ac:dyDescent="0.5">
      <c r="A1653" s="15" t="str">
        <f t="shared" ca="1" si="26"/>
        <v/>
      </c>
    </row>
    <row r="1654" spans="1:1" x14ac:dyDescent="0.5">
      <c r="A1654" s="15" t="str">
        <f t="shared" ca="1" si="26"/>
        <v/>
      </c>
    </row>
    <row r="1655" spans="1:1" x14ac:dyDescent="0.5">
      <c r="A1655" s="15" t="str">
        <f t="shared" ca="1" si="26"/>
        <v/>
      </c>
    </row>
    <row r="1656" spans="1:1" x14ac:dyDescent="0.5">
      <c r="A1656" s="15" t="str">
        <f t="shared" ca="1" si="26"/>
        <v/>
      </c>
    </row>
    <row r="1657" spans="1:1" x14ac:dyDescent="0.5">
      <c r="A1657" s="15" t="str">
        <f t="shared" ca="1" si="26"/>
        <v/>
      </c>
    </row>
    <row r="1658" spans="1:1" x14ac:dyDescent="0.5">
      <c r="A1658" s="15" t="str">
        <f t="shared" ca="1" si="26"/>
        <v/>
      </c>
    </row>
    <row r="1659" spans="1:1" x14ac:dyDescent="0.5">
      <c r="A1659" s="15" t="str">
        <f t="shared" ca="1" si="26"/>
        <v/>
      </c>
    </row>
    <row r="1660" spans="1:1" x14ac:dyDescent="0.5">
      <c r="A1660" s="15" t="str">
        <f t="shared" ca="1" si="26"/>
        <v/>
      </c>
    </row>
    <row r="1661" spans="1:1" x14ac:dyDescent="0.5">
      <c r="A1661" s="15" t="str">
        <f t="shared" ca="1" si="26"/>
        <v/>
      </c>
    </row>
    <row r="1662" spans="1:1" x14ac:dyDescent="0.5">
      <c r="A1662" s="15" t="str">
        <f t="shared" ca="1" si="26"/>
        <v/>
      </c>
    </row>
    <row r="1663" spans="1:1" x14ac:dyDescent="0.5">
      <c r="A1663" s="15" t="str">
        <f t="shared" ca="1" si="26"/>
        <v/>
      </c>
    </row>
    <row r="1664" spans="1:1" x14ac:dyDescent="0.5">
      <c r="A1664" s="15" t="str">
        <f t="shared" ca="1" si="26"/>
        <v/>
      </c>
    </row>
    <row r="1665" spans="1:1" x14ac:dyDescent="0.5">
      <c r="A1665" s="15" t="str">
        <f t="shared" ca="1" si="26"/>
        <v/>
      </c>
    </row>
    <row r="1666" spans="1:1" x14ac:dyDescent="0.5">
      <c r="A1666" s="15" t="str">
        <f t="shared" ca="1" si="26"/>
        <v/>
      </c>
    </row>
    <row r="1667" spans="1:1" x14ac:dyDescent="0.5">
      <c r="A1667" s="15" t="str">
        <f t="shared" ca="1" si="26"/>
        <v/>
      </c>
    </row>
    <row r="1668" spans="1:1" x14ac:dyDescent="0.5">
      <c r="A1668" s="15" t="str">
        <f t="shared" ca="1" si="26"/>
        <v/>
      </c>
    </row>
    <row r="1669" spans="1:1" x14ac:dyDescent="0.5">
      <c r="A1669" s="15" t="str">
        <f t="shared" ca="1" si="26"/>
        <v/>
      </c>
    </row>
    <row r="1670" spans="1:1" x14ac:dyDescent="0.5">
      <c r="A1670" s="15" t="str">
        <f t="shared" ca="1" si="26"/>
        <v/>
      </c>
    </row>
    <row r="1671" spans="1:1" x14ac:dyDescent="0.5">
      <c r="A1671" s="15" t="str">
        <f t="shared" ca="1" si="26"/>
        <v/>
      </c>
    </row>
    <row r="1672" spans="1:1" x14ac:dyDescent="0.5">
      <c r="A1672" s="15" t="str">
        <f t="shared" ca="1" si="26"/>
        <v/>
      </c>
    </row>
    <row r="1673" spans="1:1" x14ac:dyDescent="0.5">
      <c r="A1673" s="15" t="str">
        <f t="shared" ca="1" si="26"/>
        <v/>
      </c>
    </row>
    <row r="1674" spans="1:1" x14ac:dyDescent="0.5">
      <c r="A1674" s="15" t="str">
        <f t="shared" ca="1" si="26"/>
        <v/>
      </c>
    </row>
    <row r="1675" spans="1:1" x14ac:dyDescent="0.5">
      <c r="A1675" s="15" t="str">
        <f t="shared" ca="1" si="26"/>
        <v/>
      </c>
    </row>
    <row r="1676" spans="1:1" x14ac:dyDescent="0.5">
      <c r="A1676" s="15" t="str">
        <f t="shared" ca="1" si="26"/>
        <v/>
      </c>
    </row>
    <row r="1677" spans="1:1" x14ac:dyDescent="0.5">
      <c r="A1677" s="15" t="str">
        <f t="shared" ref="A1677:A1740" ca="1" si="27">IF(ROW()-12&lt;=$B$7,_xlfn.NORM.INV(RAND(),$B$5,$B$6),"")</f>
        <v/>
      </c>
    </row>
    <row r="1678" spans="1:1" x14ac:dyDescent="0.5">
      <c r="A1678" s="15" t="str">
        <f t="shared" ca="1" si="27"/>
        <v/>
      </c>
    </row>
    <row r="1679" spans="1:1" x14ac:dyDescent="0.5">
      <c r="A1679" s="15" t="str">
        <f t="shared" ca="1" si="27"/>
        <v/>
      </c>
    </row>
    <row r="1680" spans="1:1" x14ac:dyDescent="0.5">
      <c r="A1680" s="15" t="str">
        <f t="shared" ca="1" si="27"/>
        <v/>
      </c>
    </row>
    <row r="1681" spans="1:1" x14ac:dyDescent="0.5">
      <c r="A1681" s="15" t="str">
        <f t="shared" ca="1" si="27"/>
        <v/>
      </c>
    </row>
    <row r="1682" spans="1:1" x14ac:dyDescent="0.5">
      <c r="A1682" s="15" t="str">
        <f t="shared" ca="1" si="27"/>
        <v/>
      </c>
    </row>
    <row r="1683" spans="1:1" x14ac:dyDescent="0.5">
      <c r="A1683" s="15" t="str">
        <f t="shared" ca="1" si="27"/>
        <v/>
      </c>
    </row>
    <row r="1684" spans="1:1" x14ac:dyDescent="0.5">
      <c r="A1684" s="15" t="str">
        <f t="shared" ca="1" si="27"/>
        <v/>
      </c>
    </row>
    <row r="1685" spans="1:1" x14ac:dyDescent="0.5">
      <c r="A1685" s="15" t="str">
        <f t="shared" ca="1" si="27"/>
        <v/>
      </c>
    </row>
    <row r="1686" spans="1:1" x14ac:dyDescent="0.5">
      <c r="A1686" s="15" t="str">
        <f t="shared" ca="1" si="27"/>
        <v/>
      </c>
    </row>
    <row r="1687" spans="1:1" x14ac:dyDescent="0.5">
      <c r="A1687" s="15" t="str">
        <f t="shared" ca="1" si="27"/>
        <v/>
      </c>
    </row>
    <row r="1688" spans="1:1" x14ac:dyDescent="0.5">
      <c r="A1688" s="15" t="str">
        <f t="shared" ca="1" si="27"/>
        <v/>
      </c>
    </row>
    <row r="1689" spans="1:1" x14ac:dyDescent="0.5">
      <c r="A1689" s="15" t="str">
        <f t="shared" ca="1" si="27"/>
        <v/>
      </c>
    </row>
    <row r="1690" spans="1:1" x14ac:dyDescent="0.5">
      <c r="A1690" s="15" t="str">
        <f t="shared" ca="1" si="27"/>
        <v/>
      </c>
    </row>
    <row r="1691" spans="1:1" x14ac:dyDescent="0.5">
      <c r="A1691" s="15" t="str">
        <f t="shared" ca="1" si="27"/>
        <v/>
      </c>
    </row>
    <row r="1692" spans="1:1" x14ac:dyDescent="0.5">
      <c r="A1692" s="15" t="str">
        <f t="shared" ca="1" si="27"/>
        <v/>
      </c>
    </row>
    <row r="1693" spans="1:1" x14ac:dyDescent="0.5">
      <c r="A1693" s="15" t="str">
        <f t="shared" ca="1" si="27"/>
        <v/>
      </c>
    </row>
    <row r="1694" spans="1:1" x14ac:dyDescent="0.5">
      <c r="A1694" s="15" t="str">
        <f t="shared" ca="1" si="27"/>
        <v/>
      </c>
    </row>
    <row r="1695" spans="1:1" x14ac:dyDescent="0.5">
      <c r="A1695" s="15" t="str">
        <f t="shared" ca="1" si="27"/>
        <v/>
      </c>
    </row>
    <row r="1696" spans="1:1" x14ac:dyDescent="0.5">
      <c r="A1696" s="15" t="str">
        <f t="shared" ca="1" si="27"/>
        <v/>
      </c>
    </row>
    <row r="1697" spans="1:1" x14ac:dyDescent="0.5">
      <c r="A1697" s="15" t="str">
        <f t="shared" ca="1" si="27"/>
        <v/>
      </c>
    </row>
    <row r="1698" spans="1:1" x14ac:dyDescent="0.5">
      <c r="A1698" s="15" t="str">
        <f t="shared" ca="1" si="27"/>
        <v/>
      </c>
    </row>
    <row r="1699" spans="1:1" x14ac:dyDescent="0.5">
      <c r="A1699" s="15" t="str">
        <f t="shared" ca="1" si="27"/>
        <v/>
      </c>
    </row>
    <row r="1700" spans="1:1" x14ac:dyDescent="0.5">
      <c r="A1700" s="15" t="str">
        <f t="shared" ca="1" si="27"/>
        <v/>
      </c>
    </row>
    <row r="1701" spans="1:1" x14ac:dyDescent="0.5">
      <c r="A1701" s="15" t="str">
        <f t="shared" ca="1" si="27"/>
        <v/>
      </c>
    </row>
    <row r="1702" spans="1:1" x14ac:dyDescent="0.5">
      <c r="A1702" s="15" t="str">
        <f t="shared" ca="1" si="27"/>
        <v/>
      </c>
    </row>
    <row r="1703" spans="1:1" x14ac:dyDescent="0.5">
      <c r="A1703" s="15" t="str">
        <f t="shared" ca="1" si="27"/>
        <v/>
      </c>
    </row>
    <row r="1704" spans="1:1" x14ac:dyDescent="0.5">
      <c r="A1704" s="15" t="str">
        <f t="shared" ca="1" si="27"/>
        <v/>
      </c>
    </row>
    <row r="1705" spans="1:1" x14ac:dyDescent="0.5">
      <c r="A1705" s="15" t="str">
        <f t="shared" ca="1" si="27"/>
        <v/>
      </c>
    </row>
    <row r="1706" spans="1:1" x14ac:dyDescent="0.5">
      <c r="A1706" s="15" t="str">
        <f t="shared" ca="1" si="27"/>
        <v/>
      </c>
    </row>
    <row r="1707" spans="1:1" x14ac:dyDescent="0.5">
      <c r="A1707" s="15" t="str">
        <f t="shared" ca="1" si="27"/>
        <v/>
      </c>
    </row>
    <row r="1708" spans="1:1" x14ac:dyDescent="0.5">
      <c r="A1708" s="15" t="str">
        <f t="shared" ca="1" si="27"/>
        <v/>
      </c>
    </row>
    <row r="1709" spans="1:1" x14ac:dyDescent="0.5">
      <c r="A1709" s="15" t="str">
        <f t="shared" ca="1" si="27"/>
        <v/>
      </c>
    </row>
    <row r="1710" spans="1:1" x14ac:dyDescent="0.5">
      <c r="A1710" s="15" t="str">
        <f t="shared" ca="1" si="27"/>
        <v/>
      </c>
    </row>
    <row r="1711" spans="1:1" x14ac:dyDescent="0.5">
      <c r="A1711" s="15" t="str">
        <f t="shared" ca="1" si="27"/>
        <v/>
      </c>
    </row>
    <row r="1712" spans="1:1" x14ac:dyDescent="0.5">
      <c r="A1712" s="15" t="str">
        <f t="shared" ca="1" si="27"/>
        <v/>
      </c>
    </row>
    <row r="1713" spans="1:1" x14ac:dyDescent="0.5">
      <c r="A1713" s="15" t="str">
        <f t="shared" ca="1" si="27"/>
        <v/>
      </c>
    </row>
    <row r="1714" spans="1:1" x14ac:dyDescent="0.5">
      <c r="A1714" s="15" t="str">
        <f t="shared" ca="1" si="27"/>
        <v/>
      </c>
    </row>
    <row r="1715" spans="1:1" x14ac:dyDescent="0.5">
      <c r="A1715" s="15" t="str">
        <f t="shared" ca="1" si="27"/>
        <v/>
      </c>
    </row>
    <row r="1716" spans="1:1" x14ac:dyDescent="0.5">
      <c r="A1716" s="15" t="str">
        <f t="shared" ca="1" si="27"/>
        <v/>
      </c>
    </row>
    <row r="1717" spans="1:1" x14ac:dyDescent="0.5">
      <c r="A1717" s="15" t="str">
        <f t="shared" ca="1" si="27"/>
        <v/>
      </c>
    </row>
    <row r="1718" spans="1:1" x14ac:dyDescent="0.5">
      <c r="A1718" s="15" t="str">
        <f t="shared" ca="1" si="27"/>
        <v/>
      </c>
    </row>
    <row r="1719" spans="1:1" x14ac:dyDescent="0.5">
      <c r="A1719" s="15" t="str">
        <f t="shared" ca="1" si="27"/>
        <v/>
      </c>
    </row>
    <row r="1720" spans="1:1" x14ac:dyDescent="0.5">
      <c r="A1720" s="15" t="str">
        <f t="shared" ca="1" si="27"/>
        <v/>
      </c>
    </row>
    <row r="1721" spans="1:1" x14ac:dyDescent="0.5">
      <c r="A1721" s="15" t="str">
        <f t="shared" ca="1" si="27"/>
        <v/>
      </c>
    </row>
    <row r="1722" spans="1:1" x14ac:dyDescent="0.5">
      <c r="A1722" s="15" t="str">
        <f t="shared" ca="1" si="27"/>
        <v/>
      </c>
    </row>
    <row r="1723" spans="1:1" x14ac:dyDescent="0.5">
      <c r="A1723" s="15" t="str">
        <f t="shared" ca="1" si="27"/>
        <v/>
      </c>
    </row>
    <row r="1724" spans="1:1" x14ac:dyDescent="0.5">
      <c r="A1724" s="15" t="str">
        <f t="shared" ca="1" si="27"/>
        <v/>
      </c>
    </row>
    <row r="1725" spans="1:1" x14ac:dyDescent="0.5">
      <c r="A1725" s="15" t="str">
        <f t="shared" ca="1" si="27"/>
        <v/>
      </c>
    </row>
    <row r="1726" spans="1:1" x14ac:dyDescent="0.5">
      <c r="A1726" s="15" t="str">
        <f t="shared" ca="1" si="27"/>
        <v/>
      </c>
    </row>
    <row r="1727" spans="1:1" x14ac:dyDescent="0.5">
      <c r="A1727" s="15" t="str">
        <f t="shared" ca="1" si="27"/>
        <v/>
      </c>
    </row>
    <row r="1728" spans="1:1" x14ac:dyDescent="0.5">
      <c r="A1728" s="15" t="str">
        <f t="shared" ca="1" si="27"/>
        <v/>
      </c>
    </row>
    <row r="1729" spans="1:1" x14ac:dyDescent="0.5">
      <c r="A1729" s="15" t="str">
        <f t="shared" ca="1" si="27"/>
        <v/>
      </c>
    </row>
    <row r="1730" spans="1:1" x14ac:dyDescent="0.5">
      <c r="A1730" s="15" t="str">
        <f t="shared" ca="1" si="27"/>
        <v/>
      </c>
    </row>
    <row r="1731" spans="1:1" x14ac:dyDescent="0.5">
      <c r="A1731" s="15" t="str">
        <f t="shared" ca="1" si="27"/>
        <v/>
      </c>
    </row>
    <row r="1732" spans="1:1" x14ac:dyDescent="0.5">
      <c r="A1732" s="15" t="str">
        <f t="shared" ca="1" si="27"/>
        <v/>
      </c>
    </row>
    <row r="1733" spans="1:1" x14ac:dyDescent="0.5">
      <c r="A1733" s="15" t="str">
        <f t="shared" ca="1" si="27"/>
        <v/>
      </c>
    </row>
    <row r="1734" spans="1:1" x14ac:dyDescent="0.5">
      <c r="A1734" s="15" t="str">
        <f t="shared" ca="1" si="27"/>
        <v/>
      </c>
    </row>
    <row r="1735" spans="1:1" x14ac:dyDescent="0.5">
      <c r="A1735" s="15" t="str">
        <f t="shared" ca="1" si="27"/>
        <v/>
      </c>
    </row>
    <row r="1736" spans="1:1" x14ac:dyDescent="0.5">
      <c r="A1736" s="15" t="str">
        <f t="shared" ca="1" si="27"/>
        <v/>
      </c>
    </row>
    <row r="1737" spans="1:1" x14ac:dyDescent="0.5">
      <c r="A1737" s="15" t="str">
        <f t="shared" ca="1" si="27"/>
        <v/>
      </c>
    </row>
    <row r="1738" spans="1:1" x14ac:dyDescent="0.5">
      <c r="A1738" s="15" t="str">
        <f t="shared" ca="1" si="27"/>
        <v/>
      </c>
    </row>
    <row r="1739" spans="1:1" x14ac:dyDescent="0.5">
      <c r="A1739" s="15" t="str">
        <f t="shared" ca="1" si="27"/>
        <v/>
      </c>
    </row>
    <row r="1740" spans="1:1" x14ac:dyDescent="0.5">
      <c r="A1740" s="15" t="str">
        <f t="shared" ca="1" si="27"/>
        <v/>
      </c>
    </row>
    <row r="1741" spans="1:1" x14ac:dyDescent="0.5">
      <c r="A1741" s="15" t="str">
        <f t="shared" ref="A1741:A1804" ca="1" si="28">IF(ROW()-12&lt;=$B$7,_xlfn.NORM.INV(RAND(),$B$5,$B$6),"")</f>
        <v/>
      </c>
    </row>
    <row r="1742" spans="1:1" x14ac:dyDescent="0.5">
      <c r="A1742" s="15" t="str">
        <f t="shared" ca="1" si="28"/>
        <v/>
      </c>
    </row>
    <row r="1743" spans="1:1" x14ac:dyDescent="0.5">
      <c r="A1743" s="15" t="str">
        <f t="shared" ca="1" si="28"/>
        <v/>
      </c>
    </row>
    <row r="1744" spans="1:1" x14ac:dyDescent="0.5">
      <c r="A1744" s="15" t="str">
        <f t="shared" ca="1" si="28"/>
        <v/>
      </c>
    </row>
    <row r="1745" spans="1:1" x14ac:dyDescent="0.5">
      <c r="A1745" s="15" t="str">
        <f t="shared" ca="1" si="28"/>
        <v/>
      </c>
    </row>
    <row r="1746" spans="1:1" x14ac:dyDescent="0.5">
      <c r="A1746" s="15" t="str">
        <f t="shared" ca="1" si="28"/>
        <v/>
      </c>
    </row>
    <row r="1747" spans="1:1" x14ac:dyDescent="0.5">
      <c r="A1747" s="15" t="str">
        <f t="shared" ca="1" si="28"/>
        <v/>
      </c>
    </row>
    <row r="1748" spans="1:1" x14ac:dyDescent="0.5">
      <c r="A1748" s="15" t="str">
        <f t="shared" ca="1" si="28"/>
        <v/>
      </c>
    </row>
    <row r="1749" spans="1:1" x14ac:dyDescent="0.5">
      <c r="A1749" s="15" t="str">
        <f t="shared" ca="1" si="28"/>
        <v/>
      </c>
    </row>
    <row r="1750" spans="1:1" x14ac:dyDescent="0.5">
      <c r="A1750" s="15" t="str">
        <f t="shared" ca="1" si="28"/>
        <v/>
      </c>
    </row>
    <row r="1751" spans="1:1" x14ac:dyDescent="0.5">
      <c r="A1751" s="15" t="str">
        <f t="shared" ca="1" si="28"/>
        <v/>
      </c>
    </row>
    <row r="1752" spans="1:1" x14ac:dyDescent="0.5">
      <c r="A1752" s="15" t="str">
        <f t="shared" ca="1" si="28"/>
        <v/>
      </c>
    </row>
    <row r="1753" spans="1:1" x14ac:dyDescent="0.5">
      <c r="A1753" s="15" t="str">
        <f t="shared" ca="1" si="28"/>
        <v/>
      </c>
    </row>
    <row r="1754" spans="1:1" x14ac:dyDescent="0.5">
      <c r="A1754" s="15" t="str">
        <f t="shared" ca="1" si="28"/>
        <v/>
      </c>
    </row>
    <row r="1755" spans="1:1" x14ac:dyDescent="0.5">
      <c r="A1755" s="15" t="str">
        <f t="shared" ca="1" si="28"/>
        <v/>
      </c>
    </row>
    <row r="1756" spans="1:1" x14ac:dyDescent="0.5">
      <c r="A1756" s="15" t="str">
        <f t="shared" ca="1" si="28"/>
        <v/>
      </c>
    </row>
    <row r="1757" spans="1:1" x14ac:dyDescent="0.5">
      <c r="A1757" s="15" t="str">
        <f t="shared" ca="1" si="28"/>
        <v/>
      </c>
    </row>
    <row r="1758" spans="1:1" x14ac:dyDescent="0.5">
      <c r="A1758" s="15" t="str">
        <f t="shared" ca="1" si="28"/>
        <v/>
      </c>
    </row>
    <row r="1759" spans="1:1" x14ac:dyDescent="0.5">
      <c r="A1759" s="15" t="str">
        <f t="shared" ca="1" si="28"/>
        <v/>
      </c>
    </row>
    <row r="1760" spans="1:1" x14ac:dyDescent="0.5">
      <c r="A1760" s="15" t="str">
        <f t="shared" ca="1" si="28"/>
        <v/>
      </c>
    </row>
    <row r="1761" spans="1:1" x14ac:dyDescent="0.5">
      <c r="A1761" s="15" t="str">
        <f t="shared" ca="1" si="28"/>
        <v/>
      </c>
    </row>
    <row r="1762" spans="1:1" x14ac:dyDescent="0.5">
      <c r="A1762" s="15" t="str">
        <f t="shared" ca="1" si="28"/>
        <v/>
      </c>
    </row>
    <row r="1763" spans="1:1" x14ac:dyDescent="0.5">
      <c r="A1763" s="15" t="str">
        <f t="shared" ca="1" si="28"/>
        <v/>
      </c>
    </row>
    <row r="1764" spans="1:1" x14ac:dyDescent="0.5">
      <c r="A1764" s="15" t="str">
        <f t="shared" ca="1" si="28"/>
        <v/>
      </c>
    </row>
    <row r="1765" spans="1:1" x14ac:dyDescent="0.5">
      <c r="A1765" s="15" t="str">
        <f t="shared" ca="1" si="28"/>
        <v/>
      </c>
    </row>
    <row r="1766" spans="1:1" x14ac:dyDescent="0.5">
      <c r="A1766" s="15" t="str">
        <f t="shared" ca="1" si="28"/>
        <v/>
      </c>
    </row>
    <row r="1767" spans="1:1" x14ac:dyDescent="0.5">
      <c r="A1767" s="15" t="str">
        <f t="shared" ca="1" si="28"/>
        <v/>
      </c>
    </row>
    <row r="1768" spans="1:1" x14ac:dyDescent="0.5">
      <c r="A1768" s="15" t="str">
        <f t="shared" ca="1" si="28"/>
        <v/>
      </c>
    </row>
    <row r="1769" spans="1:1" x14ac:dyDescent="0.5">
      <c r="A1769" s="15" t="str">
        <f t="shared" ca="1" si="28"/>
        <v/>
      </c>
    </row>
    <row r="1770" spans="1:1" x14ac:dyDescent="0.5">
      <c r="A1770" s="15" t="str">
        <f t="shared" ca="1" si="28"/>
        <v/>
      </c>
    </row>
    <row r="1771" spans="1:1" x14ac:dyDescent="0.5">
      <c r="A1771" s="15" t="str">
        <f t="shared" ca="1" si="28"/>
        <v/>
      </c>
    </row>
    <row r="1772" spans="1:1" x14ac:dyDescent="0.5">
      <c r="A1772" s="15" t="str">
        <f t="shared" ca="1" si="28"/>
        <v/>
      </c>
    </row>
    <row r="1773" spans="1:1" x14ac:dyDescent="0.5">
      <c r="A1773" s="15" t="str">
        <f t="shared" ca="1" si="28"/>
        <v/>
      </c>
    </row>
    <row r="1774" spans="1:1" x14ac:dyDescent="0.5">
      <c r="A1774" s="15" t="str">
        <f t="shared" ca="1" si="28"/>
        <v/>
      </c>
    </row>
    <row r="1775" spans="1:1" x14ac:dyDescent="0.5">
      <c r="A1775" s="15" t="str">
        <f t="shared" ca="1" si="28"/>
        <v/>
      </c>
    </row>
    <row r="1776" spans="1:1" x14ac:dyDescent="0.5">
      <c r="A1776" s="15" t="str">
        <f t="shared" ca="1" si="28"/>
        <v/>
      </c>
    </row>
    <row r="1777" spans="1:1" x14ac:dyDescent="0.5">
      <c r="A1777" s="15" t="str">
        <f t="shared" ca="1" si="28"/>
        <v/>
      </c>
    </row>
    <row r="1778" spans="1:1" x14ac:dyDescent="0.5">
      <c r="A1778" s="15" t="str">
        <f t="shared" ca="1" si="28"/>
        <v/>
      </c>
    </row>
    <row r="1779" spans="1:1" x14ac:dyDescent="0.5">
      <c r="A1779" s="15" t="str">
        <f t="shared" ca="1" si="28"/>
        <v/>
      </c>
    </row>
    <row r="1780" spans="1:1" x14ac:dyDescent="0.5">
      <c r="A1780" s="15" t="str">
        <f t="shared" ca="1" si="28"/>
        <v/>
      </c>
    </row>
    <row r="1781" spans="1:1" x14ac:dyDescent="0.5">
      <c r="A1781" s="15" t="str">
        <f t="shared" ca="1" si="28"/>
        <v/>
      </c>
    </row>
    <row r="1782" spans="1:1" x14ac:dyDescent="0.5">
      <c r="A1782" s="15" t="str">
        <f t="shared" ca="1" si="28"/>
        <v/>
      </c>
    </row>
    <row r="1783" spans="1:1" x14ac:dyDescent="0.5">
      <c r="A1783" s="15" t="str">
        <f t="shared" ca="1" si="28"/>
        <v/>
      </c>
    </row>
    <row r="1784" spans="1:1" x14ac:dyDescent="0.5">
      <c r="A1784" s="15" t="str">
        <f t="shared" ca="1" si="28"/>
        <v/>
      </c>
    </row>
    <row r="1785" spans="1:1" x14ac:dyDescent="0.5">
      <c r="A1785" s="15" t="str">
        <f t="shared" ca="1" si="28"/>
        <v/>
      </c>
    </row>
    <row r="1786" spans="1:1" x14ac:dyDescent="0.5">
      <c r="A1786" s="15" t="str">
        <f t="shared" ca="1" si="28"/>
        <v/>
      </c>
    </row>
    <row r="1787" spans="1:1" x14ac:dyDescent="0.5">
      <c r="A1787" s="15" t="str">
        <f t="shared" ca="1" si="28"/>
        <v/>
      </c>
    </row>
    <row r="1788" spans="1:1" x14ac:dyDescent="0.5">
      <c r="A1788" s="15" t="str">
        <f t="shared" ca="1" si="28"/>
        <v/>
      </c>
    </row>
    <row r="1789" spans="1:1" x14ac:dyDescent="0.5">
      <c r="A1789" s="15" t="str">
        <f t="shared" ca="1" si="28"/>
        <v/>
      </c>
    </row>
    <row r="1790" spans="1:1" x14ac:dyDescent="0.5">
      <c r="A1790" s="15" t="str">
        <f t="shared" ca="1" si="28"/>
        <v/>
      </c>
    </row>
    <row r="1791" spans="1:1" x14ac:dyDescent="0.5">
      <c r="A1791" s="15" t="str">
        <f t="shared" ca="1" si="28"/>
        <v/>
      </c>
    </row>
    <row r="1792" spans="1:1" x14ac:dyDescent="0.5">
      <c r="A1792" s="15" t="str">
        <f t="shared" ca="1" si="28"/>
        <v/>
      </c>
    </row>
    <row r="1793" spans="1:1" x14ac:dyDescent="0.5">
      <c r="A1793" s="15" t="str">
        <f t="shared" ca="1" si="28"/>
        <v/>
      </c>
    </row>
    <row r="1794" spans="1:1" x14ac:dyDescent="0.5">
      <c r="A1794" s="15" t="str">
        <f t="shared" ca="1" si="28"/>
        <v/>
      </c>
    </row>
    <row r="1795" spans="1:1" x14ac:dyDescent="0.5">
      <c r="A1795" s="15" t="str">
        <f t="shared" ca="1" si="28"/>
        <v/>
      </c>
    </row>
    <row r="1796" spans="1:1" x14ac:dyDescent="0.5">
      <c r="A1796" s="15" t="str">
        <f t="shared" ca="1" si="28"/>
        <v/>
      </c>
    </row>
    <row r="1797" spans="1:1" x14ac:dyDescent="0.5">
      <c r="A1797" s="15" t="str">
        <f t="shared" ca="1" si="28"/>
        <v/>
      </c>
    </row>
    <row r="1798" spans="1:1" x14ac:dyDescent="0.5">
      <c r="A1798" s="15" t="str">
        <f t="shared" ca="1" si="28"/>
        <v/>
      </c>
    </row>
    <row r="1799" spans="1:1" x14ac:dyDescent="0.5">
      <c r="A1799" s="15" t="str">
        <f t="shared" ca="1" si="28"/>
        <v/>
      </c>
    </row>
    <row r="1800" spans="1:1" x14ac:dyDescent="0.5">
      <c r="A1800" s="15" t="str">
        <f t="shared" ca="1" si="28"/>
        <v/>
      </c>
    </row>
    <row r="1801" spans="1:1" x14ac:dyDescent="0.5">
      <c r="A1801" s="15" t="str">
        <f t="shared" ca="1" si="28"/>
        <v/>
      </c>
    </row>
    <row r="1802" spans="1:1" x14ac:dyDescent="0.5">
      <c r="A1802" s="15" t="str">
        <f t="shared" ca="1" si="28"/>
        <v/>
      </c>
    </row>
    <row r="1803" spans="1:1" x14ac:dyDescent="0.5">
      <c r="A1803" s="15" t="str">
        <f t="shared" ca="1" si="28"/>
        <v/>
      </c>
    </row>
    <row r="1804" spans="1:1" x14ac:dyDescent="0.5">
      <c r="A1804" s="15" t="str">
        <f t="shared" ca="1" si="28"/>
        <v/>
      </c>
    </row>
    <row r="1805" spans="1:1" x14ac:dyDescent="0.5">
      <c r="A1805" s="15" t="str">
        <f t="shared" ref="A1805:A1868" ca="1" si="29">IF(ROW()-12&lt;=$B$7,_xlfn.NORM.INV(RAND(),$B$5,$B$6),"")</f>
        <v/>
      </c>
    </row>
    <row r="1806" spans="1:1" x14ac:dyDescent="0.5">
      <c r="A1806" s="15" t="str">
        <f t="shared" ca="1" si="29"/>
        <v/>
      </c>
    </row>
    <row r="1807" spans="1:1" x14ac:dyDescent="0.5">
      <c r="A1807" s="15" t="str">
        <f t="shared" ca="1" si="29"/>
        <v/>
      </c>
    </row>
    <row r="1808" spans="1:1" x14ac:dyDescent="0.5">
      <c r="A1808" s="15" t="str">
        <f t="shared" ca="1" si="29"/>
        <v/>
      </c>
    </row>
    <row r="1809" spans="1:1" x14ac:dyDescent="0.5">
      <c r="A1809" s="15" t="str">
        <f t="shared" ca="1" si="29"/>
        <v/>
      </c>
    </row>
    <row r="1810" spans="1:1" x14ac:dyDescent="0.5">
      <c r="A1810" s="15" t="str">
        <f t="shared" ca="1" si="29"/>
        <v/>
      </c>
    </row>
    <row r="1811" spans="1:1" x14ac:dyDescent="0.5">
      <c r="A1811" s="15" t="str">
        <f t="shared" ca="1" si="29"/>
        <v/>
      </c>
    </row>
    <row r="1812" spans="1:1" x14ac:dyDescent="0.5">
      <c r="A1812" s="15" t="str">
        <f t="shared" ca="1" si="29"/>
        <v/>
      </c>
    </row>
    <row r="1813" spans="1:1" x14ac:dyDescent="0.5">
      <c r="A1813" s="15" t="str">
        <f t="shared" ca="1" si="29"/>
        <v/>
      </c>
    </row>
    <row r="1814" spans="1:1" x14ac:dyDescent="0.5">
      <c r="A1814" s="15" t="str">
        <f t="shared" ca="1" si="29"/>
        <v/>
      </c>
    </row>
    <row r="1815" spans="1:1" x14ac:dyDescent="0.5">
      <c r="A1815" s="15" t="str">
        <f t="shared" ca="1" si="29"/>
        <v/>
      </c>
    </row>
    <row r="1816" spans="1:1" x14ac:dyDescent="0.5">
      <c r="A1816" s="15" t="str">
        <f t="shared" ca="1" si="29"/>
        <v/>
      </c>
    </row>
    <row r="1817" spans="1:1" x14ac:dyDescent="0.5">
      <c r="A1817" s="15" t="str">
        <f t="shared" ca="1" si="29"/>
        <v/>
      </c>
    </row>
    <row r="1818" spans="1:1" x14ac:dyDescent="0.5">
      <c r="A1818" s="15" t="str">
        <f t="shared" ca="1" si="29"/>
        <v/>
      </c>
    </row>
    <row r="1819" spans="1:1" x14ac:dyDescent="0.5">
      <c r="A1819" s="15" t="str">
        <f t="shared" ca="1" si="29"/>
        <v/>
      </c>
    </row>
    <row r="1820" spans="1:1" x14ac:dyDescent="0.5">
      <c r="A1820" s="15" t="str">
        <f t="shared" ca="1" si="29"/>
        <v/>
      </c>
    </row>
    <row r="1821" spans="1:1" x14ac:dyDescent="0.5">
      <c r="A1821" s="15" t="str">
        <f t="shared" ca="1" si="29"/>
        <v/>
      </c>
    </row>
    <row r="1822" spans="1:1" x14ac:dyDescent="0.5">
      <c r="A1822" s="15" t="str">
        <f t="shared" ca="1" si="29"/>
        <v/>
      </c>
    </row>
    <row r="1823" spans="1:1" x14ac:dyDescent="0.5">
      <c r="A1823" s="15" t="str">
        <f t="shared" ca="1" si="29"/>
        <v/>
      </c>
    </row>
    <row r="1824" spans="1:1" x14ac:dyDescent="0.5">
      <c r="A1824" s="15" t="str">
        <f t="shared" ca="1" si="29"/>
        <v/>
      </c>
    </row>
    <row r="1825" spans="1:1" x14ac:dyDescent="0.5">
      <c r="A1825" s="15" t="str">
        <f t="shared" ca="1" si="29"/>
        <v/>
      </c>
    </row>
    <row r="1826" spans="1:1" x14ac:dyDescent="0.5">
      <c r="A1826" s="15" t="str">
        <f t="shared" ca="1" si="29"/>
        <v/>
      </c>
    </row>
    <row r="1827" spans="1:1" x14ac:dyDescent="0.5">
      <c r="A1827" s="15" t="str">
        <f t="shared" ca="1" si="29"/>
        <v/>
      </c>
    </row>
    <row r="1828" spans="1:1" x14ac:dyDescent="0.5">
      <c r="A1828" s="15" t="str">
        <f t="shared" ca="1" si="29"/>
        <v/>
      </c>
    </row>
    <row r="1829" spans="1:1" x14ac:dyDescent="0.5">
      <c r="A1829" s="15" t="str">
        <f t="shared" ca="1" si="29"/>
        <v/>
      </c>
    </row>
    <row r="1830" spans="1:1" x14ac:dyDescent="0.5">
      <c r="A1830" s="15" t="str">
        <f t="shared" ca="1" si="29"/>
        <v/>
      </c>
    </row>
    <row r="1831" spans="1:1" x14ac:dyDescent="0.5">
      <c r="A1831" s="15" t="str">
        <f t="shared" ca="1" si="29"/>
        <v/>
      </c>
    </row>
    <row r="1832" spans="1:1" x14ac:dyDescent="0.5">
      <c r="A1832" s="15" t="str">
        <f t="shared" ca="1" si="29"/>
        <v/>
      </c>
    </row>
    <row r="1833" spans="1:1" x14ac:dyDescent="0.5">
      <c r="A1833" s="15" t="str">
        <f t="shared" ca="1" si="29"/>
        <v/>
      </c>
    </row>
    <row r="1834" spans="1:1" x14ac:dyDescent="0.5">
      <c r="A1834" s="15" t="str">
        <f t="shared" ca="1" si="29"/>
        <v/>
      </c>
    </row>
    <row r="1835" spans="1:1" x14ac:dyDescent="0.5">
      <c r="A1835" s="15" t="str">
        <f t="shared" ca="1" si="29"/>
        <v/>
      </c>
    </row>
    <row r="1836" spans="1:1" x14ac:dyDescent="0.5">
      <c r="A1836" s="15" t="str">
        <f t="shared" ca="1" si="29"/>
        <v/>
      </c>
    </row>
    <row r="1837" spans="1:1" x14ac:dyDescent="0.5">
      <c r="A1837" s="15" t="str">
        <f t="shared" ca="1" si="29"/>
        <v/>
      </c>
    </row>
    <row r="1838" spans="1:1" x14ac:dyDescent="0.5">
      <c r="A1838" s="15" t="str">
        <f t="shared" ca="1" si="29"/>
        <v/>
      </c>
    </row>
    <row r="1839" spans="1:1" x14ac:dyDescent="0.5">
      <c r="A1839" s="15" t="str">
        <f t="shared" ca="1" si="29"/>
        <v/>
      </c>
    </row>
    <row r="1840" spans="1:1" x14ac:dyDescent="0.5">
      <c r="A1840" s="15" t="str">
        <f t="shared" ca="1" si="29"/>
        <v/>
      </c>
    </row>
    <row r="1841" spans="1:1" x14ac:dyDescent="0.5">
      <c r="A1841" s="15" t="str">
        <f t="shared" ca="1" si="29"/>
        <v/>
      </c>
    </row>
    <row r="1842" spans="1:1" x14ac:dyDescent="0.5">
      <c r="A1842" s="15" t="str">
        <f t="shared" ca="1" si="29"/>
        <v/>
      </c>
    </row>
    <row r="1843" spans="1:1" x14ac:dyDescent="0.5">
      <c r="A1843" s="15" t="str">
        <f t="shared" ca="1" si="29"/>
        <v/>
      </c>
    </row>
    <row r="1844" spans="1:1" x14ac:dyDescent="0.5">
      <c r="A1844" s="15" t="str">
        <f t="shared" ca="1" si="29"/>
        <v/>
      </c>
    </row>
    <row r="1845" spans="1:1" x14ac:dyDescent="0.5">
      <c r="A1845" s="15" t="str">
        <f t="shared" ca="1" si="29"/>
        <v/>
      </c>
    </row>
    <row r="1846" spans="1:1" x14ac:dyDescent="0.5">
      <c r="A1846" s="15" t="str">
        <f t="shared" ca="1" si="29"/>
        <v/>
      </c>
    </row>
    <row r="1847" spans="1:1" x14ac:dyDescent="0.5">
      <c r="A1847" s="15" t="str">
        <f t="shared" ca="1" si="29"/>
        <v/>
      </c>
    </row>
    <row r="1848" spans="1:1" x14ac:dyDescent="0.5">
      <c r="A1848" s="15" t="str">
        <f t="shared" ca="1" si="29"/>
        <v/>
      </c>
    </row>
    <row r="1849" spans="1:1" x14ac:dyDescent="0.5">
      <c r="A1849" s="15" t="str">
        <f t="shared" ca="1" si="29"/>
        <v/>
      </c>
    </row>
    <row r="1850" spans="1:1" x14ac:dyDescent="0.5">
      <c r="A1850" s="15" t="str">
        <f t="shared" ca="1" si="29"/>
        <v/>
      </c>
    </row>
    <row r="1851" spans="1:1" x14ac:dyDescent="0.5">
      <c r="A1851" s="15" t="str">
        <f t="shared" ca="1" si="29"/>
        <v/>
      </c>
    </row>
    <row r="1852" spans="1:1" x14ac:dyDescent="0.5">
      <c r="A1852" s="15" t="str">
        <f t="shared" ca="1" si="29"/>
        <v/>
      </c>
    </row>
    <row r="1853" spans="1:1" x14ac:dyDescent="0.5">
      <c r="A1853" s="15" t="str">
        <f t="shared" ca="1" si="29"/>
        <v/>
      </c>
    </row>
    <row r="1854" spans="1:1" x14ac:dyDescent="0.5">
      <c r="A1854" s="15" t="str">
        <f t="shared" ca="1" si="29"/>
        <v/>
      </c>
    </row>
    <row r="1855" spans="1:1" x14ac:dyDescent="0.5">
      <c r="A1855" s="15" t="str">
        <f t="shared" ca="1" si="29"/>
        <v/>
      </c>
    </row>
    <row r="1856" spans="1:1" x14ac:dyDescent="0.5">
      <c r="A1856" s="15" t="str">
        <f t="shared" ca="1" si="29"/>
        <v/>
      </c>
    </row>
    <row r="1857" spans="1:1" x14ac:dyDescent="0.5">
      <c r="A1857" s="15" t="str">
        <f t="shared" ca="1" si="29"/>
        <v/>
      </c>
    </row>
    <row r="1858" spans="1:1" x14ac:dyDescent="0.5">
      <c r="A1858" s="15" t="str">
        <f t="shared" ca="1" si="29"/>
        <v/>
      </c>
    </row>
    <row r="1859" spans="1:1" x14ac:dyDescent="0.5">
      <c r="A1859" s="15" t="str">
        <f t="shared" ca="1" si="29"/>
        <v/>
      </c>
    </row>
    <row r="1860" spans="1:1" x14ac:dyDescent="0.5">
      <c r="A1860" s="15" t="str">
        <f t="shared" ca="1" si="29"/>
        <v/>
      </c>
    </row>
    <row r="1861" spans="1:1" x14ac:dyDescent="0.5">
      <c r="A1861" s="15" t="str">
        <f t="shared" ca="1" si="29"/>
        <v/>
      </c>
    </row>
    <row r="1862" spans="1:1" x14ac:dyDescent="0.5">
      <c r="A1862" s="15" t="str">
        <f t="shared" ca="1" si="29"/>
        <v/>
      </c>
    </row>
    <row r="1863" spans="1:1" x14ac:dyDescent="0.5">
      <c r="A1863" s="15" t="str">
        <f t="shared" ca="1" si="29"/>
        <v/>
      </c>
    </row>
    <row r="1864" spans="1:1" x14ac:dyDescent="0.5">
      <c r="A1864" s="15" t="str">
        <f t="shared" ca="1" si="29"/>
        <v/>
      </c>
    </row>
    <row r="1865" spans="1:1" x14ac:dyDescent="0.5">
      <c r="A1865" s="15" t="str">
        <f t="shared" ca="1" si="29"/>
        <v/>
      </c>
    </row>
    <row r="1866" spans="1:1" x14ac:dyDescent="0.5">
      <c r="A1866" s="15" t="str">
        <f t="shared" ca="1" si="29"/>
        <v/>
      </c>
    </row>
    <row r="1867" spans="1:1" x14ac:dyDescent="0.5">
      <c r="A1867" s="15" t="str">
        <f t="shared" ca="1" si="29"/>
        <v/>
      </c>
    </row>
    <row r="1868" spans="1:1" x14ac:dyDescent="0.5">
      <c r="A1868" s="15" t="str">
        <f t="shared" ca="1" si="29"/>
        <v/>
      </c>
    </row>
    <row r="1869" spans="1:1" x14ac:dyDescent="0.5">
      <c r="A1869" s="15" t="str">
        <f t="shared" ref="A1869:A1932" ca="1" si="30">IF(ROW()-12&lt;=$B$7,_xlfn.NORM.INV(RAND(),$B$5,$B$6),"")</f>
        <v/>
      </c>
    </row>
    <row r="1870" spans="1:1" x14ac:dyDescent="0.5">
      <c r="A1870" s="15" t="str">
        <f t="shared" ca="1" si="30"/>
        <v/>
      </c>
    </row>
    <row r="1871" spans="1:1" x14ac:dyDescent="0.5">
      <c r="A1871" s="15" t="str">
        <f t="shared" ca="1" si="30"/>
        <v/>
      </c>
    </row>
    <row r="1872" spans="1:1" x14ac:dyDescent="0.5">
      <c r="A1872" s="15" t="str">
        <f t="shared" ca="1" si="30"/>
        <v/>
      </c>
    </row>
    <row r="1873" spans="1:1" x14ac:dyDescent="0.5">
      <c r="A1873" s="15" t="str">
        <f t="shared" ca="1" si="30"/>
        <v/>
      </c>
    </row>
    <row r="1874" spans="1:1" x14ac:dyDescent="0.5">
      <c r="A1874" s="15" t="str">
        <f t="shared" ca="1" si="30"/>
        <v/>
      </c>
    </row>
    <row r="1875" spans="1:1" x14ac:dyDescent="0.5">
      <c r="A1875" s="15" t="str">
        <f t="shared" ca="1" si="30"/>
        <v/>
      </c>
    </row>
    <row r="1876" spans="1:1" x14ac:dyDescent="0.5">
      <c r="A1876" s="15" t="str">
        <f t="shared" ca="1" si="30"/>
        <v/>
      </c>
    </row>
    <row r="1877" spans="1:1" x14ac:dyDescent="0.5">
      <c r="A1877" s="15" t="str">
        <f t="shared" ca="1" si="30"/>
        <v/>
      </c>
    </row>
    <row r="1878" spans="1:1" x14ac:dyDescent="0.5">
      <c r="A1878" s="15" t="str">
        <f t="shared" ca="1" si="30"/>
        <v/>
      </c>
    </row>
    <row r="1879" spans="1:1" x14ac:dyDescent="0.5">
      <c r="A1879" s="15" t="str">
        <f t="shared" ca="1" si="30"/>
        <v/>
      </c>
    </row>
    <row r="1880" spans="1:1" x14ac:dyDescent="0.5">
      <c r="A1880" s="15" t="str">
        <f t="shared" ca="1" si="30"/>
        <v/>
      </c>
    </row>
    <row r="1881" spans="1:1" x14ac:dyDescent="0.5">
      <c r="A1881" s="15" t="str">
        <f t="shared" ca="1" si="30"/>
        <v/>
      </c>
    </row>
    <row r="1882" spans="1:1" x14ac:dyDescent="0.5">
      <c r="A1882" s="15" t="str">
        <f t="shared" ca="1" si="30"/>
        <v/>
      </c>
    </row>
    <row r="1883" spans="1:1" x14ac:dyDescent="0.5">
      <c r="A1883" s="15" t="str">
        <f t="shared" ca="1" si="30"/>
        <v/>
      </c>
    </row>
    <row r="1884" spans="1:1" x14ac:dyDescent="0.5">
      <c r="A1884" s="15" t="str">
        <f t="shared" ca="1" si="30"/>
        <v/>
      </c>
    </row>
    <row r="1885" spans="1:1" x14ac:dyDescent="0.5">
      <c r="A1885" s="15" t="str">
        <f t="shared" ca="1" si="30"/>
        <v/>
      </c>
    </row>
    <row r="1886" spans="1:1" x14ac:dyDescent="0.5">
      <c r="A1886" s="15" t="str">
        <f t="shared" ca="1" si="30"/>
        <v/>
      </c>
    </row>
    <row r="1887" spans="1:1" x14ac:dyDescent="0.5">
      <c r="A1887" s="15" t="str">
        <f t="shared" ca="1" si="30"/>
        <v/>
      </c>
    </row>
    <row r="1888" spans="1:1" x14ac:dyDescent="0.5">
      <c r="A1888" s="15" t="str">
        <f t="shared" ca="1" si="30"/>
        <v/>
      </c>
    </row>
    <row r="1889" spans="1:1" x14ac:dyDescent="0.5">
      <c r="A1889" s="15" t="str">
        <f t="shared" ca="1" si="30"/>
        <v/>
      </c>
    </row>
    <row r="1890" spans="1:1" x14ac:dyDescent="0.5">
      <c r="A1890" s="15" t="str">
        <f t="shared" ca="1" si="30"/>
        <v/>
      </c>
    </row>
    <row r="1891" spans="1:1" x14ac:dyDescent="0.5">
      <c r="A1891" s="15" t="str">
        <f t="shared" ca="1" si="30"/>
        <v/>
      </c>
    </row>
    <row r="1892" spans="1:1" x14ac:dyDescent="0.5">
      <c r="A1892" s="15" t="str">
        <f t="shared" ca="1" si="30"/>
        <v/>
      </c>
    </row>
    <row r="1893" spans="1:1" x14ac:dyDescent="0.5">
      <c r="A1893" s="15" t="str">
        <f t="shared" ca="1" si="30"/>
        <v/>
      </c>
    </row>
    <row r="1894" spans="1:1" x14ac:dyDescent="0.5">
      <c r="A1894" s="15" t="str">
        <f t="shared" ca="1" si="30"/>
        <v/>
      </c>
    </row>
    <row r="1895" spans="1:1" x14ac:dyDescent="0.5">
      <c r="A1895" s="15" t="str">
        <f t="shared" ca="1" si="30"/>
        <v/>
      </c>
    </row>
    <row r="1896" spans="1:1" x14ac:dyDescent="0.5">
      <c r="A1896" s="15" t="str">
        <f t="shared" ca="1" si="30"/>
        <v/>
      </c>
    </row>
    <row r="1897" spans="1:1" x14ac:dyDescent="0.5">
      <c r="A1897" s="15" t="str">
        <f t="shared" ca="1" si="30"/>
        <v/>
      </c>
    </row>
    <row r="1898" spans="1:1" x14ac:dyDescent="0.5">
      <c r="A1898" s="15" t="str">
        <f t="shared" ca="1" si="30"/>
        <v/>
      </c>
    </row>
    <row r="1899" spans="1:1" x14ac:dyDescent="0.5">
      <c r="A1899" s="15" t="str">
        <f t="shared" ca="1" si="30"/>
        <v/>
      </c>
    </row>
    <row r="1900" spans="1:1" x14ac:dyDescent="0.5">
      <c r="A1900" s="15" t="str">
        <f t="shared" ca="1" si="30"/>
        <v/>
      </c>
    </row>
    <row r="1901" spans="1:1" x14ac:dyDescent="0.5">
      <c r="A1901" s="15" t="str">
        <f t="shared" ca="1" si="30"/>
        <v/>
      </c>
    </row>
    <row r="1902" spans="1:1" x14ac:dyDescent="0.5">
      <c r="A1902" s="15" t="str">
        <f t="shared" ca="1" si="30"/>
        <v/>
      </c>
    </row>
    <row r="1903" spans="1:1" x14ac:dyDescent="0.5">
      <c r="A1903" s="15" t="str">
        <f t="shared" ca="1" si="30"/>
        <v/>
      </c>
    </row>
    <row r="1904" spans="1:1" x14ac:dyDescent="0.5">
      <c r="A1904" s="15" t="str">
        <f t="shared" ca="1" si="30"/>
        <v/>
      </c>
    </row>
    <row r="1905" spans="1:1" x14ac:dyDescent="0.5">
      <c r="A1905" s="15" t="str">
        <f t="shared" ca="1" si="30"/>
        <v/>
      </c>
    </row>
    <row r="1906" spans="1:1" x14ac:dyDescent="0.5">
      <c r="A1906" s="15" t="str">
        <f t="shared" ca="1" si="30"/>
        <v/>
      </c>
    </row>
    <row r="1907" spans="1:1" x14ac:dyDescent="0.5">
      <c r="A1907" s="15" t="str">
        <f t="shared" ca="1" si="30"/>
        <v/>
      </c>
    </row>
    <row r="1908" spans="1:1" x14ac:dyDescent="0.5">
      <c r="A1908" s="15" t="str">
        <f t="shared" ca="1" si="30"/>
        <v/>
      </c>
    </row>
    <row r="1909" spans="1:1" x14ac:dyDescent="0.5">
      <c r="A1909" s="15" t="str">
        <f t="shared" ca="1" si="30"/>
        <v/>
      </c>
    </row>
    <row r="1910" spans="1:1" x14ac:dyDescent="0.5">
      <c r="A1910" s="15" t="str">
        <f t="shared" ca="1" si="30"/>
        <v/>
      </c>
    </row>
    <row r="1911" spans="1:1" x14ac:dyDescent="0.5">
      <c r="A1911" s="15" t="str">
        <f t="shared" ca="1" si="30"/>
        <v/>
      </c>
    </row>
    <row r="1912" spans="1:1" x14ac:dyDescent="0.5">
      <c r="A1912" s="15" t="str">
        <f t="shared" ca="1" si="30"/>
        <v/>
      </c>
    </row>
    <row r="1913" spans="1:1" x14ac:dyDescent="0.5">
      <c r="A1913" s="15" t="str">
        <f t="shared" ca="1" si="30"/>
        <v/>
      </c>
    </row>
    <row r="1914" spans="1:1" x14ac:dyDescent="0.5">
      <c r="A1914" s="15" t="str">
        <f t="shared" ca="1" si="30"/>
        <v/>
      </c>
    </row>
    <row r="1915" spans="1:1" x14ac:dyDescent="0.5">
      <c r="A1915" s="15" t="str">
        <f t="shared" ca="1" si="30"/>
        <v/>
      </c>
    </row>
    <row r="1916" spans="1:1" x14ac:dyDescent="0.5">
      <c r="A1916" s="15" t="str">
        <f t="shared" ca="1" si="30"/>
        <v/>
      </c>
    </row>
    <row r="1917" spans="1:1" x14ac:dyDescent="0.5">
      <c r="A1917" s="15" t="str">
        <f t="shared" ca="1" si="30"/>
        <v/>
      </c>
    </row>
    <row r="1918" spans="1:1" x14ac:dyDescent="0.5">
      <c r="A1918" s="15" t="str">
        <f t="shared" ca="1" si="30"/>
        <v/>
      </c>
    </row>
    <row r="1919" spans="1:1" x14ac:dyDescent="0.5">
      <c r="A1919" s="15" t="str">
        <f t="shared" ca="1" si="30"/>
        <v/>
      </c>
    </row>
    <row r="1920" spans="1:1" x14ac:dyDescent="0.5">
      <c r="A1920" s="15" t="str">
        <f t="shared" ca="1" si="30"/>
        <v/>
      </c>
    </row>
    <row r="1921" spans="1:1" x14ac:dyDescent="0.5">
      <c r="A1921" s="15" t="str">
        <f t="shared" ca="1" si="30"/>
        <v/>
      </c>
    </row>
    <row r="1922" spans="1:1" x14ac:dyDescent="0.5">
      <c r="A1922" s="15" t="str">
        <f t="shared" ca="1" si="30"/>
        <v/>
      </c>
    </row>
    <row r="1923" spans="1:1" x14ac:dyDescent="0.5">
      <c r="A1923" s="15" t="str">
        <f t="shared" ca="1" si="30"/>
        <v/>
      </c>
    </row>
    <row r="1924" spans="1:1" x14ac:dyDescent="0.5">
      <c r="A1924" s="15" t="str">
        <f t="shared" ca="1" si="30"/>
        <v/>
      </c>
    </row>
    <row r="1925" spans="1:1" x14ac:dyDescent="0.5">
      <c r="A1925" s="15" t="str">
        <f t="shared" ca="1" si="30"/>
        <v/>
      </c>
    </row>
    <row r="1926" spans="1:1" x14ac:dyDescent="0.5">
      <c r="A1926" s="15" t="str">
        <f t="shared" ca="1" si="30"/>
        <v/>
      </c>
    </row>
    <row r="1927" spans="1:1" x14ac:dyDescent="0.5">
      <c r="A1927" s="15" t="str">
        <f t="shared" ca="1" si="30"/>
        <v/>
      </c>
    </row>
    <row r="1928" spans="1:1" x14ac:dyDescent="0.5">
      <c r="A1928" s="15" t="str">
        <f t="shared" ca="1" si="30"/>
        <v/>
      </c>
    </row>
    <row r="1929" spans="1:1" x14ac:dyDescent="0.5">
      <c r="A1929" s="15" t="str">
        <f t="shared" ca="1" si="30"/>
        <v/>
      </c>
    </row>
    <row r="1930" spans="1:1" x14ac:dyDescent="0.5">
      <c r="A1930" s="15" t="str">
        <f t="shared" ca="1" si="30"/>
        <v/>
      </c>
    </row>
    <row r="1931" spans="1:1" x14ac:dyDescent="0.5">
      <c r="A1931" s="15" t="str">
        <f t="shared" ca="1" si="30"/>
        <v/>
      </c>
    </row>
    <row r="1932" spans="1:1" x14ac:dyDescent="0.5">
      <c r="A1932" s="15" t="str">
        <f t="shared" ca="1" si="30"/>
        <v/>
      </c>
    </row>
    <row r="1933" spans="1:1" x14ac:dyDescent="0.5">
      <c r="A1933" s="15" t="str">
        <f t="shared" ref="A1933:A1996" ca="1" si="31">IF(ROW()-12&lt;=$B$7,_xlfn.NORM.INV(RAND(),$B$5,$B$6),"")</f>
        <v/>
      </c>
    </row>
    <row r="1934" spans="1:1" x14ac:dyDescent="0.5">
      <c r="A1934" s="15" t="str">
        <f t="shared" ca="1" si="31"/>
        <v/>
      </c>
    </row>
    <row r="1935" spans="1:1" x14ac:dyDescent="0.5">
      <c r="A1935" s="15" t="str">
        <f t="shared" ca="1" si="31"/>
        <v/>
      </c>
    </row>
    <row r="1936" spans="1:1" x14ac:dyDescent="0.5">
      <c r="A1936" s="15" t="str">
        <f t="shared" ca="1" si="31"/>
        <v/>
      </c>
    </row>
    <row r="1937" spans="1:1" x14ac:dyDescent="0.5">
      <c r="A1937" s="15" t="str">
        <f t="shared" ca="1" si="31"/>
        <v/>
      </c>
    </row>
    <row r="1938" spans="1:1" x14ac:dyDescent="0.5">
      <c r="A1938" s="15" t="str">
        <f t="shared" ca="1" si="31"/>
        <v/>
      </c>
    </row>
    <row r="1939" spans="1:1" x14ac:dyDescent="0.5">
      <c r="A1939" s="15" t="str">
        <f t="shared" ca="1" si="31"/>
        <v/>
      </c>
    </row>
    <row r="1940" spans="1:1" x14ac:dyDescent="0.5">
      <c r="A1940" s="15" t="str">
        <f t="shared" ca="1" si="31"/>
        <v/>
      </c>
    </row>
    <row r="1941" spans="1:1" x14ac:dyDescent="0.5">
      <c r="A1941" s="15" t="str">
        <f t="shared" ca="1" si="31"/>
        <v/>
      </c>
    </row>
    <row r="1942" spans="1:1" x14ac:dyDescent="0.5">
      <c r="A1942" s="15" t="str">
        <f t="shared" ca="1" si="31"/>
        <v/>
      </c>
    </row>
    <row r="1943" spans="1:1" x14ac:dyDescent="0.5">
      <c r="A1943" s="15" t="str">
        <f t="shared" ca="1" si="31"/>
        <v/>
      </c>
    </row>
    <row r="1944" spans="1:1" x14ac:dyDescent="0.5">
      <c r="A1944" s="15" t="str">
        <f t="shared" ca="1" si="31"/>
        <v/>
      </c>
    </row>
    <row r="1945" spans="1:1" x14ac:dyDescent="0.5">
      <c r="A1945" s="15" t="str">
        <f t="shared" ca="1" si="31"/>
        <v/>
      </c>
    </row>
    <row r="1946" spans="1:1" x14ac:dyDescent="0.5">
      <c r="A1946" s="15" t="str">
        <f t="shared" ca="1" si="31"/>
        <v/>
      </c>
    </row>
    <row r="1947" spans="1:1" x14ac:dyDescent="0.5">
      <c r="A1947" s="15" t="str">
        <f t="shared" ca="1" si="31"/>
        <v/>
      </c>
    </row>
    <row r="1948" spans="1:1" x14ac:dyDescent="0.5">
      <c r="A1948" s="15" t="str">
        <f t="shared" ca="1" si="31"/>
        <v/>
      </c>
    </row>
    <row r="1949" spans="1:1" x14ac:dyDescent="0.5">
      <c r="A1949" s="15" t="str">
        <f t="shared" ca="1" si="31"/>
        <v/>
      </c>
    </row>
    <row r="1950" spans="1:1" x14ac:dyDescent="0.5">
      <c r="A1950" s="15" t="str">
        <f t="shared" ca="1" si="31"/>
        <v/>
      </c>
    </row>
    <row r="1951" spans="1:1" x14ac:dyDescent="0.5">
      <c r="A1951" s="15" t="str">
        <f t="shared" ca="1" si="31"/>
        <v/>
      </c>
    </row>
    <row r="1952" spans="1:1" x14ac:dyDescent="0.5">
      <c r="A1952" s="15" t="str">
        <f t="shared" ca="1" si="31"/>
        <v/>
      </c>
    </row>
    <row r="1953" spans="1:1" x14ac:dyDescent="0.5">
      <c r="A1953" s="15" t="str">
        <f t="shared" ca="1" si="31"/>
        <v/>
      </c>
    </row>
    <row r="1954" spans="1:1" x14ac:dyDescent="0.5">
      <c r="A1954" s="15" t="str">
        <f t="shared" ca="1" si="31"/>
        <v/>
      </c>
    </row>
    <row r="1955" spans="1:1" x14ac:dyDescent="0.5">
      <c r="A1955" s="15" t="str">
        <f t="shared" ca="1" si="31"/>
        <v/>
      </c>
    </row>
    <row r="1956" spans="1:1" x14ac:dyDescent="0.5">
      <c r="A1956" s="15" t="str">
        <f t="shared" ca="1" si="31"/>
        <v/>
      </c>
    </row>
    <row r="1957" spans="1:1" x14ac:dyDescent="0.5">
      <c r="A1957" s="15" t="str">
        <f t="shared" ca="1" si="31"/>
        <v/>
      </c>
    </row>
    <row r="1958" spans="1:1" x14ac:dyDescent="0.5">
      <c r="A1958" s="15" t="str">
        <f t="shared" ca="1" si="31"/>
        <v/>
      </c>
    </row>
    <row r="1959" spans="1:1" x14ac:dyDescent="0.5">
      <c r="A1959" s="15" t="str">
        <f t="shared" ca="1" si="31"/>
        <v/>
      </c>
    </row>
    <row r="1960" spans="1:1" x14ac:dyDescent="0.5">
      <c r="A1960" s="15" t="str">
        <f t="shared" ca="1" si="31"/>
        <v/>
      </c>
    </row>
    <row r="1961" spans="1:1" x14ac:dyDescent="0.5">
      <c r="A1961" s="15" t="str">
        <f t="shared" ca="1" si="31"/>
        <v/>
      </c>
    </row>
    <row r="1962" spans="1:1" x14ac:dyDescent="0.5">
      <c r="A1962" s="15" t="str">
        <f t="shared" ca="1" si="31"/>
        <v/>
      </c>
    </row>
    <row r="1963" spans="1:1" x14ac:dyDescent="0.5">
      <c r="A1963" s="15" t="str">
        <f t="shared" ca="1" si="31"/>
        <v/>
      </c>
    </row>
    <row r="1964" spans="1:1" x14ac:dyDescent="0.5">
      <c r="A1964" s="15" t="str">
        <f t="shared" ca="1" si="31"/>
        <v/>
      </c>
    </row>
    <row r="1965" spans="1:1" x14ac:dyDescent="0.5">
      <c r="A1965" s="15" t="str">
        <f t="shared" ca="1" si="31"/>
        <v/>
      </c>
    </row>
    <row r="1966" spans="1:1" x14ac:dyDescent="0.5">
      <c r="A1966" s="15" t="str">
        <f t="shared" ca="1" si="31"/>
        <v/>
      </c>
    </row>
    <row r="1967" spans="1:1" x14ac:dyDescent="0.5">
      <c r="A1967" s="15" t="str">
        <f t="shared" ca="1" si="31"/>
        <v/>
      </c>
    </row>
    <row r="1968" spans="1:1" x14ac:dyDescent="0.5">
      <c r="A1968" s="15" t="str">
        <f t="shared" ca="1" si="31"/>
        <v/>
      </c>
    </row>
    <row r="1969" spans="1:1" x14ac:dyDescent="0.5">
      <c r="A1969" s="15" t="str">
        <f t="shared" ca="1" si="31"/>
        <v/>
      </c>
    </row>
    <row r="1970" spans="1:1" x14ac:dyDescent="0.5">
      <c r="A1970" s="15" t="str">
        <f t="shared" ca="1" si="31"/>
        <v/>
      </c>
    </row>
    <row r="1971" spans="1:1" x14ac:dyDescent="0.5">
      <c r="A1971" s="15" t="str">
        <f t="shared" ca="1" si="31"/>
        <v/>
      </c>
    </row>
    <row r="1972" spans="1:1" x14ac:dyDescent="0.5">
      <c r="A1972" s="15" t="str">
        <f t="shared" ca="1" si="31"/>
        <v/>
      </c>
    </row>
    <row r="1973" spans="1:1" x14ac:dyDescent="0.5">
      <c r="A1973" s="15" t="str">
        <f t="shared" ca="1" si="31"/>
        <v/>
      </c>
    </row>
    <row r="1974" spans="1:1" x14ac:dyDescent="0.5">
      <c r="A1974" s="15" t="str">
        <f t="shared" ca="1" si="31"/>
        <v/>
      </c>
    </row>
    <row r="1975" spans="1:1" x14ac:dyDescent="0.5">
      <c r="A1975" s="15" t="str">
        <f t="shared" ca="1" si="31"/>
        <v/>
      </c>
    </row>
    <row r="1976" spans="1:1" x14ac:dyDescent="0.5">
      <c r="A1976" s="15" t="str">
        <f t="shared" ca="1" si="31"/>
        <v/>
      </c>
    </row>
    <row r="1977" spans="1:1" x14ac:dyDescent="0.5">
      <c r="A1977" s="15" t="str">
        <f t="shared" ca="1" si="31"/>
        <v/>
      </c>
    </row>
    <row r="1978" spans="1:1" x14ac:dyDescent="0.5">
      <c r="A1978" s="15" t="str">
        <f t="shared" ca="1" si="31"/>
        <v/>
      </c>
    </row>
    <row r="1979" spans="1:1" x14ac:dyDescent="0.5">
      <c r="A1979" s="15" t="str">
        <f t="shared" ca="1" si="31"/>
        <v/>
      </c>
    </row>
    <row r="1980" spans="1:1" x14ac:dyDescent="0.5">
      <c r="A1980" s="15" t="str">
        <f t="shared" ca="1" si="31"/>
        <v/>
      </c>
    </row>
    <row r="1981" spans="1:1" x14ac:dyDescent="0.5">
      <c r="A1981" s="15" t="str">
        <f t="shared" ca="1" si="31"/>
        <v/>
      </c>
    </row>
    <row r="1982" spans="1:1" x14ac:dyDescent="0.5">
      <c r="A1982" s="15" t="str">
        <f t="shared" ca="1" si="31"/>
        <v/>
      </c>
    </row>
    <row r="1983" spans="1:1" x14ac:dyDescent="0.5">
      <c r="A1983" s="15" t="str">
        <f t="shared" ca="1" si="31"/>
        <v/>
      </c>
    </row>
    <row r="1984" spans="1:1" x14ac:dyDescent="0.5">
      <c r="A1984" s="15" t="str">
        <f t="shared" ca="1" si="31"/>
        <v/>
      </c>
    </row>
    <row r="1985" spans="1:1" x14ac:dyDescent="0.5">
      <c r="A1985" s="15" t="str">
        <f t="shared" ca="1" si="31"/>
        <v/>
      </c>
    </row>
    <row r="1986" spans="1:1" x14ac:dyDescent="0.5">
      <c r="A1986" s="15" t="str">
        <f t="shared" ca="1" si="31"/>
        <v/>
      </c>
    </row>
    <row r="1987" spans="1:1" x14ac:dyDescent="0.5">
      <c r="A1987" s="15" t="str">
        <f t="shared" ca="1" si="31"/>
        <v/>
      </c>
    </row>
    <row r="1988" spans="1:1" x14ac:dyDescent="0.5">
      <c r="A1988" s="15" t="str">
        <f t="shared" ca="1" si="31"/>
        <v/>
      </c>
    </row>
    <row r="1989" spans="1:1" x14ac:dyDescent="0.5">
      <c r="A1989" s="15" t="str">
        <f t="shared" ca="1" si="31"/>
        <v/>
      </c>
    </row>
    <row r="1990" spans="1:1" x14ac:dyDescent="0.5">
      <c r="A1990" s="15" t="str">
        <f t="shared" ca="1" si="31"/>
        <v/>
      </c>
    </row>
    <row r="1991" spans="1:1" x14ac:dyDescent="0.5">
      <c r="A1991" s="15" t="str">
        <f t="shared" ca="1" si="31"/>
        <v/>
      </c>
    </row>
    <row r="1992" spans="1:1" x14ac:dyDescent="0.5">
      <c r="A1992" s="15" t="str">
        <f t="shared" ca="1" si="31"/>
        <v/>
      </c>
    </row>
    <row r="1993" spans="1:1" x14ac:dyDescent="0.5">
      <c r="A1993" s="15" t="str">
        <f t="shared" ca="1" si="31"/>
        <v/>
      </c>
    </row>
    <row r="1994" spans="1:1" x14ac:dyDescent="0.5">
      <c r="A1994" s="15" t="str">
        <f t="shared" ca="1" si="31"/>
        <v/>
      </c>
    </row>
    <row r="1995" spans="1:1" x14ac:dyDescent="0.5">
      <c r="A1995" s="15" t="str">
        <f t="shared" ca="1" si="31"/>
        <v/>
      </c>
    </row>
    <row r="1996" spans="1:1" x14ac:dyDescent="0.5">
      <c r="A1996" s="15" t="str">
        <f t="shared" ca="1" si="31"/>
        <v/>
      </c>
    </row>
    <row r="1997" spans="1:1" x14ac:dyDescent="0.5">
      <c r="A1997" s="15" t="str">
        <f t="shared" ref="A1997:A2060" ca="1" si="32">IF(ROW()-12&lt;=$B$7,_xlfn.NORM.INV(RAND(),$B$5,$B$6),"")</f>
        <v/>
      </c>
    </row>
    <row r="1998" spans="1:1" x14ac:dyDescent="0.5">
      <c r="A1998" s="15" t="str">
        <f t="shared" ca="1" si="32"/>
        <v/>
      </c>
    </row>
    <row r="1999" spans="1:1" x14ac:dyDescent="0.5">
      <c r="A1999" s="15" t="str">
        <f t="shared" ca="1" si="32"/>
        <v/>
      </c>
    </row>
    <row r="2000" spans="1:1" x14ac:dyDescent="0.5">
      <c r="A2000" s="15" t="str">
        <f t="shared" ca="1" si="32"/>
        <v/>
      </c>
    </row>
    <row r="2001" spans="1:1" x14ac:dyDescent="0.5">
      <c r="A2001" s="15" t="str">
        <f t="shared" ca="1" si="32"/>
        <v/>
      </c>
    </row>
    <row r="2002" spans="1:1" x14ac:dyDescent="0.5">
      <c r="A2002" s="15" t="str">
        <f t="shared" ca="1" si="32"/>
        <v/>
      </c>
    </row>
    <row r="2003" spans="1:1" x14ac:dyDescent="0.5">
      <c r="A2003" s="15" t="str">
        <f t="shared" ca="1" si="32"/>
        <v/>
      </c>
    </row>
    <row r="2004" spans="1:1" x14ac:dyDescent="0.5">
      <c r="A2004" s="15" t="str">
        <f t="shared" ca="1" si="32"/>
        <v/>
      </c>
    </row>
    <row r="2005" spans="1:1" x14ac:dyDescent="0.5">
      <c r="A2005" s="15" t="str">
        <f t="shared" ca="1" si="32"/>
        <v/>
      </c>
    </row>
    <row r="2006" spans="1:1" x14ac:dyDescent="0.5">
      <c r="A2006" s="15" t="str">
        <f t="shared" ca="1" si="32"/>
        <v/>
      </c>
    </row>
    <row r="2007" spans="1:1" x14ac:dyDescent="0.5">
      <c r="A2007" s="15" t="str">
        <f t="shared" ca="1" si="32"/>
        <v/>
      </c>
    </row>
    <row r="2008" spans="1:1" x14ac:dyDescent="0.5">
      <c r="A2008" s="15" t="str">
        <f t="shared" ca="1" si="32"/>
        <v/>
      </c>
    </row>
    <row r="2009" spans="1:1" x14ac:dyDescent="0.5">
      <c r="A2009" s="15" t="str">
        <f t="shared" ca="1" si="32"/>
        <v/>
      </c>
    </row>
    <row r="2010" spans="1:1" x14ac:dyDescent="0.5">
      <c r="A2010" s="15" t="str">
        <f t="shared" ca="1" si="32"/>
        <v/>
      </c>
    </row>
    <row r="2011" spans="1:1" x14ac:dyDescent="0.5">
      <c r="A2011" s="15" t="str">
        <f t="shared" ca="1" si="32"/>
        <v/>
      </c>
    </row>
    <row r="2012" spans="1:1" x14ac:dyDescent="0.5">
      <c r="A2012" s="15" t="str">
        <f t="shared" ca="1" si="32"/>
        <v/>
      </c>
    </row>
    <row r="2013" spans="1:1" x14ac:dyDescent="0.5">
      <c r="A2013" s="15" t="str">
        <f t="shared" ca="1" si="32"/>
        <v/>
      </c>
    </row>
    <row r="2014" spans="1:1" x14ac:dyDescent="0.5">
      <c r="A2014" s="15" t="str">
        <f t="shared" ca="1" si="32"/>
        <v/>
      </c>
    </row>
    <row r="2015" spans="1:1" x14ac:dyDescent="0.5">
      <c r="A2015" s="15" t="str">
        <f t="shared" ca="1" si="32"/>
        <v/>
      </c>
    </row>
    <row r="2016" spans="1:1" x14ac:dyDescent="0.5">
      <c r="A2016" s="15" t="str">
        <f t="shared" ca="1" si="32"/>
        <v/>
      </c>
    </row>
    <row r="2017" spans="1:1" x14ac:dyDescent="0.5">
      <c r="A2017" s="15" t="str">
        <f t="shared" ca="1" si="32"/>
        <v/>
      </c>
    </row>
    <row r="2018" spans="1:1" x14ac:dyDescent="0.5">
      <c r="A2018" s="15" t="str">
        <f t="shared" ca="1" si="32"/>
        <v/>
      </c>
    </row>
    <row r="2019" spans="1:1" x14ac:dyDescent="0.5">
      <c r="A2019" s="15" t="str">
        <f t="shared" ca="1" si="32"/>
        <v/>
      </c>
    </row>
    <row r="2020" spans="1:1" x14ac:dyDescent="0.5">
      <c r="A2020" s="15" t="str">
        <f t="shared" ca="1" si="32"/>
        <v/>
      </c>
    </row>
    <row r="2021" spans="1:1" x14ac:dyDescent="0.5">
      <c r="A2021" s="15" t="str">
        <f t="shared" ca="1" si="32"/>
        <v/>
      </c>
    </row>
    <row r="2022" spans="1:1" x14ac:dyDescent="0.5">
      <c r="A2022" s="15" t="str">
        <f t="shared" ca="1" si="32"/>
        <v/>
      </c>
    </row>
    <row r="2023" spans="1:1" x14ac:dyDescent="0.5">
      <c r="A2023" s="15" t="str">
        <f t="shared" ca="1" si="32"/>
        <v/>
      </c>
    </row>
    <row r="2024" spans="1:1" x14ac:dyDescent="0.5">
      <c r="A2024" s="15" t="str">
        <f t="shared" ca="1" si="32"/>
        <v/>
      </c>
    </row>
    <row r="2025" spans="1:1" x14ac:dyDescent="0.5">
      <c r="A2025" s="15" t="str">
        <f t="shared" ca="1" si="32"/>
        <v/>
      </c>
    </row>
    <row r="2026" spans="1:1" x14ac:dyDescent="0.5">
      <c r="A2026" s="15" t="str">
        <f t="shared" ca="1" si="32"/>
        <v/>
      </c>
    </row>
    <row r="2027" spans="1:1" x14ac:dyDescent="0.5">
      <c r="A2027" s="15" t="str">
        <f t="shared" ca="1" si="32"/>
        <v/>
      </c>
    </row>
    <row r="2028" spans="1:1" x14ac:dyDescent="0.5">
      <c r="A2028" s="15" t="str">
        <f t="shared" ca="1" si="32"/>
        <v/>
      </c>
    </row>
    <row r="2029" spans="1:1" x14ac:dyDescent="0.5">
      <c r="A2029" s="15" t="str">
        <f t="shared" ca="1" si="32"/>
        <v/>
      </c>
    </row>
    <row r="2030" spans="1:1" x14ac:dyDescent="0.5">
      <c r="A2030" s="15" t="str">
        <f t="shared" ca="1" si="32"/>
        <v/>
      </c>
    </row>
    <row r="2031" spans="1:1" x14ac:dyDescent="0.5">
      <c r="A2031" s="15" t="str">
        <f t="shared" ca="1" si="32"/>
        <v/>
      </c>
    </row>
    <row r="2032" spans="1:1" x14ac:dyDescent="0.5">
      <c r="A2032" s="15" t="str">
        <f t="shared" ca="1" si="32"/>
        <v/>
      </c>
    </row>
    <row r="2033" spans="1:1" x14ac:dyDescent="0.5">
      <c r="A2033" s="15" t="str">
        <f t="shared" ca="1" si="32"/>
        <v/>
      </c>
    </row>
    <row r="2034" spans="1:1" x14ac:dyDescent="0.5">
      <c r="A2034" s="15" t="str">
        <f t="shared" ca="1" si="32"/>
        <v/>
      </c>
    </row>
    <row r="2035" spans="1:1" x14ac:dyDescent="0.5">
      <c r="A2035" s="15" t="str">
        <f t="shared" ca="1" si="32"/>
        <v/>
      </c>
    </row>
    <row r="2036" spans="1:1" x14ac:dyDescent="0.5">
      <c r="A2036" s="15" t="str">
        <f t="shared" ca="1" si="32"/>
        <v/>
      </c>
    </row>
    <row r="2037" spans="1:1" x14ac:dyDescent="0.5">
      <c r="A2037" s="15" t="str">
        <f t="shared" ca="1" si="32"/>
        <v/>
      </c>
    </row>
    <row r="2038" spans="1:1" x14ac:dyDescent="0.5">
      <c r="A2038" s="15" t="str">
        <f t="shared" ca="1" si="32"/>
        <v/>
      </c>
    </row>
    <row r="2039" spans="1:1" x14ac:dyDescent="0.5">
      <c r="A2039" s="15" t="str">
        <f t="shared" ca="1" si="32"/>
        <v/>
      </c>
    </row>
    <row r="2040" spans="1:1" x14ac:dyDescent="0.5">
      <c r="A2040" s="15" t="str">
        <f t="shared" ca="1" si="32"/>
        <v/>
      </c>
    </row>
    <row r="2041" spans="1:1" x14ac:dyDescent="0.5">
      <c r="A2041" s="15" t="str">
        <f t="shared" ca="1" si="32"/>
        <v/>
      </c>
    </row>
    <row r="2042" spans="1:1" x14ac:dyDescent="0.5">
      <c r="A2042" s="15" t="str">
        <f t="shared" ca="1" si="32"/>
        <v/>
      </c>
    </row>
    <row r="2043" spans="1:1" x14ac:dyDescent="0.5">
      <c r="A2043" s="15" t="str">
        <f t="shared" ca="1" si="32"/>
        <v/>
      </c>
    </row>
    <row r="2044" spans="1:1" x14ac:dyDescent="0.5">
      <c r="A2044" s="15" t="str">
        <f t="shared" ca="1" si="32"/>
        <v/>
      </c>
    </row>
    <row r="2045" spans="1:1" x14ac:dyDescent="0.5">
      <c r="A2045" s="15" t="str">
        <f t="shared" ca="1" si="32"/>
        <v/>
      </c>
    </row>
    <row r="2046" spans="1:1" x14ac:dyDescent="0.5">
      <c r="A2046" s="15" t="str">
        <f t="shared" ca="1" si="32"/>
        <v/>
      </c>
    </row>
    <row r="2047" spans="1:1" x14ac:dyDescent="0.5">
      <c r="A2047" s="15" t="str">
        <f t="shared" ca="1" si="32"/>
        <v/>
      </c>
    </row>
    <row r="2048" spans="1:1" x14ac:dyDescent="0.5">
      <c r="A2048" s="15" t="str">
        <f t="shared" ca="1" si="32"/>
        <v/>
      </c>
    </row>
    <row r="2049" spans="1:1" x14ac:dyDescent="0.5">
      <c r="A2049" s="15" t="str">
        <f t="shared" ca="1" si="32"/>
        <v/>
      </c>
    </row>
    <row r="2050" spans="1:1" x14ac:dyDescent="0.5">
      <c r="A2050" s="15" t="str">
        <f t="shared" ca="1" si="32"/>
        <v/>
      </c>
    </row>
    <row r="2051" spans="1:1" x14ac:dyDescent="0.5">
      <c r="A2051" s="15" t="str">
        <f t="shared" ca="1" si="32"/>
        <v/>
      </c>
    </row>
    <row r="2052" spans="1:1" x14ac:dyDescent="0.5">
      <c r="A2052" s="15" t="str">
        <f t="shared" ca="1" si="32"/>
        <v/>
      </c>
    </row>
    <row r="2053" spans="1:1" x14ac:dyDescent="0.5">
      <c r="A2053" s="15" t="str">
        <f t="shared" ca="1" si="32"/>
        <v/>
      </c>
    </row>
    <row r="2054" spans="1:1" x14ac:dyDescent="0.5">
      <c r="A2054" s="15" t="str">
        <f t="shared" ca="1" si="32"/>
        <v/>
      </c>
    </row>
    <row r="2055" spans="1:1" x14ac:dyDescent="0.5">
      <c r="A2055" s="15" t="str">
        <f t="shared" ca="1" si="32"/>
        <v/>
      </c>
    </row>
    <row r="2056" spans="1:1" x14ac:dyDescent="0.5">
      <c r="A2056" s="15" t="str">
        <f t="shared" ca="1" si="32"/>
        <v/>
      </c>
    </row>
    <row r="2057" spans="1:1" x14ac:dyDescent="0.5">
      <c r="A2057" s="15" t="str">
        <f t="shared" ca="1" si="32"/>
        <v/>
      </c>
    </row>
    <row r="2058" spans="1:1" x14ac:dyDescent="0.5">
      <c r="A2058" s="15" t="str">
        <f t="shared" ca="1" si="32"/>
        <v/>
      </c>
    </row>
    <row r="2059" spans="1:1" x14ac:dyDescent="0.5">
      <c r="A2059" s="15" t="str">
        <f t="shared" ca="1" si="32"/>
        <v/>
      </c>
    </row>
    <row r="2060" spans="1:1" x14ac:dyDescent="0.5">
      <c r="A2060" s="15" t="str">
        <f t="shared" ca="1" si="32"/>
        <v/>
      </c>
    </row>
    <row r="2061" spans="1:1" x14ac:dyDescent="0.5">
      <c r="A2061" s="15" t="str">
        <f t="shared" ref="A2061:A2124" ca="1" si="33">IF(ROW()-12&lt;=$B$7,_xlfn.NORM.INV(RAND(),$B$5,$B$6),"")</f>
        <v/>
      </c>
    </row>
    <row r="2062" spans="1:1" x14ac:dyDescent="0.5">
      <c r="A2062" s="15" t="str">
        <f t="shared" ca="1" si="33"/>
        <v/>
      </c>
    </row>
    <row r="2063" spans="1:1" x14ac:dyDescent="0.5">
      <c r="A2063" s="15" t="str">
        <f t="shared" ca="1" si="33"/>
        <v/>
      </c>
    </row>
    <row r="2064" spans="1:1" x14ac:dyDescent="0.5">
      <c r="A2064" s="15" t="str">
        <f t="shared" ca="1" si="33"/>
        <v/>
      </c>
    </row>
    <row r="2065" spans="1:1" x14ac:dyDescent="0.5">
      <c r="A2065" s="15" t="str">
        <f t="shared" ca="1" si="33"/>
        <v/>
      </c>
    </row>
    <row r="2066" spans="1:1" x14ac:dyDescent="0.5">
      <c r="A2066" s="15" t="str">
        <f t="shared" ca="1" si="33"/>
        <v/>
      </c>
    </row>
    <row r="2067" spans="1:1" x14ac:dyDescent="0.5">
      <c r="A2067" s="15" t="str">
        <f t="shared" ca="1" si="33"/>
        <v/>
      </c>
    </row>
    <row r="2068" spans="1:1" x14ac:dyDescent="0.5">
      <c r="A2068" s="15" t="str">
        <f t="shared" ca="1" si="33"/>
        <v/>
      </c>
    </row>
    <row r="2069" spans="1:1" x14ac:dyDescent="0.5">
      <c r="A2069" s="15" t="str">
        <f t="shared" ca="1" si="33"/>
        <v/>
      </c>
    </row>
    <row r="2070" spans="1:1" x14ac:dyDescent="0.5">
      <c r="A2070" s="15" t="str">
        <f t="shared" ca="1" si="33"/>
        <v/>
      </c>
    </row>
    <row r="2071" spans="1:1" x14ac:dyDescent="0.5">
      <c r="A2071" s="15" t="str">
        <f t="shared" ca="1" si="33"/>
        <v/>
      </c>
    </row>
    <row r="2072" spans="1:1" x14ac:dyDescent="0.5">
      <c r="A2072" s="15" t="str">
        <f t="shared" ca="1" si="33"/>
        <v/>
      </c>
    </row>
    <row r="2073" spans="1:1" x14ac:dyDescent="0.5">
      <c r="A2073" s="15" t="str">
        <f t="shared" ca="1" si="33"/>
        <v/>
      </c>
    </row>
    <row r="2074" spans="1:1" x14ac:dyDescent="0.5">
      <c r="A2074" s="15" t="str">
        <f t="shared" ca="1" si="33"/>
        <v/>
      </c>
    </row>
    <row r="2075" spans="1:1" x14ac:dyDescent="0.5">
      <c r="A2075" s="15" t="str">
        <f t="shared" ca="1" si="33"/>
        <v/>
      </c>
    </row>
    <row r="2076" spans="1:1" x14ac:dyDescent="0.5">
      <c r="A2076" s="15" t="str">
        <f t="shared" ca="1" si="33"/>
        <v/>
      </c>
    </row>
    <row r="2077" spans="1:1" x14ac:dyDescent="0.5">
      <c r="A2077" s="15" t="str">
        <f t="shared" ca="1" si="33"/>
        <v/>
      </c>
    </row>
    <row r="2078" spans="1:1" x14ac:dyDescent="0.5">
      <c r="A2078" s="15" t="str">
        <f t="shared" ca="1" si="33"/>
        <v/>
      </c>
    </row>
    <row r="2079" spans="1:1" x14ac:dyDescent="0.5">
      <c r="A2079" s="15" t="str">
        <f t="shared" ca="1" si="33"/>
        <v/>
      </c>
    </row>
    <row r="2080" spans="1:1" x14ac:dyDescent="0.5">
      <c r="A2080" s="15" t="str">
        <f t="shared" ca="1" si="33"/>
        <v/>
      </c>
    </row>
    <row r="2081" spans="1:1" x14ac:dyDescent="0.5">
      <c r="A2081" s="15" t="str">
        <f t="shared" ca="1" si="33"/>
        <v/>
      </c>
    </row>
    <row r="2082" spans="1:1" x14ac:dyDescent="0.5">
      <c r="A2082" s="15" t="str">
        <f t="shared" ca="1" si="33"/>
        <v/>
      </c>
    </row>
    <row r="2083" spans="1:1" x14ac:dyDescent="0.5">
      <c r="A2083" s="15" t="str">
        <f t="shared" ca="1" si="33"/>
        <v/>
      </c>
    </row>
    <row r="2084" spans="1:1" x14ac:dyDescent="0.5">
      <c r="A2084" s="15" t="str">
        <f t="shared" ca="1" si="33"/>
        <v/>
      </c>
    </row>
    <row r="2085" spans="1:1" x14ac:dyDescent="0.5">
      <c r="A2085" s="15" t="str">
        <f t="shared" ca="1" si="33"/>
        <v/>
      </c>
    </row>
    <row r="2086" spans="1:1" x14ac:dyDescent="0.5">
      <c r="A2086" s="15" t="str">
        <f t="shared" ca="1" si="33"/>
        <v/>
      </c>
    </row>
    <row r="2087" spans="1:1" x14ac:dyDescent="0.5">
      <c r="A2087" s="15" t="str">
        <f t="shared" ca="1" si="33"/>
        <v/>
      </c>
    </row>
    <row r="2088" spans="1:1" x14ac:dyDescent="0.5">
      <c r="A2088" s="15" t="str">
        <f t="shared" ca="1" si="33"/>
        <v/>
      </c>
    </row>
    <row r="2089" spans="1:1" x14ac:dyDescent="0.5">
      <c r="A2089" s="15" t="str">
        <f t="shared" ca="1" si="33"/>
        <v/>
      </c>
    </row>
    <row r="2090" spans="1:1" x14ac:dyDescent="0.5">
      <c r="A2090" s="15" t="str">
        <f t="shared" ca="1" si="33"/>
        <v/>
      </c>
    </row>
    <row r="2091" spans="1:1" x14ac:dyDescent="0.5">
      <c r="A2091" s="15" t="str">
        <f t="shared" ca="1" si="33"/>
        <v/>
      </c>
    </row>
    <row r="2092" spans="1:1" x14ac:dyDescent="0.5">
      <c r="A2092" s="15" t="str">
        <f t="shared" ca="1" si="33"/>
        <v/>
      </c>
    </row>
    <row r="2093" spans="1:1" x14ac:dyDescent="0.5">
      <c r="A2093" s="15" t="str">
        <f t="shared" ca="1" si="33"/>
        <v/>
      </c>
    </row>
    <row r="2094" spans="1:1" x14ac:dyDescent="0.5">
      <c r="A2094" s="15" t="str">
        <f t="shared" ca="1" si="33"/>
        <v/>
      </c>
    </row>
    <row r="2095" spans="1:1" x14ac:dyDescent="0.5">
      <c r="A2095" s="15" t="str">
        <f t="shared" ca="1" si="33"/>
        <v/>
      </c>
    </row>
    <row r="2096" spans="1:1" x14ac:dyDescent="0.5">
      <c r="A2096" s="15" t="str">
        <f t="shared" ca="1" si="33"/>
        <v/>
      </c>
    </row>
    <row r="2097" spans="1:1" x14ac:dyDescent="0.5">
      <c r="A2097" s="15" t="str">
        <f t="shared" ca="1" si="33"/>
        <v/>
      </c>
    </row>
    <row r="2098" spans="1:1" x14ac:dyDescent="0.5">
      <c r="A2098" s="15" t="str">
        <f t="shared" ca="1" si="33"/>
        <v/>
      </c>
    </row>
    <row r="2099" spans="1:1" x14ac:dyDescent="0.5">
      <c r="A2099" s="15" t="str">
        <f t="shared" ca="1" si="33"/>
        <v/>
      </c>
    </row>
    <row r="2100" spans="1:1" x14ac:dyDescent="0.5">
      <c r="A2100" s="15" t="str">
        <f t="shared" ca="1" si="33"/>
        <v/>
      </c>
    </row>
    <row r="2101" spans="1:1" x14ac:dyDescent="0.5">
      <c r="A2101" s="15" t="str">
        <f t="shared" ca="1" si="33"/>
        <v/>
      </c>
    </row>
    <row r="2102" spans="1:1" x14ac:dyDescent="0.5">
      <c r="A2102" s="15" t="str">
        <f t="shared" ca="1" si="33"/>
        <v/>
      </c>
    </row>
    <row r="2103" spans="1:1" x14ac:dyDescent="0.5">
      <c r="A2103" s="15" t="str">
        <f t="shared" ca="1" si="33"/>
        <v/>
      </c>
    </row>
    <row r="2104" spans="1:1" x14ac:dyDescent="0.5">
      <c r="A2104" s="15" t="str">
        <f t="shared" ca="1" si="33"/>
        <v/>
      </c>
    </row>
    <row r="2105" spans="1:1" x14ac:dyDescent="0.5">
      <c r="A2105" s="15" t="str">
        <f t="shared" ca="1" si="33"/>
        <v/>
      </c>
    </row>
    <row r="2106" spans="1:1" x14ac:dyDescent="0.5">
      <c r="A2106" s="15" t="str">
        <f t="shared" ca="1" si="33"/>
        <v/>
      </c>
    </row>
    <row r="2107" spans="1:1" x14ac:dyDescent="0.5">
      <c r="A2107" s="15" t="str">
        <f t="shared" ca="1" si="33"/>
        <v/>
      </c>
    </row>
    <row r="2108" spans="1:1" x14ac:dyDescent="0.5">
      <c r="A2108" s="15" t="str">
        <f t="shared" ca="1" si="33"/>
        <v/>
      </c>
    </row>
    <row r="2109" spans="1:1" x14ac:dyDescent="0.5">
      <c r="A2109" s="15" t="str">
        <f t="shared" ca="1" si="33"/>
        <v/>
      </c>
    </row>
    <row r="2110" spans="1:1" x14ac:dyDescent="0.5">
      <c r="A2110" s="15" t="str">
        <f t="shared" ca="1" si="33"/>
        <v/>
      </c>
    </row>
    <row r="2111" spans="1:1" x14ac:dyDescent="0.5">
      <c r="A2111" s="15" t="str">
        <f t="shared" ca="1" si="33"/>
        <v/>
      </c>
    </row>
    <row r="2112" spans="1:1" x14ac:dyDescent="0.5">
      <c r="A2112" s="15" t="str">
        <f t="shared" ca="1" si="33"/>
        <v/>
      </c>
    </row>
    <row r="2113" spans="1:1" x14ac:dyDescent="0.5">
      <c r="A2113" s="15" t="str">
        <f t="shared" ca="1" si="33"/>
        <v/>
      </c>
    </row>
    <row r="2114" spans="1:1" x14ac:dyDescent="0.5">
      <c r="A2114" s="15" t="str">
        <f t="shared" ca="1" si="33"/>
        <v/>
      </c>
    </row>
    <row r="2115" spans="1:1" x14ac:dyDescent="0.5">
      <c r="A2115" s="15" t="str">
        <f t="shared" ca="1" si="33"/>
        <v/>
      </c>
    </row>
    <row r="2116" spans="1:1" x14ac:dyDescent="0.5">
      <c r="A2116" s="15" t="str">
        <f t="shared" ca="1" si="33"/>
        <v/>
      </c>
    </row>
    <row r="2117" spans="1:1" x14ac:dyDescent="0.5">
      <c r="A2117" s="15" t="str">
        <f t="shared" ca="1" si="33"/>
        <v/>
      </c>
    </row>
    <row r="2118" spans="1:1" x14ac:dyDescent="0.5">
      <c r="A2118" s="15" t="str">
        <f t="shared" ca="1" si="33"/>
        <v/>
      </c>
    </row>
    <row r="2119" spans="1:1" x14ac:dyDescent="0.5">
      <c r="A2119" s="15" t="str">
        <f t="shared" ca="1" si="33"/>
        <v/>
      </c>
    </row>
    <row r="2120" spans="1:1" x14ac:dyDescent="0.5">
      <c r="A2120" s="15" t="str">
        <f t="shared" ca="1" si="33"/>
        <v/>
      </c>
    </row>
    <row r="2121" spans="1:1" x14ac:dyDescent="0.5">
      <c r="A2121" s="15" t="str">
        <f t="shared" ca="1" si="33"/>
        <v/>
      </c>
    </row>
    <row r="2122" spans="1:1" x14ac:dyDescent="0.5">
      <c r="A2122" s="15" t="str">
        <f t="shared" ca="1" si="33"/>
        <v/>
      </c>
    </row>
    <row r="2123" spans="1:1" x14ac:dyDescent="0.5">
      <c r="A2123" s="15" t="str">
        <f t="shared" ca="1" si="33"/>
        <v/>
      </c>
    </row>
    <row r="2124" spans="1:1" x14ac:dyDescent="0.5">
      <c r="A2124" s="15" t="str">
        <f t="shared" ca="1" si="33"/>
        <v/>
      </c>
    </row>
    <row r="2125" spans="1:1" x14ac:dyDescent="0.5">
      <c r="A2125" s="15" t="str">
        <f t="shared" ref="A2125:A2188" ca="1" si="34">IF(ROW()-12&lt;=$B$7,_xlfn.NORM.INV(RAND(),$B$5,$B$6),"")</f>
        <v/>
      </c>
    </row>
    <row r="2126" spans="1:1" x14ac:dyDescent="0.5">
      <c r="A2126" s="15" t="str">
        <f t="shared" ca="1" si="34"/>
        <v/>
      </c>
    </row>
    <row r="2127" spans="1:1" x14ac:dyDescent="0.5">
      <c r="A2127" s="15" t="str">
        <f t="shared" ca="1" si="34"/>
        <v/>
      </c>
    </row>
    <row r="2128" spans="1:1" x14ac:dyDescent="0.5">
      <c r="A2128" s="15" t="str">
        <f t="shared" ca="1" si="34"/>
        <v/>
      </c>
    </row>
    <row r="2129" spans="1:1" x14ac:dyDescent="0.5">
      <c r="A2129" s="15" t="str">
        <f t="shared" ca="1" si="34"/>
        <v/>
      </c>
    </row>
    <row r="2130" spans="1:1" x14ac:dyDescent="0.5">
      <c r="A2130" s="15" t="str">
        <f t="shared" ca="1" si="34"/>
        <v/>
      </c>
    </row>
    <row r="2131" spans="1:1" x14ac:dyDescent="0.5">
      <c r="A2131" s="15" t="str">
        <f t="shared" ca="1" si="34"/>
        <v/>
      </c>
    </row>
    <row r="2132" spans="1:1" x14ac:dyDescent="0.5">
      <c r="A2132" s="15" t="str">
        <f t="shared" ca="1" si="34"/>
        <v/>
      </c>
    </row>
    <row r="2133" spans="1:1" x14ac:dyDescent="0.5">
      <c r="A2133" s="15" t="str">
        <f t="shared" ca="1" si="34"/>
        <v/>
      </c>
    </row>
    <row r="2134" spans="1:1" x14ac:dyDescent="0.5">
      <c r="A2134" s="15" t="str">
        <f t="shared" ca="1" si="34"/>
        <v/>
      </c>
    </row>
    <row r="2135" spans="1:1" x14ac:dyDescent="0.5">
      <c r="A2135" s="15" t="str">
        <f t="shared" ca="1" si="34"/>
        <v/>
      </c>
    </row>
    <row r="2136" spans="1:1" x14ac:dyDescent="0.5">
      <c r="A2136" s="15" t="str">
        <f t="shared" ca="1" si="34"/>
        <v/>
      </c>
    </row>
    <row r="2137" spans="1:1" x14ac:dyDescent="0.5">
      <c r="A2137" s="15" t="str">
        <f t="shared" ca="1" si="34"/>
        <v/>
      </c>
    </row>
    <row r="2138" spans="1:1" x14ac:dyDescent="0.5">
      <c r="A2138" s="15" t="str">
        <f t="shared" ca="1" si="34"/>
        <v/>
      </c>
    </row>
    <row r="2139" spans="1:1" x14ac:dyDescent="0.5">
      <c r="A2139" s="15" t="str">
        <f t="shared" ca="1" si="34"/>
        <v/>
      </c>
    </row>
    <row r="2140" spans="1:1" x14ac:dyDescent="0.5">
      <c r="A2140" s="15" t="str">
        <f t="shared" ca="1" si="34"/>
        <v/>
      </c>
    </row>
    <row r="2141" spans="1:1" x14ac:dyDescent="0.5">
      <c r="A2141" s="15" t="str">
        <f t="shared" ca="1" si="34"/>
        <v/>
      </c>
    </row>
    <row r="2142" spans="1:1" x14ac:dyDescent="0.5">
      <c r="A2142" s="15" t="str">
        <f t="shared" ca="1" si="34"/>
        <v/>
      </c>
    </row>
    <row r="2143" spans="1:1" x14ac:dyDescent="0.5">
      <c r="A2143" s="15" t="str">
        <f t="shared" ca="1" si="34"/>
        <v/>
      </c>
    </row>
    <row r="2144" spans="1:1" x14ac:dyDescent="0.5">
      <c r="A2144" s="15" t="str">
        <f t="shared" ca="1" si="34"/>
        <v/>
      </c>
    </row>
    <row r="2145" spans="1:1" x14ac:dyDescent="0.5">
      <c r="A2145" s="15" t="str">
        <f t="shared" ca="1" si="34"/>
        <v/>
      </c>
    </row>
    <row r="2146" spans="1:1" x14ac:dyDescent="0.5">
      <c r="A2146" s="15" t="str">
        <f t="shared" ca="1" si="34"/>
        <v/>
      </c>
    </row>
    <row r="2147" spans="1:1" x14ac:dyDescent="0.5">
      <c r="A2147" s="15" t="str">
        <f t="shared" ca="1" si="34"/>
        <v/>
      </c>
    </row>
    <row r="2148" spans="1:1" x14ac:dyDescent="0.5">
      <c r="A2148" s="15" t="str">
        <f t="shared" ca="1" si="34"/>
        <v/>
      </c>
    </row>
    <row r="2149" spans="1:1" x14ac:dyDescent="0.5">
      <c r="A2149" s="15" t="str">
        <f t="shared" ca="1" si="34"/>
        <v/>
      </c>
    </row>
    <row r="2150" spans="1:1" x14ac:dyDescent="0.5">
      <c r="A2150" s="15" t="str">
        <f t="shared" ca="1" si="34"/>
        <v/>
      </c>
    </row>
    <row r="2151" spans="1:1" x14ac:dyDescent="0.5">
      <c r="A2151" s="15" t="str">
        <f t="shared" ca="1" si="34"/>
        <v/>
      </c>
    </row>
    <row r="2152" spans="1:1" x14ac:dyDescent="0.5">
      <c r="A2152" s="15" t="str">
        <f t="shared" ca="1" si="34"/>
        <v/>
      </c>
    </row>
    <row r="2153" spans="1:1" x14ac:dyDescent="0.5">
      <c r="A2153" s="15" t="str">
        <f t="shared" ca="1" si="34"/>
        <v/>
      </c>
    </row>
    <row r="2154" spans="1:1" x14ac:dyDescent="0.5">
      <c r="A2154" s="15" t="str">
        <f t="shared" ca="1" si="34"/>
        <v/>
      </c>
    </row>
    <row r="2155" spans="1:1" x14ac:dyDescent="0.5">
      <c r="A2155" s="15" t="str">
        <f t="shared" ca="1" si="34"/>
        <v/>
      </c>
    </row>
    <row r="2156" spans="1:1" x14ac:dyDescent="0.5">
      <c r="A2156" s="15" t="str">
        <f t="shared" ca="1" si="34"/>
        <v/>
      </c>
    </row>
    <row r="2157" spans="1:1" x14ac:dyDescent="0.5">
      <c r="A2157" s="15" t="str">
        <f t="shared" ca="1" si="34"/>
        <v/>
      </c>
    </row>
    <row r="2158" spans="1:1" x14ac:dyDescent="0.5">
      <c r="A2158" s="15" t="str">
        <f t="shared" ca="1" si="34"/>
        <v/>
      </c>
    </row>
    <row r="2159" spans="1:1" x14ac:dyDescent="0.5">
      <c r="A2159" s="15" t="str">
        <f t="shared" ca="1" si="34"/>
        <v/>
      </c>
    </row>
    <row r="2160" spans="1:1" x14ac:dyDescent="0.5">
      <c r="A2160" s="15" t="str">
        <f t="shared" ca="1" si="34"/>
        <v/>
      </c>
    </row>
    <row r="2161" spans="1:1" x14ac:dyDescent="0.5">
      <c r="A2161" s="15" t="str">
        <f t="shared" ca="1" si="34"/>
        <v/>
      </c>
    </row>
    <row r="2162" spans="1:1" x14ac:dyDescent="0.5">
      <c r="A2162" s="15" t="str">
        <f t="shared" ca="1" si="34"/>
        <v/>
      </c>
    </row>
    <row r="2163" spans="1:1" x14ac:dyDescent="0.5">
      <c r="A2163" s="15" t="str">
        <f t="shared" ca="1" si="34"/>
        <v/>
      </c>
    </row>
    <row r="2164" spans="1:1" x14ac:dyDescent="0.5">
      <c r="A2164" s="15" t="str">
        <f t="shared" ca="1" si="34"/>
        <v/>
      </c>
    </row>
    <row r="2165" spans="1:1" x14ac:dyDescent="0.5">
      <c r="A2165" s="15" t="str">
        <f t="shared" ca="1" si="34"/>
        <v/>
      </c>
    </row>
    <row r="2166" spans="1:1" x14ac:dyDescent="0.5">
      <c r="A2166" s="15" t="str">
        <f t="shared" ca="1" si="34"/>
        <v/>
      </c>
    </row>
    <row r="2167" spans="1:1" x14ac:dyDescent="0.5">
      <c r="A2167" s="15" t="str">
        <f t="shared" ca="1" si="34"/>
        <v/>
      </c>
    </row>
    <row r="2168" spans="1:1" x14ac:dyDescent="0.5">
      <c r="A2168" s="15" t="str">
        <f t="shared" ca="1" si="34"/>
        <v/>
      </c>
    </row>
    <row r="2169" spans="1:1" x14ac:dyDescent="0.5">
      <c r="A2169" s="15" t="str">
        <f t="shared" ca="1" si="34"/>
        <v/>
      </c>
    </row>
    <row r="2170" spans="1:1" x14ac:dyDescent="0.5">
      <c r="A2170" s="15" t="str">
        <f t="shared" ca="1" si="34"/>
        <v/>
      </c>
    </row>
    <row r="2171" spans="1:1" x14ac:dyDescent="0.5">
      <c r="A2171" s="15" t="str">
        <f t="shared" ca="1" si="34"/>
        <v/>
      </c>
    </row>
    <row r="2172" spans="1:1" x14ac:dyDescent="0.5">
      <c r="A2172" s="15" t="str">
        <f t="shared" ca="1" si="34"/>
        <v/>
      </c>
    </row>
    <row r="2173" spans="1:1" x14ac:dyDescent="0.5">
      <c r="A2173" s="15" t="str">
        <f t="shared" ca="1" si="34"/>
        <v/>
      </c>
    </row>
    <row r="2174" spans="1:1" x14ac:dyDescent="0.5">
      <c r="A2174" s="15" t="str">
        <f t="shared" ca="1" si="34"/>
        <v/>
      </c>
    </row>
    <row r="2175" spans="1:1" x14ac:dyDescent="0.5">
      <c r="A2175" s="15" t="str">
        <f t="shared" ca="1" si="34"/>
        <v/>
      </c>
    </row>
    <row r="2176" spans="1:1" x14ac:dyDescent="0.5">
      <c r="A2176" s="15" t="str">
        <f t="shared" ca="1" si="34"/>
        <v/>
      </c>
    </row>
    <row r="2177" spans="1:1" x14ac:dyDescent="0.5">
      <c r="A2177" s="15" t="str">
        <f t="shared" ca="1" si="34"/>
        <v/>
      </c>
    </row>
    <row r="2178" spans="1:1" x14ac:dyDescent="0.5">
      <c r="A2178" s="15" t="str">
        <f t="shared" ca="1" si="34"/>
        <v/>
      </c>
    </row>
    <row r="2179" spans="1:1" x14ac:dyDescent="0.5">
      <c r="A2179" s="15" t="str">
        <f t="shared" ca="1" si="34"/>
        <v/>
      </c>
    </row>
    <row r="2180" spans="1:1" x14ac:dyDescent="0.5">
      <c r="A2180" s="15" t="str">
        <f t="shared" ca="1" si="34"/>
        <v/>
      </c>
    </row>
    <row r="2181" spans="1:1" x14ac:dyDescent="0.5">
      <c r="A2181" s="15" t="str">
        <f t="shared" ca="1" si="34"/>
        <v/>
      </c>
    </row>
    <row r="2182" spans="1:1" x14ac:dyDescent="0.5">
      <c r="A2182" s="15" t="str">
        <f t="shared" ca="1" si="34"/>
        <v/>
      </c>
    </row>
    <row r="2183" spans="1:1" x14ac:dyDescent="0.5">
      <c r="A2183" s="15" t="str">
        <f t="shared" ca="1" si="34"/>
        <v/>
      </c>
    </row>
    <row r="2184" spans="1:1" x14ac:dyDescent="0.5">
      <c r="A2184" s="15" t="str">
        <f t="shared" ca="1" si="34"/>
        <v/>
      </c>
    </row>
    <row r="2185" spans="1:1" x14ac:dyDescent="0.5">
      <c r="A2185" s="15" t="str">
        <f t="shared" ca="1" si="34"/>
        <v/>
      </c>
    </row>
    <row r="2186" spans="1:1" x14ac:dyDescent="0.5">
      <c r="A2186" s="15" t="str">
        <f t="shared" ca="1" si="34"/>
        <v/>
      </c>
    </row>
    <row r="2187" spans="1:1" x14ac:dyDescent="0.5">
      <c r="A2187" s="15" t="str">
        <f t="shared" ca="1" si="34"/>
        <v/>
      </c>
    </row>
    <row r="2188" spans="1:1" x14ac:dyDescent="0.5">
      <c r="A2188" s="15" t="str">
        <f t="shared" ca="1" si="34"/>
        <v/>
      </c>
    </row>
    <row r="2189" spans="1:1" x14ac:dyDescent="0.5">
      <c r="A2189" s="15" t="str">
        <f t="shared" ref="A2189:A2252" ca="1" si="35">IF(ROW()-12&lt;=$B$7,_xlfn.NORM.INV(RAND(),$B$5,$B$6),"")</f>
        <v/>
      </c>
    </row>
    <row r="2190" spans="1:1" x14ac:dyDescent="0.5">
      <c r="A2190" s="15" t="str">
        <f t="shared" ca="1" si="35"/>
        <v/>
      </c>
    </row>
    <row r="2191" spans="1:1" x14ac:dyDescent="0.5">
      <c r="A2191" s="15" t="str">
        <f t="shared" ca="1" si="35"/>
        <v/>
      </c>
    </row>
    <row r="2192" spans="1:1" x14ac:dyDescent="0.5">
      <c r="A2192" s="15" t="str">
        <f t="shared" ca="1" si="35"/>
        <v/>
      </c>
    </row>
    <row r="2193" spans="1:1" x14ac:dyDescent="0.5">
      <c r="A2193" s="15" t="str">
        <f t="shared" ca="1" si="35"/>
        <v/>
      </c>
    </row>
    <row r="2194" spans="1:1" x14ac:dyDescent="0.5">
      <c r="A2194" s="15" t="str">
        <f t="shared" ca="1" si="35"/>
        <v/>
      </c>
    </row>
    <row r="2195" spans="1:1" x14ac:dyDescent="0.5">
      <c r="A2195" s="15" t="str">
        <f t="shared" ca="1" si="35"/>
        <v/>
      </c>
    </row>
    <row r="2196" spans="1:1" x14ac:dyDescent="0.5">
      <c r="A2196" s="15" t="str">
        <f t="shared" ca="1" si="35"/>
        <v/>
      </c>
    </row>
    <row r="2197" spans="1:1" x14ac:dyDescent="0.5">
      <c r="A2197" s="15" t="str">
        <f t="shared" ca="1" si="35"/>
        <v/>
      </c>
    </row>
    <row r="2198" spans="1:1" x14ac:dyDescent="0.5">
      <c r="A2198" s="15" t="str">
        <f t="shared" ca="1" si="35"/>
        <v/>
      </c>
    </row>
    <row r="2199" spans="1:1" x14ac:dyDescent="0.5">
      <c r="A2199" s="15" t="str">
        <f t="shared" ca="1" si="35"/>
        <v/>
      </c>
    </row>
    <row r="2200" spans="1:1" x14ac:dyDescent="0.5">
      <c r="A2200" s="15" t="str">
        <f t="shared" ca="1" si="35"/>
        <v/>
      </c>
    </row>
    <row r="2201" spans="1:1" x14ac:dyDescent="0.5">
      <c r="A2201" s="15" t="str">
        <f t="shared" ca="1" si="35"/>
        <v/>
      </c>
    </row>
    <row r="2202" spans="1:1" x14ac:dyDescent="0.5">
      <c r="A2202" s="15" t="str">
        <f t="shared" ca="1" si="35"/>
        <v/>
      </c>
    </row>
    <row r="2203" spans="1:1" x14ac:dyDescent="0.5">
      <c r="A2203" s="15" t="str">
        <f t="shared" ca="1" si="35"/>
        <v/>
      </c>
    </row>
    <row r="2204" spans="1:1" x14ac:dyDescent="0.5">
      <c r="A2204" s="15" t="str">
        <f t="shared" ca="1" si="35"/>
        <v/>
      </c>
    </row>
    <row r="2205" spans="1:1" x14ac:dyDescent="0.5">
      <c r="A2205" s="15" t="str">
        <f t="shared" ca="1" si="35"/>
        <v/>
      </c>
    </row>
    <row r="2206" spans="1:1" x14ac:dyDescent="0.5">
      <c r="A2206" s="15" t="str">
        <f t="shared" ca="1" si="35"/>
        <v/>
      </c>
    </row>
    <row r="2207" spans="1:1" x14ac:dyDescent="0.5">
      <c r="A2207" s="15" t="str">
        <f t="shared" ca="1" si="35"/>
        <v/>
      </c>
    </row>
    <row r="2208" spans="1:1" x14ac:dyDescent="0.5">
      <c r="A2208" s="15" t="str">
        <f t="shared" ca="1" si="35"/>
        <v/>
      </c>
    </row>
    <row r="2209" spans="1:1" x14ac:dyDescent="0.5">
      <c r="A2209" s="15" t="str">
        <f t="shared" ca="1" si="35"/>
        <v/>
      </c>
    </row>
    <row r="2210" spans="1:1" x14ac:dyDescent="0.5">
      <c r="A2210" s="15" t="str">
        <f t="shared" ca="1" si="35"/>
        <v/>
      </c>
    </row>
    <row r="2211" spans="1:1" x14ac:dyDescent="0.5">
      <c r="A2211" s="15" t="str">
        <f t="shared" ca="1" si="35"/>
        <v/>
      </c>
    </row>
    <row r="2212" spans="1:1" x14ac:dyDescent="0.5">
      <c r="A2212" s="15" t="str">
        <f t="shared" ca="1" si="35"/>
        <v/>
      </c>
    </row>
    <row r="2213" spans="1:1" x14ac:dyDescent="0.5">
      <c r="A2213" s="15" t="str">
        <f t="shared" ca="1" si="35"/>
        <v/>
      </c>
    </row>
    <row r="2214" spans="1:1" x14ac:dyDescent="0.5">
      <c r="A2214" s="15" t="str">
        <f t="shared" ca="1" si="35"/>
        <v/>
      </c>
    </row>
    <row r="2215" spans="1:1" x14ac:dyDescent="0.5">
      <c r="A2215" s="15" t="str">
        <f t="shared" ca="1" si="35"/>
        <v/>
      </c>
    </row>
    <row r="2216" spans="1:1" x14ac:dyDescent="0.5">
      <c r="A2216" s="15" t="str">
        <f t="shared" ca="1" si="35"/>
        <v/>
      </c>
    </row>
    <row r="2217" spans="1:1" x14ac:dyDescent="0.5">
      <c r="A2217" s="15" t="str">
        <f t="shared" ca="1" si="35"/>
        <v/>
      </c>
    </row>
    <row r="2218" spans="1:1" x14ac:dyDescent="0.5">
      <c r="A2218" s="15" t="str">
        <f t="shared" ca="1" si="35"/>
        <v/>
      </c>
    </row>
    <row r="2219" spans="1:1" x14ac:dyDescent="0.5">
      <c r="A2219" s="15" t="str">
        <f t="shared" ca="1" si="35"/>
        <v/>
      </c>
    </row>
    <row r="2220" spans="1:1" x14ac:dyDescent="0.5">
      <c r="A2220" s="15" t="str">
        <f t="shared" ca="1" si="35"/>
        <v/>
      </c>
    </row>
    <row r="2221" spans="1:1" x14ac:dyDescent="0.5">
      <c r="A2221" s="15" t="str">
        <f t="shared" ca="1" si="35"/>
        <v/>
      </c>
    </row>
    <row r="2222" spans="1:1" x14ac:dyDescent="0.5">
      <c r="A2222" s="15" t="str">
        <f t="shared" ca="1" si="35"/>
        <v/>
      </c>
    </row>
    <row r="2223" spans="1:1" x14ac:dyDescent="0.5">
      <c r="A2223" s="15" t="str">
        <f t="shared" ca="1" si="35"/>
        <v/>
      </c>
    </row>
    <row r="2224" spans="1:1" x14ac:dyDescent="0.5">
      <c r="A2224" s="15" t="str">
        <f t="shared" ca="1" si="35"/>
        <v/>
      </c>
    </row>
    <row r="2225" spans="1:1" x14ac:dyDescent="0.5">
      <c r="A2225" s="15" t="str">
        <f t="shared" ca="1" si="35"/>
        <v/>
      </c>
    </row>
    <row r="2226" spans="1:1" x14ac:dyDescent="0.5">
      <c r="A2226" s="15" t="str">
        <f t="shared" ca="1" si="35"/>
        <v/>
      </c>
    </row>
    <row r="2227" spans="1:1" x14ac:dyDescent="0.5">
      <c r="A2227" s="15" t="str">
        <f t="shared" ca="1" si="35"/>
        <v/>
      </c>
    </row>
    <row r="2228" spans="1:1" x14ac:dyDescent="0.5">
      <c r="A2228" s="15" t="str">
        <f t="shared" ca="1" si="35"/>
        <v/>
      </c>
    </row>
    <row r="2229" spans="1:1" x14ac:dyDescent="0.5">
      <c r="A2229" s="15" t="str">
        <f t="shared" ca="1" si="35"/>
        <v/>
      </c>
    </row>
    <row r="2230" spans="1:1" x14ac:dyDescent="0.5">
      <c r="A2230" s="15" t="str">
        <f t="shared" ca="1" si="35"/>
        <v/>
      </c>
    </row>
    <row r="2231" spans="1:1" x14ac:dyDescent="0.5">
      <c r="A2231" s="15" t="str">
        <f t="shared" ca="1" si="35"/>
        <v/>
      </c>
    </row>
    <row r="2232" spans="1:1" x14ac:dyDescent="0.5">
      <c r="A2232" s="15" t="str">
        <f t="shared" ca="1" si="35"/>
        <v/>
      </c>
    </row>
    <row r="2233" spans="1:1" x14ac:dyDescent="0.5">
      <c r="A2233" s="15" t="str">
        <f t="shared" ca="1" si="35"/>
        <v/>
      </c>
    </row>
    <row r="2234" spans="1:1" x14ac:dyDescent="0.5">
      <c r="A2234" s="15" t="str">
        <f t="shared" ca="1" si="35"/>
        <v/>
      </c>
    </row>
    <row r="2235" spans="1:1" x14ac:dyDescent="0.5">
      <c r="A2235" s="15" t="str">
        <f t="shared" ca="1" si="35"/>
        <v/>
      </c>
    </row>
    <row r="2236" spans="1:1" x14ac:dyDescent="0.5">
      <c r="A2236" s="15" t="str">
        <f t="shared" ca="1" si="35"/>
        <v/>
      </c>
    </row>
    <row r="2237" spans="1:1" x14ac:dyDescent="0.5">
      <c r="A2237" s="15" t="str">
        <f t="shared" ca="1" si="35"/>
        <v/>
      </c>
    </row>
    <row r="2238" spans="1:1" x14ac:dyDescent="0.5">
      <c r="A2238" s="15" t="str">
        <f t="shared" ca="1" si="35"/>
        <v/>
      </c>
    </row>
    <row r="2239" spans="1:1" x14ac:dyDescent="0.5">
      <c r="A2239" s="15" t="str">
        <f t="shared" ca="1" si="35"/>
        <v/>
      </c>
    </row>
    <row r="2240" spans="1:1" x14ac:dyDescent="0.5">
      <c r="A2240" s="15" t="str">
        <f t="shared" ca="1" si="35"/>
        <v/>
      </c>
    </row>
    <row r="2241" spans="1:1" x14ac:dyDescent="0.5">
      <c r="A2241" s="15" t="str">
        <f t="shared" ca="1" si="35"/>
        <v/>
      </c>
    </row>
    <row r="2242" spans="1:1" x14ac:dyDescent="0.5">
      <c r="A2242" s="15" t="str">
        <f t="shared" ca="1" si="35"/>
        <v/>
      </c>
    </row>
    <row r="2243" spans="1:1" x14ac:dyDescent="0.5">
      <c r="A2243" s="15" t="str">
        <f t="shared" ca="1" si="35"/>
        <v/>
      </c>
    </row>
    <row r="2244" spans="1:1" x14ac:dyDescent="0.5">
      <c r="A2244" s="15" t="str">
        <f t="shared" ca="1" si="35"/>
        <v/>
      </c>
    </row>
    <row r="2245" spans="1:1" x14ac:dyDescent="0.5">
      <c r="A2245" s="15" t="str">
        <f t="shared" ca="1" si="35"/>
        <v/>
      </c>
    </row>
    <row r="2246" spans="1:1" x14ac:dyDescent="0.5">
      <c r="A2246" s="15" t="str">
        <f t="shared" ca="1" si="35"/>
        <v/>
      </c>
    </row>
    <row r="2247" spans="1:1" x14ac:dyDescent="0.5">
      <c r="A2247" s="15" t="str">
        <f t="shared" ca="1" si="35"/>
        <v/>
      </c>
    </row>
    <row r="2248" spans="1:1" x14ac:dyDescent="0.5">
      <c r="A2248" s="15" t="str">
        <f t="shared" ca="1" si="35"/>
        <v/>
      </c>
    </row>
    <row r="2249" spans="1:1" x14ac:dyDescent="0.5">
      <c r="A2249" s="15" t="str">
        <f t="shared" ca="1" si="35"/>
        <v/>
      </c>
    </row>
    <row r="2250" spans="1:1" x14ac:dyDescent="0.5">
      <c r="A2250" s="15" t="str">
        <f t="shared" ca="1" si="35"/>
        <v/>
      </c>
    </row>
    <row r="2251" spans="1:1" x14ac:dyDescent="0.5">
      <c r="A2251" s="15" t="str">
        <f t="shared" ca="1" si="35"/>
        <v/>
      </c>
    </row>
    <row r="2252" spans="1:1" x14ac:dyDescent="0.5">
      <c r="A2252" s="15" t="str">
        <f t="shared" ca="1" si="35"/>
        <v/>
      </c>
    </row>
    <row r="2253" spans="1:1" x14ac:dyDescent="0.5">
      <c r="A2253" s="15" t="str">
        <f t="shared" ref="A2253:A2316" ca="1" si="36">IF(ROW()-12&lt;=$B$7,_xlfn.NORM.INV(RAND(),$B$5,$B$6),"")</f>
        <v/>
      </c>
    </row>
    <row r="2254" spans="1:1" x14ac:dyDescent="0.5">
      <c r="A2254" s="15" t="str">
        <f t="shared" ca="1" si="36"/>
        <v/>
      </c>
    </row>
    <row r="2255" spans="1:1" x14ac:dyDescent="0.5">
      <c r="A2255" s="15" t="str">
        <f t="shared" ca="1" si="36"/>
        <v/>
      </c>
    </row>
    <row r="2256" spans="1:1" x14ac:dyDescent="0.5">
      <c r="A2256" s="15" t="str">
        <f t="shared" ca="1" si="36"/>
        <v/>
      </c>
    </row>
    <row r="2257" spans="1:1" x14ac:dyDescent="0.5">
      <c r="A2257" s="15" t="str">
        <f t="shared" ca="1" si="36"/>
        <v/>
      </c>
    </row>
    <row r="2258" spans="1:1" x14ac:dyDescent="0.5">
      <c r="A2258" s="15" t="str">
        <f t="shared" ca="1" si="36"/>
        <v/>
      </c>
    </row>
    <row r="2259" spans="1:1" x14ac:dyDescent="0.5">
      <c r="A2259" s="15" t="str">
        <f t="shared" ca="1" si="36"/>
        <v/>
      </c>
    </row>
    <row r="2260" spans="1:1" x14ac:dyDescent="0.5">
      <c r="A2260" s="15" t="str">
        <f t="shared" ca="1" si="36"/>
        <v/>
      </c>
    </row>
    <row r="2261" spans="1:1" x14ac:dyDescent="0.5">
      <c r="A2261" s="15" t="str">
        <f t="shared" ca="1" si="36"/>
        <v/>
      </c>
    </row>
    <row r="2262" spans="1:1" x14ac:dyDescent="0.5">
      <c r="A2262" s="15" t="str">
        <f t="shared" ca="1" si="36"/>
        <v/>
      </c>
    </row>
    <row r="2263" spans="1:1" x14ac:dyDescent="0.5">
      <c r="A2263" s="15" t="str">
        <f t="shared" ca="1" si="36"/>
        <v/>
      </c>
    </row>
    <row r="2264" spans="1:1" x14ac:dyDescent="0.5">
      <c r="A2264" s="15" t="str">
        <f t="shared" ca="1" si="36"/>
        <v/>
      </c>
    </row>
    <row r="2265" spans="1:1" x14ac:dyDescent="0.5">
      <c r="A2265" s="15" t="str">
        <f t="shared" ca="1" si="36"/>
        <v/>
      </c>
    </row>
    <row r="2266" spans="1:1" x14ac:dyDescent="0.5">
      <c r="A2266" s="15" t="str">
        <f t="shared" ca="1" si="36"/>
        <v/>
      </c>
    </row>
    <row r="2267" spans="1:1" x14ac:dyDescent="0.5">
      <c r="A2267" s="15" t="str">
        <f t="shared" ca="1" si="36"/>
        <v/>
      </c>
    </row>
    <row r="2268" spans="1:1" x14ac:dyDescent="0.5">
      <c r="A2268" s="15" t="str">
        <f t="shared" ca="1" si="36"/>
        <v/>
      </c>
    </row>
    <row r="2269" spans="1:1" x14ac:dyDescent="0.5">
      <c r="A2269" s="15" t="str">
        <f t="shared" ca="1" si="36"/>
        <v/>
      </c>
    </row>
    <row r="2270" spans="1:1" x14ac:dyDescent="0.5">
      <c r="A2270" s="15" t="str">
        <f t="shared" ca="1" si="36"/>
        <v/>
      </c>
    </row>
    <row r="2271" spans="1:1" x14ac:dyDescent="0.5">
      <c r="A2271" s="15" t="str">
        <f t="shared" ca="1" si="36"/>
        <v/>
      </c>
    </row>
    <row r="2272" spans="1:1" x14ac:dyDescent="0.5">
      <c r="A2272" s="15" t="str">
        <f t="shared" ca="1" si="36"/>
        <v/>
      </c>
    </row>
    <row r="2273" spans="1:1" x14ac:dyDescent="0.5">
      <c r="A2273" s="15" t="str">
        <f t="shared" ca="1" si="36"/>
        <v/>
      </c>
    </row>
    <row r="2274" spans="1:1" x14ac:dyDescent="0.5">
      <c r="A2274" s="15" t="str">
        <f t="shared" ca="1" si="36"/>
        <v/>
      </c>
    </row>
    <row r="2275" spans="1:1" x14ac:dyDescent="0.5">
      <c r="A2275" s="15" t="str">
        <f t="shared" ca="1" si="36"/>
        <v/>
      </c>
    </row>
    <row r="2276" spans="1:1" x14ac:dyDescent="0.5">
      <c r="A2276" s="15" t="str">
        <f t="shared" ca="1" si="36"/>
        <v/>
      </c>
    </row>
    <row r="2277" spans="1:1" x14ac:dyDescent="0.5">
      <c r="A2277" s="15" t="str">
        <f t="shared" ca="1" si="36"/>
        <v/>
      </c>
    </row>
    <row r="2278" spans="1:1" x14ac:dyDescent="0.5">
      <c r="A2278" s="15" t="str">
        <f t="shared" ca="1" si="36"/>
        <v/>
      </c>
    </row>
    <row r="2279" spans="1:1" x14ac:dyDescent="0.5">
      <c r="A2279" s="15" t="str">
        <f t="shared" ca="1" si="36"/>
        <v/>
      </c>
    </row>
    <row r="2280" spans="1:1" x14ac:dyDescent="0.5">
      <c r="A2280" s="15" t="str">
        <f t="shared" ca="1" si="36"/>
        <v/>
      </c>
    </row>
    <row r="2281" spans="1:1" x14ac:dyDescent="0.5">
      <c r="A2281" s="15" t="str">
        <f t="shared" ca="1" si="36"/>
        <v/>
      </c>
    </row>
    <row r="2282" spans="1:1" x14ac:dyDescent="0.5">
      <c r="A2282" s="15" t="str">
        <f t="shared" ca="1" si="36"/>
        <v/>
      </c>
    </row>
    <row r="2283" spans="1:1" x14ac:dyDescent="0.5">
      <c r="A2283" s="15" t="str">
        <f t="shared" ca="1" si="36"/>
        <v/>
      </c>
    </row>
    <row r="2284" spans="1:1" x14ac:dyDescent="0.5">
      <c r="A2284" s="15" t="str">
        <f t="shared" ca="1" si="36"/>
        <v/>
      </c>
    </row>
    <row r="2285" spans="1:1" x14ac:dyDescent="0.5">
      <c r="A2285" s="15" t="str">
        <f t="shared" ca="1" si="36"/>
        <v/>
      </c>
    </row>
    <row r="2286" spans="1:1" x14ac:dyDescent="0.5">
      <c r="A2286" s="15" t="str">
        <f t="shared" ca="1" si="36"/>
        <v/>
      </c>
    </row>
    <row r="2287" spans="1:1" x14ac:dyDescent="0.5">
      <c r="A2287" s="15" t="str">
        <f t="shared" ca="1" si="36"/>
        <v/>
      </c>
    </row>
    <row r="2288" spans="1:1" x14ac:dyDescent="0.5">
      <c r="A2288" s="15" t="str">
        <f t="shared" ca="1" si="36"/>
        <v/>
      </c>
    </row>
    <row r="2289" spans="1:1" x14ac:dyDescent="0.5">
      <c r="A2289" s="15" t="str">
        <f t="shared" ca="1" si="36"/>
        <v/>
      </c>
    </row>
    <row r="2290" spans="1:1" x14ac:dyDescent="0.5">
      <c r="A2290" s="15" t="str">
        <f t="shared" ca="1" si="36"/>
        <v/>
      </c>
    </row>
    <row r="2291" spans="1:1" x14ac:dyDescent="0.5">
      <c r="A2291" s="15" t="str">
        <f t="shared" ca="1" si="36"/>
        <v/>
      </c>
    </row>
    <row r="2292" spans="1:1" x14ac:dyDescent="0.5">
      <c r="A2292" s="15" t="str">
        <f t="shared" ca="1" si="36"/>
        <v/>
      </c>
    </row>
    <row r="2293" spans="1:1" x14ac:dyDescent="0.5">
      <c r="A2293" s="15" t="str">
        <f t="shared" ca="1" si="36"/>
        <v/>
      </c>
    </row>
    <row r="2294" spans="1:1" x14ac:dyDescent="0.5">
      <c r="A2294" s="15" t="str">
        <f t="shared" ca="1" si="36"/>
        <v/>
      </c>
    </row>
    <row r="2295" spans="1:1" x14ac:dyDescent="0.5">
      <c r="A2295" s="15" t="str">
        <f t="shared" ca="1" si="36"/>
        <v/>
      </c>
    </row>
    <row r="2296" spans="1:1" x14ac:dyDescent="0.5">
      <c r="A2296" s="15" t="str">
        <f t="shared" ca="1" si="36"/>
        <v/>
      </c>
    </row>
    <row r="2297" spans="1:1" x14ac:dyDescent="0.5">
      <c r="A2297" s="15" t="str">
        <f t="shared" ca="1" si="36"/>
        <v/>
      </c>
    </row>
    <row r="2298" spans="1:1" x14ac:dyDescent="0.5">
      <c r="A2298" s="15" t="str">
        <f t="shared" ca="1" si="36"/>
        <v/>
      </c>
    </row>
    <row r="2299" spans="1:1" x14ac:dyDescent="0.5">
      <c r="A2299" s="15" t="str">
        <f t="shared" ca="1" si="36"/>
        <v/>
      </c>
    </row>
    <row r="2300" spans="1:1" x14ac:dyDescent="0.5">
      <c r="A2300" s="15" t="str">
        <f t="shared" ca="1" si="36"/>
        <v/>
      </c>
    </row>
    <row r="2301" spans="1:1" x14ac:dyDescent="0.5">
      <c r="A2301" s="15" t="str">
        <f t="shared" ca="1" si="36"/>
        <v/>
      </c>
    </row>
    <row r="2302" spans="1:1" x14ac:dyDescent="0.5">
      <c r="A2302" s="15" t="str">
        <f t="shared" ca="1" si="36"/>
        <v/>
      </c>
    </row>
    <row r="2303" spans="1:1" x14ac:dyDescent="0.5">
      <c r="A2303" s="15" t="str">
        <f t="shared" ca="1" si="36"/>
        <v/>
      </c>
    </row>
    <row r="2304" spans="1:1" x14ac:dyDescent="0.5">
      <c r="A2304" s="15" t="str">
        <f t="shared" ca="1" si="36"/>
        <v/>
      </c>
    </row>
    <row r="2305" spans="1:1" x14ac:dyDescent="0.5">
      <c r="A2305" s="15" t="str">
        <f t="shared" ca="1" si="36"/>
        <v/>
      </c>
    </row>
    <row r="2306" spans="1:1" x14ac:dyDescent="0.5">
      <c r="A2306" s="15" t="str">
        <f t="shared" ca="1" si="36"/>
        <v/>
      </c>
    </row>
    <row r="2307" spans="1:1" x14ac:dyDescent="0.5">
      <c r="A2307" s="15" t="str">
        <f t="shared" ca="1" si="36"/>
        <v/>
      </c>
    </row>
    <row r="2308" spans="1:1" x14ac:dyDescent="0.5">
      <c r="A2308" s="15" t="str">
        <f t="shared" ca="1" si="36"/>
        <v/>
      </c>
    </row>
    <row r="2309" spans="1:1" x14ac:dyDescent="0.5">
      <c r="A2309" s="15" t="str">
        <f t="shared" ca="1" si="36"/>
        <v/>
      </c>
    </row>
    <row r="2310" spans="1:1" x14ac:dyDescent="0.5">
      <c r="A2310" s="15" t="str">
        <f t="shared" ca="1" si="36"/>
        <v/>
      </c>
    </row>
    <row r="2311" spans="1:1" x14ac:dyDescent="0.5">
      <c r="A2311" s="15" t="str">
        <f t="shared" ca="1" si="36"/>
        <v/>
      </c>
    </row>
    <row r="2312" spans="1:1" x14ac:dyDescent="0.5">
      <c r="A2312" s="15" t="str">
        <f t="shared" ca="1" si="36"/>
        <v/>
      </c>
    </row>
    <row r="2313" spans="1:1" x14ac:dyDescent="0.5">
      <c r="A2313" s="15" t="str">
        <f t="shared" ca="1" si="36"/>
        <v/>
      </c>
    </row>
    <row r="2314" spans="1:1" x14ac:dyDescent="0.5">
      <c r="A2314" s="15" t="str">
        <f t="shared" ca="1" si="36"/>
        <v/>
      </c>
    </row>
    <row r="2315" spans="1:1" x14ac:dyDescent="0.5">
      <c r="A2315" s="15" t="str">
        <f t="shared" ca="1" si="36"/>
        <v/>
      </c>
    </row>
    <row r="2316" spans="1:1" x14ac:dyDescent="0.5">
      <c r="A2316" s="15" t="str">
        <f t="shared" ca="1" si="36"/>
        <v/>
      </c>
    </row>
    <row r="2317" spans="1:1" x14ac:dyDescent="0.5">
      <c r="A2317" s="15" t="str">
        <f t="shared" ref="A2317:A2380" ca="1" si="37">IF(ROW()-12&lt;=$B$7,_xlfn.NORM.INV(RAND(),$B$5,$B$6),"")</f>
        <v/>
      </c>
    </row>
    <row r="2318" spans="1:1" x14ac:dyDescent="0.5">
      <c r="A2318" s="15" t="str">
        <f t="shared" ca="1" si="37"/>
        <v/>
      </c>
    </row>
    <row r="2319" spans="1:1" x14ac:dyDescent="0.5">
      <c r="A2319" s="15" t="str">
        <f t="shared" ca="1" si="37"/>
        <v/>
      </c>
    </row>
    <row r="2320" spans="1:1" x14ac:dyDescent="0.5">
      <c r="A2320" s="15" t="str">
        <f t="shared" ca="1" si="37"/>
        <v/>
      </c>
    </row>
    <row r="2321" spans="1:1" x14ac:dyDescent="0.5">
      <c r="A2321" s="15" t="str">
        <f t="shared" ca="1" si="37"/>
        <v/>
      </c>
    </row>
    <row r="2322" spans="1:1" x14ac:dyDescent="0.5">
      <c r="A2322" s="15" t="str">
        <f t="shared" ca="1" si="37"/>
        <v/>
      </c>
    </row>
    <row r="2323" spans="1:1" x14ac:dyDescent="0.5">
      <c r="A2323" s="15" t="str">
        <f t="shared" ca="1" si="37"/>
        <v/>
      </c>
    </row>
    <row r="2324" spans="1:1" x14ac:dyDescent="0.5">
      <c r="A2324" s="15" t="str">
        <f t="shared" ca="1" si="37"/>
        <v/>
      </c>
    </row>
    <row r="2325" spans="1:1" x14ac:dyDescent="0.5">
      <c r="A2325" s="15" t="str">
        <f t="shared" ca="1" si="37"/>
        <v/>
      </c>
    </row>
    <row r="2326" spans="1:1" x14ac:dyDescent="0.5">
      <c r="A2326" s="15" t="str">
        <f t="shared" ca="1" si="37"/>
        <v/>
      </c>
    </row>
    <row r="2327" spans="1:1" x14ac:dyDescent="0.5">
      <c r="A2327" s="15" t="str">
        <f t="shared" ca="1" si="37"/>
        <v/>
      </c>
    </row>
    <row r="2328" spans="1:1" x14ac:dyDescent="0.5">
      <c r="A2328" s="15" t="str">
        <f t="shared" ca="1" si="37"/>
        <v/>
      </c>
    </row>
    <row r="2329" spans="1:1" x14ac:dyDescent="0.5">
      <c r="A2329" s="15" t="str">
        <f t="shared" ca="1" si="37"/>
        <v/>
      </c>
    </row>
    <row r="2330" spans="1:1" x14ac:dyDescent="0.5">
      <c r="A2330" s="15" t="str">
        <f t="shared" ca="1" si="37"/>
        <v/>
      </c>
    </row>
    <row r="2331" spans="1:1" x14ac:dyDescent="0.5">
      <c r="A2331" s="15" t="str">
        <f t="shared" ca="1" si="37"/>
        <v/>
      </c>
    </row>
    <row r="2332" spans="1:1" x14ac:dyDescent="0.5">
      <c r="A2332" s="15" t="str">
        <f t="shared" ca="1" si="37"/>
        <v/>
      </c>
    </row>
    <row r="2333" spans="1:1" x14ac:dyDescent="0.5">
      <c r="A2333" s="15" t="str">
        <f t="shared" ca="1" si="37"/>
        <v/>
      </c>
    </row>
    <row r="2334" spans="1:1" x14ac:dyDescent="0.5">
      <c r="A2334" s="15" t="str">
        <f t="shared" ca="1" si="37"/>
        <v/>
      </c>
    </row>
    <row r="2335" spans="1:1" x14ac:dyDescent="0.5">
      <c r="A2335" s="15" t="str">
        <f t="shared" ca="1" si="37"/>
        <v/>
      </c>
    </row>
    <row r="2336" spans="1:1" x14ac:dyDescent="0.5">
      <c r="A2336" s="15" t="str">
        <f t="shared" ca="1" si="37"/>
        <v/>
      </c>
    </row>
    <row r="2337" spans="1:1" x14ac:dyDescent="0.5">
      <c r="A2337" s="15" t="str">
        <f t="shared" ca="1" si="37"/>
        <v/>
      </c>
    </row>
    <row r="2338" spans="1:1" x14ac:dyDescent="0.5">
      <c r="A2338" s="15" t="str">
        <f t="shared" ca="1" si="37"/>
        <v/>
      </c>
    </row>
    <row r="2339" spans="1:1" x14ac:dyDescent="0.5">
      <c r="A2339" s="15" t="str">
        <f t="shared" ca="1" si="37"/>
        <v/>
      </c>
    </row>
    <row r="2340" spans="1:1" x14ac:dyDescent="0.5">
      <c r="A2340" s="15" t="str">
        <f t="shared" ca="1" si="37"/>
        <v/>
      </c>
    </row>
    <row r="2341" spans="1:1" x14ac:dyDescent="0.5">
      <c r="A2341" s="15" t="str">
        <f t="shared" ca="1" si="37"/>
        <v/>
      </c>
    </row>
    <row r="2342" spans="1:1" x14ac:dyDescent="0.5">
      <c r="A2342" s="15" t="str">
        <f t="shared" ca="1" si="37"/>
        <v/>
      </c>
    </row>
    <row r="2343" spans="1:1" x14ac:dyDescent="0.5">
      <c r="A2343" s="15" t="str">
        <f t="shared" ca="1" si="37"/>
        <v/>
      </c>
    </row>
    <row r="2344" spans="1:1" x14ac:dyDescent="0.5">
      <c r="A2344" s="15" t="str">
        <f t="shared" ca="1" si="37"/>
        <v/>
      </c>
    </row>
    <row r="2345" spans="1:1" x14ac:dyDescent="0.5">
      <c r="A2345" s="15" t="str">
        <f t="shared" ca="1" si="37"/>
        <v/>
      </c>
    </row>
    <row r="2346" spans="1:1" x14ac:dyDescent="0.5">
      <c r="A2346" s="15" t="str">
        <f t="shared" ca="1" si="37"/>
        <v/>
      </c>
    </row>
    <row r="2347" spans="1:1" x14ac:dyDescent="0.5">
      <c r="A2347" s="15" t="str">
        <f t="shared" ca="1" si="37"/>
        <v/>
      </c>
    </row>
    <row r="2348" spans="1:1" x14ac:dyDescent="0.5">
      <c r="A2348" s="15" t="str">
        <f t="shared" ca="1" si="37"/>
        <v/>
      </c>
    </row>
    <row r="2349" spans="1:1" x14ac:dyDescent="0.5">
      <c r="A2349" s="15" t="str">
        <f t="shared" ca="1" si="37"/>
        <v/>
      </c>
    </row>
    <row r="2350" spans="1:1" x14ac:dyDescent="0.5">
      <c r="A2350" s="15" t="str">
        <f t="shared" ca="1" si="37"/>
        <v/>
      </c>
    </row>
    <row r="2351" spans="1:1" x14ac:dyDescent="0.5">
      <c r="A2351" s="15" t="str">
        <f t="shared" ca="1" si="37"/>
        <v/>
      </c>
    </row>
    <row r="2352" spans="1:1" x14ac:dyDescent="0.5">
      <c r="A2352" s="15" t="str">
        <f t="shared" ca="1" si="37"/>
        <v/>
      </c>
    </row>
    <row r="2353" spans="1:1" x14ac:dyDescent="0.5">
      <c r="A2353" s="15" t="str">
        <f t="shared" ca="1" si="37"/>
        <v/>
      </c>
    </row>
    <row r="2354" spans="1:1" x14ac:dyDescent="0.5">
      <c r="A2354" s="15" t="str">
        <f t="shared" ca="1" si="37"/>
        <v/>
      </c>
    </row>
    <row r="2355" spans="1:1" x14ac:dyDescent="0.5">
      <c r="A2355" s="15" t="str">
        <f t="shared" ca="1" si="37"/>
        <v/>
      </c>
    </row>
    <row r="2356" spans="1:1" x14ac:dyDescent="0.5">
      <c r="A2356" s="15" t="str">
        <f t="shared" ca="1" si="37"/>
        <v/>
      </c>
    </row>
    <row r="2357" spans="1:1" x14ac:dyDescent="0.5">
      <c r="A2357" s="15" t="str">
        <f t="shared" ca="1" si="37"/>
        <v/>
      </c>
    </row>
    <row r="2358" spans="1:1" x14ac:dyDescent="0.5">
      <c r="A2358" s="15" t="str">
        <f t="shared" ca="1" si="37"/>
        <v/>
      </c>
    </row>
    <row r="2359" spans="1:1" x14ac:dyDescent="0.5">
      <c r="A2359" s="15" t="str">
        <f t="shared" ca="1" si="37"/>
        <v/>
      </c>
    </row>
    <row r="2360" spans="1:1" x14ac:dyDescent="0.5">
      <c r="A2360" s="15" t="str">
        <f t="shared" ca="1" si="37"/>
        <v/>
      </c>
    </row>
    <row r="2361" spans="1:1" x14ac:dyDescent="0.5">
      <c r="A2361" s="15" t="str">
        <f t="shared" ca="1" si="37"/>
        <v/>
      </c>
    </row>
    <row r="2362" spans="1:1" x14ac:dyDescent="0.5">
      <c r="A2362" s="15" t="str">
        <f t="shared" ca="1" si="37"/>
        <v/>
      </c>
    </row>
    <row r="2363" spans="1:1" x14ac:dyDescent="0.5">
      <c r="A2363" s="15" t="str">
        <f t="shared" ca="1" si="37"/>
        <v/>
      </c>
    </row>
    <row r="2364" spans="1:1" x14ac:dyDescent="0.5">
      <c r="A2364" s="15" t="str">
        <f t="shared" ca="1" si="37"/>
        <v/>
      </c>
    </row>
    <row r="2365" spans="1:1" x14ac:dyDescent="0.5">
      <c r="A2365" s="15" t="str">
        <f t="shared" ca="1" si="37"/>
        <v/>
      </c>
    </row>
    <row r="2366" spans="1:1" x14ac:dyDescent="0.5">
      <c r="A2366" s="15" t="str">
        <f t="shared" ca="1" si="37"/>
        <v/>
      </c>
    </row>
    <row r="2367" spans="1:1" x14ac:dyDescent="0.5">
      <c r="A2367" s="15" t="str">
        <f t="shared" ca="1" si="37"/>
        <v/>
      </c>
    </row>
    <row r="2368" spans="1:1" x14ac:dyDescent="0.5">
      <c r="A2368" s="15" t="str">
        <f t="shared" ca="1" si="37"/>
        <v/>
      </c>
    </row>
    <row r="2369" spans="1:1" x14ac:dyDescent="0.5">
      <c r="A2369" s="15" t="str">
        <f t="shared" ca="1" si="37"/>
        <v/>
      </c>
    </row>
    <row r="2370" spans="1:1" x14ac:dyDescent="0.5">
      <c r="A2370" s="15" t="str">
        <f t="shared" ca="1" si="37"/>
        <v/>
      </c>
    </row>
    <row r="2371" spans="1:1" x14ac:dyDescent="0.5">
      <c r="A2371" s="15" t="str">
        <f t="shared" ca="1" si="37"/>
        <v/>
      </c>
    </row>
    <row r="2372" spans="1:1" x14ac:dyDescent="0.5">
      <c r="A2372" s="15" t="str">
        <f t="shared" ca="1" si="37"/>
        <v/>
      </c>
    </row>
    <row r="2373" spans="1:1" x14ac:dyDescent="0.5">
      <c r="A2373" s="15" t="str">
        <f t="shared" ca="1" si="37"/>
        <v/>
      </c>
    </row>
    <row r="2374" spans="1:1" x14ac:dyDescent="0.5">
      <c r="A2374" s="15" t="str">
        <f t="shared" ca="1" si="37"/>
        <v/>
      </c>
    </row>
    <row r="2375" spans="1:1" x14ac:dyDescent="0.5">
      <c r="A2375" s="15" t="str">
        <f t="shared" ca="1" si="37"/>
        <v/>
      </c>
    </row>
    <row r="2376" spans="1:1" x14ac:dyDescent="0.5">
      <c r="A2376" s="15" t="str">
        <f t="shared" ca="1" si="37"/>
        <v/>
      </c>
    </row>
    <row r="2377" spans="1:1" x14ac:dyDescent="0.5">
      <c r="A2377" s="15" t="str">
        <f t="shared" ca="1" si="37"/>
        <v/>
      </c>
    </row>
    <row r="2378" spans="1:1" x14ac:dyDescent="0.5">
      <c r="A2378" s="15" t="str">
        <f t="shared" ca="1" si="37"/>
        <v/>
      </c>
    </row>
    <row r="2379" spans="1:1" x14ac:dyDescent="0.5">
      <c r="A2379" s="15" t="str">
        <f t="shared" ca="1" si="37"/>
        <v/>
      </c>
    </row>
    <row r="2380" spans="1:1" x14ac:dyDescent="0.5">
      <c r="A2380" s="15" t="str">
        <f t="shared" ca="1" si="37"/>
        <v/>
      </c>
    </row>
    <row r="2381" spans="1:1" x14ac:dyDescent="0.5">
      <c r="A2381" s="15" t="str">
        <f t="shared" ref="A2381:A2444" ca="1" si="38">IF(ROW()-12&lt;=$B$7,_xlfn.NORM.INV(RAND(),$B$5,$B$6),"")</f>
        <v/>
      </c>
    </row>
    <row r="2382" spans="1:1" x14ac:dyDescent="0.5">
      <c r="A2382" s="15" t="str">
        <f t="shared" ca="1" si="38"/>
        <v/>
      </c>
    </row>
    <row r="2383" spans="1:1" x14ac:dyDescent="0.5">
      <c r="A2383" s="15" t="str">
        <f t="shared" ca="1" si="38"/>
        <v/>
      </c>
    </row>
    <row r="2384" spans="1:1" x14ac:dyDescent="0.5">
      <c r="A2384" s="15" t="str">
        <f t="shared" ca="1" si="38"/>
        <v/>
      </c>
    </row>
    <row r="2385" spans="1:1" x14ac:dyDescent="0.5">
      <c r="A2385" s="15" t="str">
        <f t="shared" ca="1" si="38"/>
        <v/>
      </c>
    </row>
    <row r="2386" spans="1:1" x14ac:dyDescent="0.5">
      <c r="A2386" s="15" t="str">
        <f t="shared" ca="1" si="38"/>
        <v/>
      </c>
    </row>
    <row r="2387" spans="1:1" x14ac:dyDescent="0.5">
      <c r="A2387" s="15" t="str">
        <f t="shared" ca="1" si="38"/>
        <v/>
      </c>
    </row>
    <row r="2388" spans="1:1" x14ac:dyDescent="0.5">
      <c r="A2388" s="15" t="str">
        <f t="shared" ca="1" si="38"/>
        <v/>
      </c>
    </row>
    <row r="2389" spans="1:1" x14ac:dyDescent="0.5">
      <c r="A2389" s="15" t="str">
        <f t="shared" ca="1" si="38"/>
        <v/>
      </c>
    </row>
    <row r="2390" spans="1:1" x14ac:dyDescent="0.5">
      <c r="A2390" s="15" t="str">
        <f t="shared" ca="1" si="38"/>
        <v/>
      </c>
    </row>
    <row r="2391" spans="1:1" x14ac:dyDescent="0.5">
      <c r="A2391" s="15" t="str">
        <f t="shared" ca="1" si="38"/>
        <v/>
      </c>
    </row>
    <row r="2392" spans="1:1" x14ac:dyDescent="0.5">
      <c r="A2392" s="15" t="str">
        <f t="shared" ca="1" si="38"/>
        <v/>
      </c>
    </row>
    <row r="2393" spans="1:1" x14ac:dyDescent="0.5">
      <c r="A2393" s="15" t="str">
        <f t="shared" ca="1" si="38"/>
        <v/>
      </c>
    </row>
    <row r="2394" spans="1:1" x14ac:dyDescent="0.5">
      <c r="A2394" s="15" t="str">
        <f t="shared" ca="1" si="38"/>
        <v/>
      </c>
    </row>
    <row r="2395" spans="1:1" x14ac:dyDescent="0.5">
      <c r="A2395" s="15" t="str">
        <f t="shared" ca="1" si="38"/>
        <v/>
      </c>
    </row>
    <row r="2396" spans="1:1" x14ac:dyDescent="0.5">
      <c r="A2396" s="15" t="str">
        <f t="shared" ca="1" si="38"/>
        <v/>
      </c>
    </row>
    <row r="2397" spans="1:1" x14ac:dyDescent="0.5">
      <c r="A2397" s="15" t="str">
        <f t="shared" ca="1" si="38"/>
        <v/>
      </c>
    </row>
    <row r="2398" spans="1:1" x14ac:dyDescent="0.5">
      <c r="A2398" s="15" t="str">
        <f t="shared" ca="1" si="38"/>
        <v/>
      </c>
    </row>
    <row r="2399" spans="1:1" x14ac:dyDescent="0.5">
      <c r="A2399" s="15" t="str">
        <f t="shared" ca="1" si="38"/>
        <v/>
      </c>
    </row>
    <row r="2400" spans="1:1" x14ac:dyDescent="0.5">
      <c r="A2400" s="15" t="str">
        <f t="shared" ca="1" si="38"/>
        <v/>
      </c>
    </row>
    <row r="2401" spans="1:1" x14ac:dyDescent="0.5">
      <c r="A2401" s="15" t="str">
        <f t="shared" ca="1" si="38"/>
        <v/>
      </c>
    </row>
    <row r="2402" spans="1:1" x14ac:dyDescent="0.5">
      <c r="A2402" s="15" t="str">
        <f t="shared" ca="1" si="38"/>
        <v/>
      </c>
    </row>
    <row r="2403" spans="1:1" x14ac:dyDescent="0.5">
      <c r="A2403" s="15" t="str">
        <f t="shared" ca="1" si="38"/>
        <v/>
      </c>
    </row>
    <row r="2404" spans="1:1" x14ac:dyDescent="0.5">
      <c r="A2404" s="15" t="str">
        <f t="shared" ca="1" si="38"/>
        <v/>
      </c>
    </row>
    <row r="2405" spans="1:1" x14ac:dyDescent="0.5">
      <c r="A2405" s="15" t="str">
        <f t="shared" ca="1" si="38"/>
        <v/>
      </c>
    </row>
    <row r="2406" spans="1:1" x14ac:dyDescent="0.5">
      <c r="A2406" s="15" t="str">
        <f t="shared" ca="1" si="38"/>
        <v/>
      </c>
    </row>
    <row r="2407" spans="1:1" x14ac:dyDescent="0.5">
      <c r="A2407" s="15" t="str">
        <f t="shared" ca="1" si="38"/>
        <v/>
      </c>
    </row>
    <row r="2408" spans="1:1" x14ac:dyDescent="0.5">
      <c r="A2408" s="15" t="str">
        <f t="shared" ca="1" si="38"/>
        <v/>
      </c>
    </row>
    <row r="2409" spans="1:1" x14ac:dyDescent="0.5">
      <c r="A2409" s="15" t="str">
        <f t="shared" ca="1" si="38"/>
        <v/>
      </c>
    </row>
    <row r="2410" spans="1:1" x14ac:dyDescent="0.5">
      <c r="A2410" s="15" t="str">
        <f t="shared" ca="1" si="38"/>
        <v/>
      </c>
    </row>
    <row r="2411" spans="1:1" x14ac:dyDescent="0.5">
      <c r="A2411" s="15" t="str">
        <f t="shared" ca="1" si="38"/>
        <v/>
      </c>
    </row>
    <row r="2412" spans="1:1" x14ac:dyDescent="0.5">
      <c r="A2412" s="15" t="str">
        <f t="shared" ca="1" si="38"/>
        <v/>
      </c>
    </row>
    <row r="2413" spans="1:1" x14ac:dyDescent="0.5">
      <c r="A2413" s="15" t="str">
        <f t="shared" ca="1" si="38"/>
        <v/>
      </c>
    </row>
    <row r="2414" spans="1:1" x14ac:dyDescent="0.5">
      <c r="A2414" s="15" t="str">
        <f t="shared" ca="1" si="38"/>
        <v/>
      </c>
    </row>
    <row r="2415" spans="1:1" x14ac:dyDescent="0.5">
      <c r="A2415" s="15" t="str">
        <f t="shared" ca="1" si="38"/>
        <v/>
      </c>
    </row>
    <row r="2416" spans="1:1" x14ac:dyDescent="0.5">
      <c r="A2416" s="15" t="str">
        <f t="shared" ca="1" si="38"/>
        <v/>
      </c>
    </row>
    <row r="2417" spans="1:1" x14ac:dyDescent="0.5">
      <c r="A2417" s="15" t="str">
        <f t="shared" ca="1" si="38"/>
        <v/>
      </c>
    </row>
    <row r="2418" spans="1:1" x14ac:dyDescent="0.5">
      <c r="A2418" s="15" t="str">
        <f t="shared" ca="1" si="38"/>
        <v/>
      </c>
    </row>
    <row r="2419" spans="1:1" x14ac:dyDescent="0.5">
      <c r="A2419" s="15" t="str">
        <f t="shared" ca="1" si="38"/>
        <v/>
      </c>
    </row>
    <row r="2420" spans="1:1" x14ac:dyDescent="0.5">
      <c r="A2420" s="15" t="str">
        <f t="shared" ca="1" si="38"/>
        <v/>
      </c>
    </row>
    <row r="2421" spans="1:1" x14ac:dyDescent="0.5">
      <c r="A2421" s="15" t="str">
        <f t="shared" ca="1" si="38"/>
        <v/>
      </c>
    </row>
    <row r="2422" spans="1:1" x14ac:dyDescent="0.5">
      <c r="A2422" s="15" t="str">
        <f t="shared" ca="1" si="38"/>
        <v/>
      </c>
    </row>
    <row r="2423" spans="1:1" x14ac:dyDescent="0.5">
      <c r="A2423" s="15" t="str">
        <f t="shared" ca="1" si="38"/>
        <v/>
      </c>
    </row>
    <row r="2424" spans="1:1" x14ac:dyDescent="0.5">
      <c r="A2424" s="15" t="str">
        <f t="shared" ca="1" si="38"/>
        <v/>
      </c>
    </row>
    <row r="2425" spans="1:1" x14ac:dyDescent="0.5">
      <c r="A2425" s="15" t="str">
        <f t="shared" ca="1" si="38"/>
        <v/>
      </c>
    </row>
    <row r="2426" spans="1:1" x14ac:dyDescent="0.5">
      <c r="A2426" s="15" t="str">
        <f t="shared" ca="1" si="38"/>
        <v/>
      </c>
    </row>
    <row r="2427" spans="1:1" x14ac:dyDescent="0.5">
      <c r="A2427" s="15" t="str">
        <f t="shared" ca="1" si="38"/>
        <v/>
      </c>
    </row>
    <row r="2428" spans="1:1" x14ac:dyDescent="0.5">
      <c r="A2428" s="15" t="str">
        <f t="shared" ca="1" si="38"/>
        <v/>
      </c>
    </row>
    <row r="2429" spans="1:1" x14ac:dyDescent="0.5">
      <c r="A2429" s="15" t="str">
        <f t="shared" ca="1" si="38"/>
        <v/>
      </c>
    </row>
    <row r="2430" spans="1:1" x14ac:dyDescent="0.5">
      <c r="A2430" s="15" t="str">
        <f t="shared" ca="1" si="38"/>
        <v/>
      </c>
    </row>
    <row r="2431" spans="1:1" x14ac:dyDescent="0.5">
      <c r="A2431" s="15" t="str">
        <f t="shared" ca="1" si="38"/>
        <v/>
      </c>
    </row>
    <row r="2432" spans="1:1" x14ac:dyDescent="0.5">
      <c r="A2432" s="15" t="str">
        <f t="shared" ca="1" si="38"/>
        <v/>
      </c>
    </row>
    <row r="2433" spans="1:1" x14ac:dyDescent="0.5">
      <c r="A2433" s="15" t="str">
        <f t="shared" ca="1" si="38"/>
        <v/>
      </c>
    </row>
    <row r="2434" spans="1:1" x14ac:dyDescent="0.5">
      <c r="A2434" s="15" t="str">
        <f t="shared" ca="1" si="38"/>
        <v/>
      </c>
    </row>
    <row r="2435" spans="1:1" x14ac:dyDescent="0.5">
      <c r="A2435" s="15" t="str">
        <f t="shared" ca="1" si="38"/>
        <v/>
      </c>
    </row>
    <row r="2436" spans="1:1" x14ac:dyDescent="0.5">
      <c r="A2436" s="15" t="str">
        <f t="shared" ca="1" si="38"/>
        <v/>
      </c>
    </row>
    <row r="2437" spans="1:1" x14ac:dyDescent="0.5">
      <c r="A2437" s="15" t="str">
        <f t="shared" ca="1" si="38"/>
        <v/>
      </c>
    </row>
    <row r="2438" spans="1:1" x14ac:dyDescent="0.5">
      <c r="A2438" s="15" t="str">
        <f t="shared" ca="1" si="38"/>
        <v/>
      </c>
    </row>
    <row r="2439" spans="1:1" x14ac:dyDescent="0.5">
      <c r="A2439" s="15" t="str">
        <f t="shared" ca="1" si="38"/>
        <v/>
      </c>
    </row>
    <row r="2440" spans="1:1" x14ac:dyDescent="0.5">
      <c r="A2440" s="15" t="str">
        <f t="shared" ca="1" si="38"/>
        <v/>
      </c>
    </row>
    <row r="2441" spans="1:1" x14ac:dyDescent="0.5">
      <c r="A2441" s="15" t="str">
        <f t="shared" ca="1" si="38"/>
        <v/>
      </c>
    </row>
    <row r="2442" spans="1:1" x14ac:dyDescent="0.5">
      <c r="A2442" s="15" t="str">
        <f t="shared" ca="1" si="38"/>
        <v/>
      </c>
    </row>
    <row r="2443" spans="1:1" x14ac:dyDescent="0.5">
      <c r="A2443" s="15" t="str">
        <f t="shared" ca="1" si="38"/>
        <v/>
      </c>
    </row>
    <row r="2444" spans="1:1" x14ac:dyDescent="0.5">
      <c r="A2444" s="15" t="str">
        <f t="shared" ca="1" si="38"/>
        <v/>
      </c>
    </row>
    <row r="2445" spans="1:1" x14ac:dyDescent="0.5">
      <c r="A2445" s="15" t="str">
        <f t="shared" ref="A2445:A2508" ca="1" si="39">IF(ROW()-12&lt;=$B$7,_xlfn.NORM.INV(RAND(),$B$5,$B$6),"")</f>
        <v/>
      </c>
    </row>
    <row r="2446" spans="1:1" x14ac:dyDescent="0.5">
      <c r="A2446" s="15" t="str">
        <f t="shared" ca="1" si="39"/>
        <v/>
      </c>
    </row>
    <row r="2447" spans="1:1" x14ac:dyDescent="0.5">
      <c r="A2447" s="15" t="str">
        <f t="shared" ca="1" si="39"/>
        <v/>
      </c>
    </row>
    <row r="2448" spans="1:1" x14ac:dyDescent="0.5">
      <c r="A2448" s="15" t="str">
        <f t="shared" ca="1" si="39"/>
        <v/>
      </c>
    </row>
    <row r="2449" spans="1:1" x14ac:dyDescent="0.5">
      <c r="A2449" s="15" t="str">
        <f t="shared" ca="1" si="39"/>
        <v/>
      </c>
    </row>
    <row r="2450" spans="1:1" x14ac:dyDescent="0.5">
      <c r="A2450" s="15" t="str">
        <f t="shared" ca="1" si="39"/>
        <v/>
      </c>
    </row>
    <row r="2451" spans="1:1" x14ac:dyDescent="0.5">
      <c r="A2451" s="15" t="str">
        <f t="shared" ca="1" si="39"/>
        <v/>
      </c>
    </row>
    <row r="2452" spans="1:1" x14ac:dyDescent="0.5">
      <c r="A2452" s="15" t="str">
        <f t="shared" ca="1" si="39"/>
        <v/>
      </c>
    </row>
    <row r="2453" spans="1:1" x14ac:dyDescent="0.5">
      <c r="A2453" s="15" t="str">
        <f t="shared" ca="1" si="39"/>
        <v/>
      </c>
    </row>
    <row r="2454" spans="1:1" x14ac:dyDescent="0.5">
      <c r="A2454" s="15" t="str">
        <f t="shared" ca="1" si="39"/>
        <v/>
      </c>
    </row>
    <row r="2455" spans="1:1" x14ac:dyDescent="0.5">
      <c r="A2455" s="15" t="str">
        <f t="shared" ca="1" si="39"/>
        <v/>
      </c>
    </row>
    <row r="2456" spans="1:1" x14ac:dyDescent="0.5">
      <c r="A2456" s="15" t="str">
        <f t="shared" ca="1" si="39"/>
        <v/>
      </c>
    </row>
    <row r="2457" spans="1:1" x14ac:dyDescent="0.5">
      <c r="A2457" s="15" t="str">
        <f t="shared" ca="1" si="39"/>
        <v/>
      </c>
    </row>
    <row r="2458" spans="1:1" x14ac:dyDescent="0.5">
      <c r="A2458" s="15" t="str">
        <f t="shared" ca="1" si="39"/>
        <v/>
      </c>
    </row>
    <row r="2459" spans="1:1" x14ac:dyDescent="0.5">
      <c r="A2459" s="15" t="str">
        <f t="shared" ca="1" si="39"/>
        <v/>
      </c>
    </row>
    <row r="2460" spans="1:1" x14ac:dyDescent="0.5">
      <c r="A2460" s="15" t="str">
        <f t="shared" ca="1" si="39"/>
        <v/>
      </c>
    </row>
    <row r="2461" spans="1:1" x14ac:dyDescent="0.5">
      <c r="A2461" s="15" t="str">
        <f t="shared" ca="1" si="39"/>
        <v/>
      </c>
    </row>
    <row r="2462" spans="1:1" x14ac:dyDescent="0.5">
      <c r="A2462" s="15" t="str">
        <f t="shared" ca="1" si="39"/>
        <v/>
      </c>
    </row>
    <row r="2463" spans="1:1" x14ac:dyDescent="0.5">
      <c r="A2463" s="15" t="str">
        <f t="shared" ca="1" si="39"/>
        <v/>
      </c>
    </row>
    <row r="2464" spans="1:1" x14ac:dyDescent="0.5">
      <c r="A2464" s="15" t="str">
        <f t="shared" ca="1" si="39"/>
        <v/>
      </c>
    </row>
    <row r="2465" spans="1:1" x14ac:dyDescent="0.5">
      <c r="A2465" s="15" t="str">
        <f t="shared" ca="1" si="39"/>
        <v/>
      </c>
    </row>
    <row r="2466" spans="1:1" x14ac:dyDescent="0.5">
      <c r="A2466" s="15" t="str">
        <f t="shared" ca="1" si="39"/>
        <v/>
      </c>
    </row>
    <row r="2467" spans="1:1" x14ac:dyDescent="0.5">
      <c r="A2467" s="15" t="str">
        <f t="shared" ca="1" si="39"/>
        <v/>
      </c>
    </row>
    <row r="2468" spans="1:1" x14ac:dyDescent="0.5">
      <c r="A2468" s="15" t="str">
        <f t="shared" ca="1" si="39"/>
        <v/>
      </c>
    </row>
    <row r="2469" spans="1:1" x14ac:dyDescent="0.5">
      <c r="A2469" s="15" t="str">
        <f t="shared" ca="1" si="39"/>
        <v/>
      </c>
    </row>
    <row r="2470" spans="1:1" x14ac:dyDescent="0.5">
      <c r="A2470" s="15" t="str">
        <f t="shared" ca="1" si="39"/>
        <v/>
      </c>
    </row>
    <row r="2471" spans="1:1" x14ac:dyDescent="0.5">
      <c r="A2471" s="15" t="str">
        <f t="shared" ca="1" si="39"/>
        <v/>
      </c>
    </row>
    <row r="2472" spans="1:1" x14ac:dyDescent="0.5">
      <c r="A2472" s="15" t="str">
        <f t="shared" ca="1" si="39"/>
        <v/>
      </c>
    </row>
    <row r="2473" spans="1:1" x14ac:dyDescent="0.5">
      <c r="A2473" s="15" t="str">
        <f t="shared" ca="1" si="39"/>
        <v/>
      </c>
    </row>
    <row r="2474" spans="1:1" x14ac:dyDescent="0.5">
      <c r="A2474" s="15" t="str">
        <f t="shared" ca="1" si="39"/>
        <v/>
      </c>
    </row>
    <row r="2475" spans="1:1" x14ac:dyDescent="0.5">
      <c r="A2475" s="15" t="str">
        <f t="shared" ca="1" si="39"/>
        <v/>
      </c>
    </row>
    <row r="2476" spans="1:1" x14ac:dyDescent="0.5">
      <c r="A2476" s="15" t="str">
        <f t="shared" ca="1" si="39"/>
        <v/>
      </c>
    </row>
    <row r="2477" spans="1:1" x14ac:dyDescent="0.5">
      <c r="A2477" s="15" t="str">
        <f t="shared" ca="1" si="39"/>
        <v/>
      </c>
    </row>
    <row r="2478" spans="1:1" x14ac:dyDescent="0.5">
      <c r="A2478" s="15" t="str">
        <f t="shared" ca="1" si="39"/>
        <v/>
      </c>
    </row>
    <row r="2479" spans="1:1" x14ac:dyDescent="0.5">
      <c r="A2479" s="15" t="str">
        <f t="shared" ca="1" si="39"/>
        <v/>
      </c>
    </row>
    <row r="2480" spans="1:1" x14ac:dyDescent="0.5">
      <c r="A2480" s="15" t="str">
        <f t="shared" ca="1" si="39"/>
        <v/>
      </c>
    </row>
    <row r="2481" spans="1:1" x14ac:dyDescent="0.5">
      <c r="A2481" s="15" t="str">
        <f t="shared" ca="1" si="39"/>
        <v/>
      </c>
    </row>
    <row r="2482" spans="1:1" x14ac:dyDescent="0.5">
      <c r="A2482" s="15" t="str">
        <f t="shared" ca="1" si="39"/>
        <v/>
      </c>
    </row>
    <row r="2483" spans="1:1" x14ac:dyDescent="0.5">
      <c r="A2483" s="15" t="str">
        <f t="shared" ca="1" si="39"/>
        <v/>
      </c>
    </row>
    <row r="2484" spans="1:1" x14ac:dyDescent="0.5">
      <c r="A2484" s="15" t="str">
        <f t="shared" ca="1" si="39"/>
        <v/>
      </c>
    </row>
    <row r="2485" spans="1:1" x14ac:dyDescent="0.5">
      <c r="A2485" s="15" t="str">
        <f t="shared" ca="1" si="39"/>
        <v/>
      </c>
    </row>
    <row r="2486" spans="1:1" x14ac:dyDescent="0.5">
      <c r="A2486" s="15" t="str">
        <f t="shared" ca="1" si="39"/>
        <v/>
      </c>
    </row>
    <row r="2487" spans="1:1" x14ac:dyDescent="0.5">
      <c r="A2487" s="15" t="str">
        <f t="shared" ca="1" si="39"/>
        <v/>
      </c>
    </row>
    <row r="2488" spans="1:1" x14ac:dyDescent="0.5">
      <c r="A2488" s="15" t="str">
        <f t="shared" ca="1" si="39"/>
        <v/>
      </c>
    </row>
    <row r="2489" spans="1:1" x14ac:dyDescent="0.5">
      <c r="A2489" s="15" t="str">
        <f t="shared" ca="1" si="39"/>
        <v/>
      </c>
    </row>
    <row r="2490" spans="1:1" x14ac:dyDescent="0.5">
      <c r="A2490" s="15" t="str">
        <f t="shared" ca="1" si="39"/>
        <v/>
      </c>
    </row>
    <row r="2491" spans="1:1" x14ac:dyDescent="0.5">
      <c r="A2491" s="15" t="str">
        <f t="shared" ca="1" si="39"/>
        <v/>
      </c>
    </row>
    <row r="2492" spans="1:1" x14ac:dyDescent="0.5">
      <c r="A2492" s="15" t="str">
        <f t="shared" ca="1" si="39"/>
        <v/>
      </c>
    </row>
    <row r="2493" spans="1:1" x14ac:dyDescent="0.5">
      <c r="A2493" s="15" t="str">
        <f t="shared" ca="1" si="39"/>
        <v/>
      </c>
    </row>
    <row r="2494" spans="1:1" x14ac:dyDescent="0.5">
      <c r="A2494" s="15" t="str">
        <f t="shared" ca="1" si="39"/>
        <v/>
      </c>
    </row>
    <row r="2495" spans="1:1" x14ac:dyDescent="0.5">
      <c r="A2495" s="15" t="str">
        <f t="shared" ca="1" si="39"/>
        <v/>
      </c>
    </row>
    <row r="2496" spans="1:1" x14ac:dyDescent="0.5">
      <c r="A2496" s="15" t="str">
        <f t="shared" ca="1" si="39"/>
        <v/>
      </c>
    </row>
    <row r="2497" spans="1:1" x14ac:dyDescent="0.5">
      <c r="A2497" s="15" t="str">
        <f t="shared" ca="1" si="39"/>
        <v/>
      </c>
    </row>
    <row r="2498" spans="1:1" x14ac:dyDescent="0.5">
      <c r="A2498" s="15" t="str">
        <f t="shared" ca="1" si="39"/>
        <v/>
      </c>
    </row>
    <row r="2499" spans="1:1" x14ac:dyDescent="0.5">
      <c r="A2499" s="15" t="str">
        <f t="shared" ca="1" si="39"/>
        <v/>
      </c>
    </row>
    <row r="2500" spans="1:1" x14ac:dyDescent="0.5">
      <c r="A2500" s="15" t="str">
        <f t="shared" ca="1" si="39"/>
        <v/>
      </c>
    </row>
    <row r="2501" spans="1:1" x14ac:dyDescent="0.5">
      <c r="A2501" s="15" t="str">
        <f t="shared" ca="1" si="39"/>
        <v/>
      </c>
    </row>
    <row r="2502" spans="1:1" x14ac:dyDescent="0.5">
      <c r="A2502" s="15" t="str">
        <f t="shared" ca="1" si="39"/>
        <v/>
      </c>
    </row>
    <row r="2503" spans="1:1" x14ac:dyDescent="0.5">
      <c r="A2503" s="15" t="str">
        <f t="shared" ca="1" si="39"/>
        <v/>
      </c>
    </row>
    <row r="2504" spans="1:1" x14ac:dyDescent="0.5">
      <c r="A2504" s="15" t="str">
        <f t="shared" ca="1" si="39"/>
        <v/>
      </c>
    </row>
    <row r="2505" spans="1:1" x14ac:dyDescent="0.5">
      <c r="A2505" s="15" t="str">
        <f t="shared" ca="1" si="39"/>
        <v/>
      </c>
    </row>
    <row r="2506" spans="1:1" x14ac:dyDescent="0.5">
      <c r="A2506" s="15" t="str">
        <f t="shared" ca="1" si="39"/>
        <v/>
      </c>
    </row>
    <row r="2507" spans="1:1" x14ac:dyDescent="0.5">
      <c r="A2507" s="15" t="str">
        <f t="shared" ca="1" si="39"/>
        <v/>
      </c>
    </row>
    <row r="2508" spans="1:1" x14ac:dyDescent="0.5">
      <c r="A2508" s="15" t="str">
        <f t="shared" ca="1" si="39"/>
        <v/>
      </c>
    </row>
    <row r="2509" spans="1:1" x14ac:dyDescent="0.5">
      <c r="A2509" s="15" t="str">
        <f t="shared" ref="A2509:A2572" ca="1" si="40">IF(ROW()-12&lt;=$B$7,_xlfn.NORM.INV(RAND(),$B$5,$B$6),"")</f>
        <v/>
      </c>
    </row>
    <row r="2510" spans="1:1" x14ac:dyDescent="0.5">
      <c r="A2510" s="15" t="str">
        <f t="shared" ca="1" si="40"/>
        <v/>
      </c>
    </row>
    <row r="2511" spans="1:1" x14ac:dyDescent="0.5">
      <c r="A2511" s="15" t="str">
        <f t="shared" ca="1" si="40"/>
        <v/>
      </c>
    </row>
    <row r="2512" spans="1:1" x14ac:dyDescent="0.5">
      <c r="A2512" s="15" t="str">
        <f t="shared" ca="1" si="40"/>
        <v/>
      </c>
    </row>
    <row r="2513" spans="1:1" x14ac:dyDescent="0.5">
      <c r="A2513" s="15" t="str">
        <f t="shared" ca="1" si="40"/>
        <v/>
      </c>
    </row>
    <row r="2514" spans="1:1" x14ac:dyDescent="0.5">
      <c r="A2514" s="15" t="str">
        <f t="shared" ca="1" si="40"/>
        <v/>
      </c>
    </row>
    <row r="2515" spans="1:1" x14ac:dyDescent="0.5">
      <c r="A2515" s="15" t="str">
        <f t="shared" ca="1" si="40"/>
        <v/>
      </c>
    </row>
    <row r="2516" spans="1:1" x14ac:dyDescent="0.5">
      <c r="A2516" s="15" t="str">
        <f t="shared" ca="1" si="40"/>
        <v/>
      </c>
    </row>
    <row r="2517" spans="1:1" x14ac:dyDescent="0.5">
      <c r="A2517" s="15" t="str">
        <f t="shared" ca="1" si="40"/>
        <v/>
      </c>
    </row>
    <row r="2518" spans="1:1" x14ac:dyDescent="0.5">
      <c r="A2518" s="15" t="str">
        <f t="shared" ca="1" si="40"/>
        <v/>
      </c>
    </row>
    <row r="2519" spans="1:1" x14ac:dyDescent="0.5">
      <c r="A2519" s="15" t="str">
        <f t="shared" ca="1" si="40"/>
        <v/>
      </c>
    </row>
    <row r="2520" spans="1:1" x14ac:dyDescent="0.5">
      <c r="A2520" s="15" t="str">
        <f t="shared" ca="1" si="40"/>
        <v/>
      </c>
    </row>
    <row r="2521" spans="1:1" x14ac:dyDescent="0.5">
      <c r="A2521" s="15" t="str">
        <f t="shared" ca="1" si="40"/>
        <v/>
      </c>
    </row>
    <row r="2522" spans="1:1" x14ac:dyDescent="0.5">
      <c r="A2522" s="15" t="str">
        <f t="shared" ca="1" si="40"/>
        <v/>
      </c>
    </row>
    <row r="2523" spans="1:1" x14ac:dyDescent="0.5">
      <c r="A2523" s="15" t="str">
        <f t="shared" ca="1" si="40"/>
        <v/>
      </c>
    </row>
    <row r="2524" spans="1:1" x14ac:dyDescent="0.5">
      <c r="A2524" s="15" t="str">
        <f t="shared" ca="1" si="40"/>
        <v/>
      </c>
    </row>
    <row r="2525" spans="1:1" x14ac:dyDescent="0.5">
      <c r="A2525" s="15" t="str">
        <f t="shared" ca="1" si="40"/>
        <v/>
      </c>
    </row>
    <row r="2526" spans="1:1" x14ac:dyDescent="0.5">
      <c r="A2526" s="15" t="str">
        <f t="shared" ca="1" si="40"/>
        <v/>
      </c>
    </row>
    <row r="2527" spans="1:1" x14ac:dyDescent="0.5">
      <c r="A2527" s="15" t="str">
        <f t="shared" ca="1" si="40"/>
        <v/>
      </c>
    </row>
    <row r="2528" spans="1:1" x14ac:dyDescent="0.5">
      <c r="A2528" s="15" t="str">
        <f t="shared" ca="1" si="40"/>
        <v/>
      </c>
    </row>
    <row r="2529" spans="1:1" x14ac:dyDescent="0.5">
      <c r="A2529" s="15" t="str">
        <f t="shared" ca="1" si="40"/>
        <v/>
      </c>
    </row>
    <row r="2530" spans="1:1" x14ac:dyDescent="0.5">
      <c r="A2530" s="15" t="str">
        <f t="shared" ca="1" si="40"/>
        <v/>
      </c>
    </row>
    <row r="2531" spans="1:1" x14ac:dyDescent="0.5">
      <c r="A2531" s="15" t="str">
        <f t="shared" ca="1" si="40"/>
        <v/>
      </c>
    </row>
    <row r="2532" spans="1:1" x14ac:dyDescent="0.5">
      <c r="A2532" s="15" t="str">
        <f t="shared" ca="1" si="40"/>
        <v/>
      </c>
    </row>
    <row r="2533" spans="1:1" x14ac:dyDescent="0.5">
      <c r="A2533" s="15" t="str">
        <f t="shared" ca="1" si="40"/>
        <v/>
      </c>
    </row>
    <row r="2534" spans="1:1" x14ac:dyDescent="0.5">
      <c r="A2534" s="15" t="str">
        <f t="shared" ca="1" si="40"/>
        <v/>
      </c>
    </row>
    <row r="2535" spans="1:1" x14ac:dyDescent="0.5">
      <c r="A2535" s="15" t="str">
        <f t="shared" ca="1" si="40"/>
        <v/>
      </c>
    </row>
    <row r="2536" spans="1:1" x14ac:dyDescent="0.5">
      <c r="A2536" s="15" t="str">
        <f t="shared" ca="1" si="40"/>
        <v/>
      </c>
    </row>
    <row r="2537" spans="1:1" x14ac:dyDescent="0.5">
      <c r="A2537" s="15" t="str">
        <f t="shared" ca="1" si="40"/>
        <v/>
      </c>
    </row>
    <row r="2538" spans="1:1" x14ac:dyDescent="0.5">
      <c r="A2538" s="15" t="str">
        <f t="shared" ca="1" si="40"/>
        <v/>
      </c>
    </row>
    <row r="2539" spans="1:1" x14ac:dyDescent="0.5">
      <c r="A2539" s="15" t="str">
        <f t="shared" ca="1" si="40"/>
        <v/>
      </c>
    </row>
    <row r="2540" spans="1:1" x14ac:dyDescent="0.5">
      <c r="A2540" s="15" t="str">
        <f t="shared" ca="1" si="40"/>
        <v/>
      </c>
    </row>
    <row r="2541" spans="1:1" x14ac:dyDescent="0.5">
      <c r="A2541" s="15" t="str">
        <f t="shared" ca="1" si="40"/>
        <v/>
      </c>
    </row>
    <row r="2542" spans="1:1" x14ac:dyDescent="0.5">
      <c r="A2542" s="15" t="str">
        <f t="shared" ca="1" si="40"/>
        <v/>
      </c>
    </row>
    <row r="2543" spans="1:1" x14ac:dyDescent="0.5">
      <c r="A2543" s="15" t="str">
        <f t="shared" ca="1" si="40"/>
        <v/>
      </c>
    </row>
    <row r="2544" spans="1:1" x14ac:dyDescent="0.5">
      <c r="A2544" s="15" t="str">
        <f t="shared" ca="1" si="40"/>
        <v/>
      </c>
    </row>
    <row r="2545" spans="1:1" x14ac:dyDescent="0.5">
      <c r="A2545" s="15" t="str">
        <f t="shared" ca="1" si="40"/>
        <v/>
      </c>
    </row>
    <row r="2546" spans="1:1" x14ac:dyDescent="0.5">
      <c r="A2546" s="15" t="str">
        <f t="shared" ca="1" si="40"/>
        <v/>
      </c>
    </row>
    <row r="2547" spans="1:1" x14ac:dyDescent="0.5">
      <c r="A2547" s="15" t="str">
        <f t="shared" ca="1" si="40"/>
        <v/>
      </c>
    </row>
    <row r="2548" spans="1:1" x14ac:dyDescent="0.5">
      <c r="A2548" s="15" t="str">
        <f t="shared" ca="1" si="40"/>
        <v/>
      </c>
    </row>
    <row r="2549" spans="1:1" x14ac:dyDescent="0.5">
      <c r="A2549" s="15" t="str">
        <f t="shared" ca="1" si="40"/>
        <v/>
      </c>
    </row>
    <row r="2550" spans="1:1" x14ac:dyDescent="0.5">
      <c r="A2550" s="15" t="str">
        <f t="shared" ca="1" si="40"/>
        <v/>
      </c>
    </row>
    <row r="2551" spans="1:1" x14ac:dyDescent="0.5">
      <c r="A2551" s="15" t="str">
        <f t="shared" ca="1" si="40"/>
        <v/>
      </c>
    </row>
    <row r="2552" spans="1:1" x14ac:dyDescent="0.5">
      <c r="A2552" s="15" t="str">
        <f t="shared" ca="1" si="40"/>
        <v/>
      </c>
    </row>
    <row r="2553" spans="1:1" x14ac:dyDescent="0.5">
      <c r="A2553" s="15" t="str">
        <f t="shared" ca="1" si="40"/>
        <v/>
      </c>
    </row>
    <row r="2554" spans="1:1" x14ac:dyDescent="0.5">
      <c r="A2554" s="15" t="str">
        <f t="shared" ca="1" si="40"/>
        <v/>
      </c>
    </row>
    <row r="2555" spans="1:1" x14ac:dyDescent="0.5">
      <c r="A2555" s="15" t="str">
        <f t="shared" ca="1" si="40"/>
        <v/>
      </c>
    </row>
    <row r="2556" spans="1:1" x14ac:dyDescent="0.5">
      <c r="A2556" s="15" t="str">
        <f t="shared" ca="1" si="40"/>
        <v/>
      </c>
    </row>
    <row r="2557" spans="1:1" x14ac:dyDescent="0.5">
      <c r="A2557" s="15" t="str">
        <f t="shared" ca="1" si="40"/>
        <v/>
      </c>
    </row>
    <row r="2558" spans="1:1" x14ac:dyDescent="0.5">
      <c r="A2558" s="15" t="str">
        <f t="shared" ca="1" si="40"/>
        <v/>
      </c>
    </row>
    <row r="2559" spans="1:1" x14ac:dyDescent="0.5">
      <c r="A2559" s="15" t="str">
        <f t="shared" ca="1" si="40"/>
        <v/>
      </c>
    </row>
    <row r="2560" spans="1:1" x14ac:dyDescent="0.5">
      <c r="A2560" s="15" t="str">
        <f t="shared" ca="1" si="40"/>
        <v/>
      </c>
    </row>
    <row r="2561" spans="1:1" x14ac:dyDescent="0.5">
      <c r="A2561" s="15" t="str">
        <f t="shared" ca="1" si="40"/>
        <v/>
      </c>
    </row>
    <row r="2562" spans="1:1" x14ac:dyDescent="0.5">
      <c r="A2562" s="15" t="str">
        <f t="shared" ca="1" si="40"/>
        <v/>
      </c>
    </row>
    <row r="2563" spans="1:1" x14ac:dyDescent="0.5">
      <c r="A2563" s="15" t="str">
        <f t="shared" ca="1" si="40"/>
        <v/>
      </c>
    </row>
    <row r="2564" spans="1:1" x14ac:dyDescent="0.5">
      <c r="A2564" s="15" t="str">
        <f t="shared" ca="1" si="40"/>
        <v/>
      </c>
    </row>
    <row r="2565" spans="1:1" x14ac:dyDescent="0.5">
      <c r="A2565" s="15" t="str">
        <f t="shared" ca="1" si="40"/>
        <v/>
      </c>
    </row>
    <row r="2566" spans="1:1" x14ac:dyDescent="0.5">
      <c r="A2566" s="15" t="str">
        <f t="shared" ca="1" si="40"/>
        <v/>
      </c>
    </row>
    <row r="2567" spans="1:1" x14ac:dyDescent="0.5">
      <c r="A2567" s="15" t="str">
        <f t="shared" ca="1" si="40"/>
        <v/>
      </c>
    </row>
    <row r="2568" spans="1:1" x14ac:dyDescent="0.5">
      <c r="A2568" s="15" t="str">
        <f t="shared" ca="1" si="40"/>
        <v/>
      </c>
    </row>
    <row r="2569" spans="1:1" x14ac:dyDescent="0.5">
      <c r="A2569" s="15" t="str">
        <f t="shared" ca="1" si="40"/>
        <v/>
      </c>
    </row>
    <row r="2570" spans="1:1" x14ac:dyDescent="0.5">
      <c r="A2570" s="15" t="str">
        <f t="shared" ca="1" si="40"/>
        <v/>
      </c>
    </row>
    <row r="2571" spans="1:1" x14ac:dyDescent="0.5">
      <c r="A2571" s="15" t="str">
        <f t="shared" ca="1" si="40"/>
        <v/>
      </c>
    </row>
    <row r="2572" spans="1:1" x14ac:dyDescent="0.5">
      <c r="A2572" s="15" t="str">
        <f t="shared" ca="1" si="40"/>
        <v/>
      </c>
    </row>
    <row r="2573" spans="1:1" x14ac:dyDescent="0.5">
      <c r="A2573" s="15" t="str">
        <f t="shared" ref="A2573:A2636" ca="1" si="41">IF(ROW()-12&lt;=$B$7,_xlfn.NORM.INV(RAND(),$B$5,$B$6),"")</f>
        <v/>
      </c>
    </row>
    <row r="2574" spans="1:1" x14ac:dyDescent="0.5">
      <c r="A2574" s="15" t="str">
        <f t="shared" ca="1" si="41"/>
        <v/>
      </c>
    </row>
    <row r="2575" spans="1:1" x14ac:dyDescent="0.5">
      <c r="A2575" s="15" t="str">
        <f t="shared" ca="1" si="41"/>
        <v/>
      </c>
    </row>
    <row r="2576" spans="1:1" x14ac:dyDescent="0.5">
      <c r="A2576" s="15" t="str">
        <f t="shared" ca="1" si="41"/>
        <v/>
      </c>
    </row>
    <row r="2577" spans="1:1" x14ac:dyDescent="0.5">
      <c r="A2577" s="15" t="str">
        <f t="shared" ca="1" si="41"/>
        <v/>
      </c>
    </row>
    <row r="2578" spans="1:1" x14ac:dyDescent="0.5">
      <c r="A2578" s="15" t="str">
        <f t="shared" ca="1" si="41"/>
        <v/>
      </c>
    </row>
    <row r="2579" spans="1:1" x14ac:dyDescent="0.5">
      <c r="A2579" s="15" t="str">
        <f t="shared" ca="1" si="41"/>
        <v/>
      </c>
    </row>
    <row r="2580" spans="1:1" x14ac:dyDescent="0.5">
      <c r="A2580" s="15" t="str">
        <f t="shared" ca="1" si="41"/>
        <v/>
      </c>
    </row>
    <row r="2581" spans="1:1" x14ac:dyDescent="0.5">
      <c r="A2581" s="15" t="str">
        <f t="shared" ca="1" si="41"/>
        <v/>
      </c>
    </row>
    <row r="2582" spans="1:1" x14ac:dyDescent="0.5">
      <c r="A2582" s="15" t="str">
        <f t="shared" ca="1" si="41"/>
        <v/>
      </c>
    </row>
    <row r="2583" spans="1:1" x14ac:dyDescent="0.5">
      <c r="A2583" s="15" t="str">
        <f t="shared" ca="1" si="41"/>
        <v/>
      </c>
    </row>
    <row r="2584" spans="1:1" x14ac:dyDescent="0.5">
      <c r="A2584" s="15" t="str">
        <f t="shared" ca="1" si="41"/>
        <v/>
      </c>
    </row>
    <row r="2585" spans="1:1" x14ac:dyDescent="0.5">
      <c r="A2585" s="15" t="str">
        <f t="shared" ca="1" si="41"/>
        <v/>
      </c>
    </row>
    <row r="2586" spans="1:1" x14ac:dyDescent="0.5">
      <c r="A2586" s="15" t="str">
        <f t="shared" ca="1" si="41"/>
        <v/>
      </c>
    </row>
    <row r="2587" spans="1:1" x14ac:dyDescent="0.5">
      <c r="A2587" s="15" t="str">
        <f t="shared" ca="1" si="41"/>
        <v/>
      </c>
    </row>
    <row r="2588" spans="1:1" x14ac:dyDescent="0.5">
      <c r="A2588" s="15" t="str">
        <f t="shared" ca="1" si="41"/>
        <v/>
      </c>
    </row>
    <row r="2589" spans="1:1" x14ac:dyDescent="0.5">
      <c r="A2589" s="15" t="str">
        <f t="shared" ca="1" si="41"/>
        <v/>
      </c>
    </row>
    <row r="2590" spans="1:1" x14ac:dyDescent="0.5">
      <c r="A2590" s="15" t="str">
        <f t="shared" ca="1" si="41"/>
        <v/>
      </c>
    </row>
    <row r="2591" spans="1:1" x14ac:dyDescent="0.5">
      <c r="A2591" s="15" t="str">
        <f t="shared" ca="1" si="41"/>
        <v/>
      </c>
    </row>
    <row r="2592" spans="1:1" x14ac:dyDescent="0.5">
      <c r="A2592" s="15" t="str">
        <f t="shared" ca="1" si="41"/>
        <v/>
      </c>
    </row>
    <row r="2593" spans="1:1" x14ac:dyDescent="0.5">
      <c r="A2593" s="15" t="str">
        <f t="shared" ca="1" si="41"/>
        <v/>
      </c>
    </row>
    <row r="2594" spans="1:1" x14ac:dyDescent="0.5">
      <c r="A2594" s="15" t="str">
        <f t="shared" ca="1" si="41"/>
        <v/>
      </c>
    </row>
    <row r="2595" spans="1:1" x14ac:dyDescent="0.5">
      <c r="A2595" s="15" t="str">
        <f t="shared" ca="1" si="41"/>
        <v/>
      </c>
    </row>
    <row r="2596" spans="1:1" x14ac:dyDescent="0.5">
      <c r="A2596" s="15" t="str">
        <f t="shared" ca="1" si="41"/>
        <v/>
      </c>
    </row>
    <row r="2597" spans="1:1" x14ac:dyDescent="0.5">
      <c r="A2597" s="15" t="str">
        <f t="shared" ca="1" si="41"/>
        <v/>
      </c>
    </row>
    <row r="2598" spans="1:1" x14ac:dyDescent="0.5">
      <c r="A2598" s="15" t="str">
        <f t="shared" ca="1" si="41"/>
        <v/>
      </c>
    </row>
    <row r="2599" spans="1:1" x14ac:dyDescent="0.5">
      <c r="A2599" s="15" t="str">
        <f t="shared" ca="1" si="41"/>
        <v/>
      </c>
    </row>
    <row r="2600" spans="1:1" x14ac:dyDescent="0.5">
      <c r="A2600" s="15" t="str">
        <f t="shared" ca="1" si="41"/>
        <v/>
      </c>
    </row>
    <row r="2601" spans="1:1" x14ac:dyDescent="0.5">
      <c r="A2601" s="15" t="str">
        <f t="shared" ca="1" si="41"/>
        <v/>
      </c>
    </row>
    <row r="2602" spans="1:1" x14ac:dyDescent="0.5">
      <c r="A2602" s="15" t="str">
        <f t="shared" ca="1" si="41"/>
        <v/>
      </c>
    </row>
    <row r="2603" spans="1:1" x14ac:dyDescent="0.5">
      <c r="A2603" s="15" t="str">
        <f t="shared" ca="1" si="41"/>
        <v/>
      </c>
    </row>
    <row r="2604" spans="1:1" x14ac:dyDescent="0.5">
      <c r="A2604" s="15" t="str">
        <f t="shared" ca="1" si="41"/>
        <v/>
      </c>
    </row>
    <row r="2605" spans="1:1" x14ac:dyDescent="0.5">
      <c r="A2605" s="15" t="str">
        <f t="shared" ca="1" si="41"/>
        <v/>
      </c>
    </row>
    <row r="2606" spans="1:1" x14ac:dyDescent="0.5">
      <c r="A2606" s="15" t="str">
        <f t="shared" ca="1" si="41"/>
        <v/>
      </c>
    </row>
    <row r="2607" spans="1:1" x14ac:dyDescent="0.5">
      <c r="A2607" s="15" t="str">
        <f t="shared" ca="1" si="41"/>
        <v/>
      </c>
    </row>
    <row r="2608" spans="1:1" x14ac:dyDescent="0.5">
      <c r="A2608" s="15" t="str">
        <f t="shared" ca="1" si="41"/>
        <v/>
      </c>
    </row>
    <row r="2609" spans="1:1" x14ac:dyDescent="0.5">
      <c r="A2609" s="15" t="str">
        <f t="shared" ca="1" si="41"/>
        <v/>
      </c>
    </row>
    <row r="2610" spans="1:1" x14ac:dyDescent="0.5">
      <c r="A2610" s="15" t="str">
        <f t="shared" ca="1" si="41"/>
        <v/>
      </c>
    </row>
    <row r="2611" spans="1:1" x14ac:dyDescent="0.5">
      <c r="A2611" s="15" t="str">
        <f t="shared" ca="1" si="41"/>
        <v/>
      </c>
    </row>
    <row r="2612" spans="1:1" x14ac:dyDescent="0.5">
      <c r="A2612" s="15" t="str">
        <f t="shared" ca="1" si="41"/>
        <v/>
      </c>
    </row>
    <row r="2613" spans="1:1" x14ac:dyDescent="0.5">
      <c r="A2613" s="15" t="str">
        <f t="shared" ca="1" si="41"/>
        <v/>
      </c>
    </row>
    <row r="2614" spans="1:1" x14ac:dyDescent="0.5">
      <c r="A2614" s="15" t="str">
        <f t="shared" ca="1" si="41"/>
        <v/>
      </c>
    </row>
    <row r="2615" spans="1:1" x14ac:dyDescent="0.5">
      <c r="A2615" s="15" t="str">
        <f t="shared" ca="1" si="41"/>
        <v/>
      </c>
    </row>
    <row r="2616" spans="1:1" x14ac:dyDescent="0.5">
      <c r="A2616" s="15" t="str">
        <f t="shared" ca="1" si="41"/>
        <v/>
      </c>
    </row>
    <row r="2617" spans="1:1" x14ac:dyDescent="0.5">
      <c r="A2617" s="15" t="str">
        <f t="shared" ca="1" si="41"/>
        <v/>
      </c>
    </row>
    <row r="2618" spans="1:1" x14ac:dyDescent="0.5">
      <c r="A2618" s="15" t="str">
        <f t="shared" ca="1" si="41"/>
        <v/>
      </c>
    </row>
    <row r="2619" spans="1:1" x14ac:dyDescent="0.5">
      <c r="A2619" s="15" t="str">
        <f t="shared" ca="1" si="41"/>
        <v/>
      </c>
    </row>
    <row r="2620" spans="1:1" x14ac:dyDescent="0.5">
      <c r="A2620" s="15" t="str">
        <f t="shared" ca="1" si="41"/>
        <v/>
      </c>
    </row>
    <row r="2621" spans="1:1" x14ac:dyDescent="0.5">
      <c r="A2621" s="15" t="str">
        <f t="shared" ca="1" si="41"/>
        <v/>
      </c>
    </row>
    <row r="2622" spans="1:1" x14ac:dyDescent="0.5">
      <c r="A2622" s="15" t="str">
        <f t="shared" ca="1" si="41"/>
        <v/>
      </c>
    </row>
    <row r="2623" spans="1:1" x14ac:dyDescent="0.5">
      <c r="A2623" s="15" t="str">
        <f t="shared" ca="1" si="41"/>
        <v/>
      </c>
    </row>
    <row r="2624" spans="1:1" x14ac:dyDescent="0.5">
      <c r="A2624" s="15" t="str">
        <f t="shared" ca="1" si="41"/>
        <v/>
      </c>
    </row>
    <row r="2625" spans="1:1" x14ac:dyDescent="0.5">
      <c r="A2625" s="15" t="str">
        <f t="shared" ca="1" si="41"/>
        <v/>
      </c>
    </row>
    <row r="2626" spans="1:1" x14ac:dyDescent="0.5">
      <c r="A2626" s="15" t="str">
        <f t="shared" ca="1" si="41"/>
        <v/>
      </c>
    </row>
    <row r="2627" spans="1:1" x14ac:dyDescent="0.5">
      <c r="A2627" s="15" t="str">
        <f t="shared" ca="1" si="41"/>
        <v/>
      </c>
    </row>
    <row r="2628" spans="1:1" x14ac:dyDescent="0.5">
      <c r="A2628" s="15" t="str">
        <f t="shared" ca="1" si="41"/>
        <v/>
      </c>
    </row>
    <row r="2629" spans="1:1" x14ac:dyDescent="0.5">
      <c r="A2629" s="15" t="str">
        <f t="shared" ca="1" si="41"/>
        <v/>
      </c>
    </row>
    <row r="2630" spans="1:1" x14ac:dyDescent="0.5">
      <c r="A2630" s="15" t="str">
        <f t="shared" ca="1" si="41"/>
        <v/>
      </c>
    </row>
    <row r="2631" spans="1:1" x14ac:dyDescent="0.5">
      <c r="A2631" s="15" t="str">
        <f t="shared" ca="1" si="41"/>
        <v/>
      </c>
    </row>
    <row r="2632" spans="1:1" x14ac:dyDescent="0.5">
      <c r="A2632" s="15" t="str">
        <f t="shared" ca="1" si="41"/>
        <v/>
      </c>
    </row>
    <row r="2633" spans="1:1" x14ac:dyDescent="0.5">
      <c r="A2633" s="15" t="str">
        <f t="shared" ca="1" si="41"/>
        <v/>
      </c>
    </row>
    <row r="2634" spans="1:1" x14ac:dyDescent="0.5">
      <c r="A2634" s="15" t="str">
        <f t="shared" ca="1" si="41"/>
        <v/>
      </c>
    </row>
    <row r="2635" spans="1:1" x14ac:dyDescent="0.5">
      <c r="A2635" s="15" t="str">
        <f t="shared" ca="1" si="41"/>
        <v/>
      </c>
    </row>
    <row r="2636" spans="1:1" x14ac:dyDescent="0.5">
      <c r="A2636" s="15" t="str">
        <f t="shared" ca="1" si="41"/>
        <v/>
      </c>
    </row>
    <row r="2637" spans="1:1" x14ac:dyDescent="0.5">
      <c r="A2637" s="15" t="str">
        <f t="shared" ref="A2637:A2700" ca="1" si="42">IF(ROW()-12&lt;=$B$7,_xlfn.NORM.INV(RAND(),$B$5,$B$6),"")</f>
        <v/>
      </c>
    </row>
    <row r="2638" spans="1:1" x14ac:dyDescent="0.5">
      <c r="A2638" s="15" t="str">
        <f t="shared" ca="1" si="42"/>
        <v/>
      </c>
    </row>
    <row r="2639" spans="1:1" x14ac:dyDescent="0.5">
      <c r="A2639" s="15" t="str">
        <f t="shared" ca="1" si="42"/>
        <v/>
      </c>
    </row>
    <row r="2640" spans="1:1" x14ac:dyDescent="0.5">
      <c r="A2640" s="15" t="str">
        <f t="shared" ca="1" si="42"/>
        <v/>
      </c>
    </row>
    <row r="2641" spans="1:1" x14ac:dyDescent="0.5">
      <c r="A2641" s="15" t="str">
        <f t="shared" ca="1" si="42"/>
        <v/>
      </c>
    </row>
    <row r="2642" spans="1:1" x14ac:dyDescent="0.5">
      <c r="A2642" s="15" t="str">
        <f t="shared" ca="1" si="42"/>
        <v/>
      </c>
    </row>
    <row r="2643" spans="1:1" x14ac:dyDescent="0.5">
      <c r="A2643" s="15" t="str">
        <f t="shared" ca="1" si="42"/>
        <v/>
      </c>
    </row>
    <row r="2644" spans="1:1" x14ac:dyDescent="0.5">
      <c r="A2644" s="15" t="str">
        <f t="shared" ca="1" si="42"/>
        <v/>
      </c>
    </row>
    <row r="2645" spans="1:1" x14ac:dyDescent="0.5">
      <c r="A2645" s="15" t="str">
        <f t="shared" ca="1" si="42"/>
        <v/>
      </c>
    </row>
    <row r="2646" spans="1:1" x14ac:dyDescent="0.5">
      <c r="A2646" s="15" t="str">
        <f t="shared" ca="1" si="42"/>
        <v/>
      </c>
    </row>
    <row r="2647" spans="1:1" x14ac:dyDescent="0.5">
      <c r="A2647" s="15" t="str">
        <f t="shared" ca="1" si="42"/>
        <v/>
      </c>
    </row>
    <row r="2648" spans="1:1" x14ac:dyDescent="0.5">
      <c r="A2648" s="15" t="str">
        <f t="shared" ca="1" si="42"/>
        <v/>
      </c>
    </row>
    <row r="2649" spans="1:1" x14ac:dyDescent="0.5">
      <c r="A2649" s="15" t="str">
        <f t="shared" ca="1" si="42"/>
        <v/>
      </c>
    </row>
    <row r="2650" spans="1:1" x14ac:dyDescent="0.5">
      <c r="A2650" s="15" t="str">
        <f t="shared" ca="1" si="42"/>
        <v/>
      </c>
    </row>
    <row r="2651" spans="1:1" x14ac:dyDescent="0.5">
      <c r="A2651" s="15" t="str">
        <f t="shared" ca="1" si="42"/>
        <v/>
      </c>
    </row>
    <row r="2652" spans="1:1" x14ac:dyDescent="0.5">
      <c r="A2652" s="15" t="str">
        <f t="shared" ca="1" si="42"/>
        <v/>
      </c>
    </row>
    <row r="2653" spans="1:1" x14ac:dyDescent="0.5">
      <c r="A2653" s="15" t="str">
        <f t="shared" ca="1" si="42"/>
        <v/>
      </c>
    </row>
    <row r="2654" spans="1:1" x14ac:dyDescent="0.5">
      <c r="A2654" s="15" t="str">
        <f t="shared" ca="1" si="42"/>
        <v/>
      </c>
    </row>
    <row r="2655" spans="1:1" x14ac:dyDescent="0.5">
      <c r="A2655" s="15" t="str">
        <f t="shared" ca="1" si="42"/>
        <v/>
      </c>
    </row>
    <row r="2656" spans="1:1" x14ac:dyDescent="0.5">
      <c r="A2656" s="15" t="str">
        <f t="shared" ca="1" si="42"/>
        <v/>
      </c>
    </row>
    <row r="2657" spans="1:1" x14ac:dyDescent="0.5">
      <c r="A2657" s="15" t="str">
        <f t="shared" ca="1" si="42"/>
        <v/>
      </c>
    </row>
    <row r="2658" spans="1:1" x14ac:dyDescent="0.5">
      <c r="A2658" s="15" t="str">
        <f t="shared" ca="1" si="42"/>
        <v/>
      </c>
    </row>
    <row r="2659" spans="1:1" x14ac:dyDescent="0.5">
      <c r="A2659" s="15" t="str">
        <f t="shared" ca="1" si="42"/>
        <v/>
      </c>
    </row>
    <row r="2660" spans="1:1" x14ac:dyDescent="0.5">
      <c r="A2660" s="15" t="str">
        <f t="shared" ca="1" si="42"/>
        <v/>
      </c>
    </row>
    <row r="2661" spans="1:1" x14ac:dyDescent="0.5">
      <c r="A2661" s="15" t="str">
        <f t="shared" ca="1" si="42"/>
        <v/>
      </c>
    </row>
    <row r="2662" spans="1:1" x14ac:dyDescent="0.5">
      <c r="A2662" s="15" t="str">
        <f t="shared" ca="1" si="42"/>
        <v/>
      </c>
    </row>
    <row r="2663" spans="1:1" x14ac:dyDescent="0.5">
      <c r="A2663" s="15" t="str">
        <f t="shared" ca="1" si="42"/>
        <v/>
      </c>
    </row>
    <row r="2664" spans="1:1" x14ac:dyDescent="0.5">
      <c r="A2664" s="15" t="str">
        <f t="shared" ca="1" si="42"/>
        <v/>
      </c>
    </row>
    <row r="2665" spans="1:1" x14ac:dyDescent="0.5">
      <c r="A2665" s="15" t="str">
        <f t="shared" ca="1" si="42"/>
        <v/>
      </c>
    </row>
    <row r="2666" spans="1:1" x14ac:dyDescent="0.5">
      <c r="A2666" s="15" t="str">
        <f t="shared" ca="1" si="42"/>
        <v/>
      </c>
    </row>
    <row r="2667" spans="1:1" x14ac:dyDescent="0.5">
      <c r="A2667" s="15" t="str">
        <f t="shared" ca="1" si="42"/>
        <v/>
      </c>
    </row>
    <row r="2668" spans="1:1" x14ac:dyDescent="0.5">
      <c r="A2668" s="15" t="str">
        <f t="shared" ca="1" si="42"/>
        <v/>
      </c>
    </row>
    <row r="2669" spans="1:1" x14ac:dyDescent="0.5">
      <c r="A2669" s="15" t="str">
        <f t="shared" ca="1" si="42"/>
        <v/>
      </c>
    </row>
    <row r="2670" spans="1:1" x14ac:dyDescent="0.5">
      <c r="A2670" s="15" t="str">
        <f t="shared" ca="1" si="42"/>
        <v/>
      </c>
    </row>
    <row r="2671" spans="1:1" x14ac:dyDescent="0.5">
      <c r="A2671" s="15" t="str">
        <f t="shared" ca="1" si="42"/>
        <v/>
      </c>
    </row>
    <row r="2672" spans="1:1" x14ac:dyDescent="0.5">
      <c r="A2672" s="15" t="str">
        <f t="shared" ca="1" si="42"/>
        <v/>
      </c>
    </row>
    <row r="2673" spans="1:1" x14ac:dyDescent="0.5">
      <c r="A2673" s="15" t="str">
        <f t="shared" ca="1" si="42"/>
        <v/>
      </c>
    </row>
    <row r="2674" spans="1:1" x14ac:dyDescent="0.5">
      <c r="A2674" s="15" t="str">
        <f t="shared" ca="1" si="42"/>
        <v/>
      </c>
    </row>
    <row r="2675" spans="1:1" x14ac:dyDescent="0.5">
      <c r="A2675" s="15" t="str">
        <f t="shared" ca="1" si="42"/>
        <v/>
      </c>
    </row>
    <row r="2676" spans="1:1" x14ac:dyDescent="0.5">
      <c r="A2676" s="15" t="str">
        <f t="shared" ca="1" si="42"/>
        <v/>
      </c>
    </row>
    <row r="2677" spans="1:1" x14ac:dyDescent="0.5">
      <c r="A2677" s="15" t="str">
        <f t="shared" ca="1" si="42"/>
        <v/>
      </c>
    </row>
    <row r="2678" spans="1:1" x14ac:dyDescent="0.5">
      <c r="A2678" s="15" t="str">
        <f t="shared" ca="1" si="42"/>
        <v/>
      </c>
    </row>
    <row r="2679" spans="1:1" x14ac:dyDescent="0.5">
      <c r="A2679" s="15" t="str">
        <f t="shared" ca="1" si="42"/>
        <v/>
      </c>
    </row>
    <row r="2680" spans="1:1" x14ac:dyDescent="0.5">
      <c r="A2680" s="15" t="str">
        <f t="shared" ca="1" si="42"/>
        <v/>
      </c>
    </row>
    <row r="2681" spans="1:1" x14ac:dyDescent="0.5">
      <c r="A2681" s="15" t="str">
        <f t="shared" ca="1" si="42"/>
        <v/>
      </c>
    </row>
    <row r="2682" spans="1:1" x14ac:dyDescent="0.5">
      <c r="A2682" s="15" t="str">
        <f t="shared" ca="1" si="42"/>
        <v/>
      </c>
    </row>
    <row r="2683" spans="1:1" x14ac:dyDescent="0.5">
      <c r="A2683" s="15" t="str">
        <f t="shared" ca="1" si="42"/>
        <v/>
      </c>
    </row>
    <row r="2684" spans="1:1" x14ac:dyDescent="0.5">
      <c r="A2684" s="15" t="str">
        <f t="shared" ca="1" si="42"/>
        <v/>
      </c>
    </row>
    <row r="2685" spans="1:1" x14ac:dyDescent="0.5">
      <c r="A2685" s="15" t="str">
        <f t="shared" ca="1" si="42"/>
        <v/>
      </c>
    </row>
    <row r="2686" spans="1:1" x14ac:dyDescent="0.5">
      <c r="A2686" s="15" t="str">
        <f t="shared" ca="1" si="42"/>
        <v/>
      </c>
    </row>
    <row r="2687" spans="1:1" x14ac:dyDescent="0.5">
      <c r="A2687" s="15" t="str">
        <f t="shared" ca="1" si="42"/>
        <v/>
      </c>
    </row>
    <row r="2688" spans="1:1" x14ac:dyDescent="0.5">
      <c r="A2688" s="15" t="str">
        <f t="shared" ca="1" si="42"/>
        <v/>
      </c>
    </row>
    <row r="2689" spans="1:1" x14ac:dyDescent="0.5">
      <c r="A2689" s="15" t="str">
        <f t="shared" ca="1" si="42"/>
        <v/>
      </c>
    </row>
    <row r="2690" spans="1:1" x14ac:dyDescent="0.5">
      <c r="A2690" s="15" t="str">
        <f t="shared" ca="1" si="42"/>
        <v/>
      </c>
    </row>
    <row r="2691" spans="1:1" x14ac:dyDescent="0.5">
      <c r="A2691" s="15" t="str">
        <f t="shared" ca="1" si="42"/>
        <v/>
      </c>
    </row>
    <row r="2692" spans="1:1" x14ac:dyDescent="0.5">
      <c r="A2692" s="15" t="str">
        <f t="shared" ca="1" si="42"/>
        <v/>
      </c>
    </row>
    <row r="2693" spans="1:1" x14ac:dyDescent="0.5">
      <c r="A2693" s="15" t="str">
        <f t="shared" ca="1" si="42"/>
        <v/>
      </c>
    </row>
    <row r="2694" spans="1:1" x14ac:dyDescent="0.5">
      <c r="A2694" s="15" t="str">
        <f t="shared" ca="1" si="42"/>
        <v/>
      </c>
    </row>
    <row r="2695" spans="1:1" x14ac:dyDescent="0.5">
      <c r="A2695" s="15" t="str">
        <f t="shared" ca="1" si="42"/>
        <v/>
      </c>
    </row>
    <row r="2696" spans="1:1" x14ac:dyDescent="0.5">
      <c r="A2696" s="15" t="str">
        <f t="shared" ca="1" si="42"/>
        <v/>
      </c>
    </row>
    <row r="2697" spans="1:1" x14ac:dyDescent="0.5">
      <c r="A2697" s="15" t="str">
        <f t="shared" ca="1" si="42"/>
        <v/>
      </c>
    </row>
    <row r="2698" spans="1:1" x14ac:dyDescent="0.5">
      <c r="A2698" s="15" t="str">
        <f t="shared" ca="1" si="42"/>
        <v/>
      </c>
    </row>
    <row r="2699" spans="1:1" x14ac:dyDescent="0.5">
      <c r="A2699" s="15" t="str">
        <f t="shared" ca="1" si="42"/>
        <v/>
      </c>
    </row>
    <row r="2700" spans="1:1" x14ac:dyDescent="0.5">
      <c r="A2700" s="15" t="str">
        <f t="shared" ca="1" si="42"/>
        <v/>
      </c>
    </row>
    <row r="2701" spans="1:1" x14ac:dyDescent="0.5">
      <c r="A2701" s="15" t="str">
        <f t="shared" ref="A2701:A2764" ca="1" si="43">IF(ROW()-12&lt;=$B$7,_xlfn.NORM.INV(RAND(),$B$5,$B$6),"")</f>
        <v/>
      </c>
    </row>
    <row r="2702" spans="1:1" x14ac:dyDescent="0.5">
      <c r="A2702" s="15" t="str">
        <f t="shared" ca="1" si="43"/>
        <v/>
      </c>
    </row>
    <row r="2703" spans="1:1" x14ac:dyDescent="0.5">
      <c r="A2703" s="15" t="str">
        <f t="shared" ca="1" si="43"/>
        <v/>
      </c>
    </row>
    <row r="2704" spans="1:1" x14ac:dyDescent="0.5">
      <c r="A2704" s="15" t="str">
        <f t="shared" ca="1" si="43"/>
        <v/>
      </c>
    </row>
    <row r="2705" spans="1:1" x14ac:dyDescent="0.5">
      <c r="A2705" s="15" t="str">
        <f t="shared" ca="1" si="43"/>
        <v/>
      </c>
    </row>
    <row r="2706" spans="1:1" x14ac:dyDescent="0.5">
      <c r="A2706" s="15" t="str">
        <f t="shared" ca="1" si="43"/>
        <v/>
      </c>
    </row>
    <row r="2707" spans="1:1" x14ac:dyDescent="0.5">
      <c r="A2707" s="15" t="str">
        <f t="shared" ca="1" si="43"/>
        <v/>
      </c>
    </row>
    <row r="2708" spans="1:1" x14ac:dyDescent="0.5">
      <c r="A2708" s="15" t="str">
        <f t="shared" ca="1" si="43"/>
        <v/>
      </c>
    </row>
    <row r="2709" spans="1:1" x14ac:dyDescent="0.5">
      <c r="A2709" s="15" t="str">
        <f t="shared" ca="1" si="43"/>
        <v/>
      </c>
    </row>
    <row r="2710" spans="1:1" x14ac:dyDescent="0.5">
      <c r="A2710" s="15" t="str">
        <f t="shared" ca="1" si="43"/>
        <v/>
      </c>
    </row>
    <row r="2711" spans="1:1" x14ac:dyDescent="0.5">
      <c r="A2711" s="15" t="str">
        <f t="shared" ca="1" si="43"/>
        <v/>
      </c>
    </row>
    <row r="2712" spans="1:1" x14ac:dyDescent="0.5">
      <c r="A2712" s="15" t="str">
        <f t="shared" ca="1" si="43"/>
        <v/>
      </c>
    </row>
    <row r="2713" spans="1:1" x14ac:dyDescent="0.5">
      <c r="A2713" s="15" t="str">
        <f t="shared" ca="1" si="43"/>
        <v/>
      </c>
    </row>
    <row r="2714" spans="1:1" x14ac:dyDescent="0.5">
      <c r="A2714" s="15" t="str">
        <f t="shared" ca="1" si="43"/>
        <v/>
      </c>
    </row>
    <row r="2715" spans="1:1" x14ac:dyDescent="0.5">
      <c r="A2715" s="15" t="str">
        <f t="shared" ca="1" si="43"/>
        <v/>
      </c>
    </row>
    <row r="2716" spans="1:1" x14ac:dyDescent="0.5">
      <c r="A2716" s="15" t="str">
        <f t="shared" ca="1" si="43"/>
        <v/>
      </c>
    </row>
    <row r="2717" spans="1:1" x14ac:dyDescent="0.5">
      <c r="A2717" s="15" t="str">
        <f t="shared" ca="1" si="43"/>
        <v/>
      </c>
    </row>
    <row r="2718" spans="1:1" x14ac:dyDescent="0.5">
      <c r="A2718" s="15" t="str">
        <f t="shared" ca="1" si="43"/>
        <v/>
      </c>
    </row>
    <row r="2719" spans="1:1" x14ac:dyDescent="0.5">
      <c r="A2719" s="15" t="str">
        <f t="shared" ca="1" si="43"/>
        <v/>
      </c>
    </row>
    <row r="2720" spans="1:1" x14ac:dyDescent="0.5">
      <c r="A2720" s="15" t="str">
        <f t="shared" ca="1" si="43"/>
        <v/>
      </c>
    </row>
    <row r="2721" spans="1:1" x14ac:dyDescent="0.5">
      <c r="A2721" s="15" t="str">
        <f t="shared" ca="1" si="43"/>
        <v/>
      </c>
    </row>
    <row r="2722" spans="1:1" x14ac:dyDescent="0.5">
      <c r="A2722" s="15" t="str">
        <f t="shared" ca="1" si="43"/>
        <v/>
      </c>
    </row>
    <row r="2723" spans="1:1" x14ac:dyDescent="0.5">
      <c r="A2723" s="15" t="str">
        <f t="shared" ca="1" si="43"/>
        <v/>
      </c>
    </row>
    <row r="2724" spans="1:1" x14ac:dyDescent="0.5">
      <c r="A2724" s="15" t="str">
        <f t="shared" ca="1" si="43"/>
        <v/>
      </c>
    </row>
    <row r="2725" spans="1:1" x14ac:dyDescent="0.5">
      <c r="A2725" s="15" t="str">
        <f t="shared" ca="1" si="43"/>
        <v/>
      </c>
    </row>
    <row r="2726" spans="1:1" x14ac:dyDescent="0.5">
      <c r="A2726" s="15" t="str">
        <f t="shared" ca="1" si="43"/>
        <v/>
      </c>
    </row>
    <row r="2727" spans="1:1" x14ac:dyDescent="0.5">
      <c r="A2727" s="15" t="str">
        <f t="shared" ca="1" si="43"/>
        <v/>
      </c>
    </row>
    <row r="2728" spans="1:1" x14ac:dyDescent="0.5">
      <c r="A2728" s="15" t="str">
        <f t="shared" ca="1" si="43"/>
        <v/>
      </c>
    </row>
    <row r="2729" spans="1:1" x14ac:dyDescent="0.5">
      <c r="A2729" s="15" t="str">
        <f t="shared" ca="1" si="43"/>
        <v/>
      </c>
    </row>
    <row r="2730" spans="1:1" x14ac:dyDescent="0.5">
      <c r="A2730" s="15" t="str">
        <f t="shared" ca="1" si="43"/>
        <v/>
      </c>
    </row>
    <row r="2731" spans="1:1" x14ac:dyDescent="0.5">
      <c r="A2731" s="15" t="str">
        <f t="shared" ca="1" si="43"/>
        <v/>
      </c>
    </row>
    <row r="2732" spans="1:1" x14ac:dyDescent="0.5">
      <c r="A2732" s="15" t="str">
        <f t="shared" ca="1" si="43"/>
        <v/>
      </c>
    </row>
    <row r="2733" spans="1:1" x14ac:dyDescent="0.5">
      <c r="A2733" s="15" t="str">
        <f t="shared" ca="1" si="43"/>
        <v/>
      </c>
    </row>
    <row r="2734" spans="1:1" x14ac:dyDescent="0.5">
      <c r="A2734" s="15" t="str">
        <f t="shared" ca="1" si="43"/>
        <v/>
      </c>
    </row>
    <row r="2735" spans="1:1" x14ac:dyDescent="0.5">
      <c r="A2735" s="15" t="str">
        <f t="shared" ca="1" si="43"/>
        <v/>
      </c>
    </row>
    <row r="2736" spans="1:1" x14ac:dyDescent="0.5">
      <c r="A2736" s="15" t="str">
        <f t="shared" ca="1" si="43"/>
        <v/>
      </c>
    </row>
    <row r="2737" spans="1:1" x14ac:dyDescent="0.5">
      <c r="A2737" s="15" t="str">
        <f t="shared" ca="1" si="43"/>
        <v/>
      </c>
    </row>
    <row r="2738" spans="1:1" x14ac:dyDescent="0.5">
      <c r="A2738" s="15" t="str">
        <f t="shared" ca="1" si="43"/>
        <v/>
      </c>
    </row>
    <row r="2739" spans="1:1" x14ac:dyDescent="0.5">
      <c r="A2739" s="15" t="str">
        <f t="shared" ca="1" si="43"/>
        <v/>
      </c>
    </row>
    <row r="2740" spans="1:1" x14ac:dyDescent="0.5">
      <c r="A2740" s="15" t="str">
        <f t="shared" ca="1" si="43"/>
        <v/>
      </c>
    </row>
    <row r="2741" spans="1:1" x14ac:dyDescent="0.5">
      <c r="A2741" s="15" t="str">
        <f t="shared" ca="1" si="43"/>
        <v/>
      </c>
    </row>
    <row r="2742" spans="1:1" x14ac:dyDescent="0.5">
      <c r="A2742" s="15" t="str">
        <f t="shared" ca="1" si="43"/>
        <v/>
      </c>
    </row>
    <row r="2743" spans="1:1" x14ac:dyDescent="0.5">
      <c r="A2743" s="15" t="str">
        <f t="shared" ca="1" si="43"/>
        <v/>
      </c>
    </row>
    <row r="2744" spans="1:1" x14ac:dyDescent="0.5">
      <c r="A2744" s="15" t="str">
        <f t="shared" ca="1" si="43"/>
        <v/>
      </c>
    </row>
    <row r="2745" spans="1:1" x14ac:dyDescent="0.5">
      <c r="A2745" s="15" t="str">
        <f t="shared" ca="1" si="43"/>
        <v/>
      </c>
    </row>
    <row r="2746" spans="1:1" x14ac:dyDescent="0.5">
      <c r="A2746" s="15" t="str">
        <f t="shared" ca="1" si="43"/>
        <v/>
      </c>
    </row>
    <row r="2747" spans="1:1" x14ac:dyDescent="0.5">
      <c r="A2747" s="15" t="str">
        <f t="shared" ca="1" si="43"/>
        <v/>
      </c>
    </row>
    <row r="2748" spans="1:1" x14ac:dyDescent="0.5">
      <c r="A2748" s="15" t="str">
        <f t="shared" ca="1" si="43"/>
        <v/>
      </c>
    </row>
    <row r="2749" spans="1:1" x14ac:dyDescent="0.5">
      <c r="A2749" s="15" t="str">
        <f t="shared" ca="1" si="43"/>
        <v/>
      </c>
    </row>
    <row r="2750" spans="1:1" x14ac:dyDescent="0.5">
      <c r="A2750" s="15" t="str">
        <f t="shared" ca="1" si="43"/>
        <v/>
      </c>
    </row>
    <row r="2751" spans="1:1" x14ac:dyDescent="0.5">
      <c r="A2751" s="15" t="str">
        <f t="shared" ca="1" si="43"/>
        <v/>
      </c>
    </row>
    <row r="2752" spans="1:1" x14ac:dyDescent="0.5">
      <c r="A2752" s="15" t="str">
        <f t="shared" ca="1" si="43"/>
        <v/>
      </c>
    </row>
    <row r="2753" spans="1:1" x14ac:dyDescent="0.5">
      <c r="A2753" s="15" t="str">
        <f t="shared" ca="1" si="43"/>
        <v/>
      </c>
    </row>
    <row r="2754" spans="1:1" x14ac:dyDescent="0.5">
      <c r="A2754" s="15" t="str">
        <f t="shared" ca="1" si="43"/>
        <v/>
      </c>
    </row>
    <row r="2755" spans="1:1" x14ac:dyDescent="0.5">
      <c r="A2755" s="15" t="str">
        <f t="shared" ca="1" si="43"/>
        <v/>
      </c>
    </row>
    <row r="2756" spans="1:1" x14ac:dyDescent="0.5">
      <c r="A2756" s="15" t="str">
        <f t="shared" ca="1" si="43"/>
        <v/>
      </c>
    </row>
    <row r="2757" spans="1:1" x14ac:dyDescent="0.5">
      <c r="A2757" s="15" t="str">
        <f t="shared" ca="1" si="43"/>
        <v/>
      </c>
    </row>
    <row r="2758" spans="1:1" x14ac:dyDescent="0.5">
      <c r="A2758" s="15" t="str">
        <f t="shared" ca="1" si="43"/>
        <v/>
      </c>
    </row>
    <row r="2759" spans="1:1" x14ac:dyDescent="0.5">
      <c r="A2759" s="15" t="str">
        <f t="shared" ca="1" si="43"/>
        <v/>
      </c>
    </row>
    <row r="2760" spans="1:1" x14ac:dyDescent="0.5">
      <c r="A2760" s="15" t="str">
        <f t="shared" ca="1" si="43"/>
        <v/>
      </c>
    </row>
    <row r="2761" spans="1:1" x14ac:dyDescent="0.5">
      <c r="A2761" s="15" t="str">
        <f t="shared" ca="1" si="43"/>
        <v/>
      </c>
    </row>
    <row r="2762" spans="1:1" x14ac:dyDescent="0.5">
      <c r="A2762" s="15" t="str">
        <f t="shared" ca="1" si="43"/>
        <v/>
      </c>
    </row>
    <row r="2763" spans="1:1" x14ac:dyDescent="0.5">
      <c r="A2763" s="15" t="str">
        <f t="shared" ca="1" si="43"/>
        <v/>
      </c>
    </row>
    <row r="2764" spans="1:1" x14ac:dyDescent="0.5">
      <c r="A2764" s="15" t="str">
        <f t="shared" ca="1" si="43"/>
        <v/>
      </c>
    </row>
    <row r="2765" spans="1:1" x14ac:dyDescent="0.5">
      <c r="A2765" s="15" t="str">
        <f t="shared" ref="A2765:A2828" ca="1" si="44">IF(ROW()-12&lt;=$B$7,_xlfn.NORM.INV(RAND(),$B$5,$B$6),"")</f>
        <v/>
      </c>
    </row>
    <row r="2766" spans="1:1" x14ac:dyDescent="0.5">
      <c r="A2766" s="15" t="str">
        <f t="shared" ca="1" si="44"/>
        <v/>
      </c>
    </row>
    <row r="2767" spans="1:1" x14ac:dyDescent="0.5">
      <c r="A2767" s="15" t="str">
        <f t="shared" ca="1" si="44"/>
        <v/>
      </c>
    </row>
    <row r="2768" spans="1:1" x14ac:dyDescent="0.5">
      <c r="A2768" s="15" t="str">
        <f t="shared" ca="1" si="44"/>
        <v/>
      </c>
    </row>
    <row r="2769" spans="1:1" x14ac:dyDescent="0.5">
      <c r="A2769" s="15" t="str">
        <f t="shared" ca="1" si="44"/>
        <v/>
      </c>
    </row>
    <row r="2770" spans="1:1" x14ac:dyDescent="0.5">
      <c r="A2770" s="15" t="str">
        <f t="shared" ca="1" si="44"/>
        <v/>
      </c>
    </row>
    <row r="2771" spans="1:1" x14ac:dyDescent="0.5">
      <c r="A2771" s="15" t="str">
        <f t="shared" ca="1" si="44"/>
        <v/>
      </c>
    </row>
    <row r="2772" spans="1:1" x14ac:dyDescent="0.5">
      <c r="A2772" s="15" t="str">
        <f t="shared" ca="1" si="44"/>
        <v/>
      </c>
    </row>
    <row r="2773" spans="1:1" x14ac:dyDescent="0.5">
      <c r="A2773" s="15" t="str">
        <f t="shared" ca="1" si="44"/>
        <v/>
      </c>
    </row>
    <row r="2774" spans="1:1" x14ac:dyDescent="0.5">
      <c r="A2774" s="15" t="str">
        <f t="shared" ca="1" si="44"/>
        <v/>
      </c>
    </row>
    <row r="2775" spans="1:1" x14ac:dyDescent="0.5">
      <c r="A2775" s="15" t="str">
        <f t="shared" ca="1" si="44"/>
        <v/>
      </c>
    </row>
    <row r="2776" spans="1:1" x14ac:dyDescent="0.5">
      <c r="A2776" s="15" t="str">
        <f t="shared" ca="1" si="44"/>
        <v/>
      </c>
    </row>
    <row r="2777" spans="1:1" x14ac:dyDescent="0.5">
      <c r="A2777" s="15" t="str">
        <f t="shared" ca="1" si="44"/>
        <v/>
      </c>
    </row>
    <row r="2778" spans="1:1" x14ac:dyDescent="0.5">
      <c r="A2778" s="15" t="str">
        <f t="shared" ca="1" si="44"/>
        <v/>
      </c>
    </row>
    <row r="2779" spans="1:1" x14ac:dyDescent="0.5">
      <c r="A2779" s="15" t="str">
        <f t="shared" ca="1" si="44"/>
        <v/>
      </c>
    </row>
    <row r="2780" spans="1:1" x14ac:dyDescent="0.5">
      <c r="A2780" s="15" t="str">
        <f t="shared" ca="1" si="44"/>
        <v/>
      </c>
    </row>
    <row r="2781" spans="1:1" x14ac:dyDescent="0.5">
      <c r="A2781" s="15" t="str">
        <f t="shared" ca="1" si="44"/>
        <v/>
      </c>
    </row>
    <row r="2782" spans="1:1" x14ac:dyDescent="0.5">
      <c r="A2782" s="15" t="str">
        <f t="shared" ca="1" si="44"/>
        <v/>
      </c>
    </row>
    <row r="2783" spans="1:1" x14ac:dyDescent="0.5">
      <c r="A2783" s="15" t="str">
        <f t="shared" ca="1" si="44"/>
        <v/>
      </c>
    </row>
    <row r="2784" spans="1:1" x14ac:dyDescent="0.5">
      <c r="A2784" s="15" t="str">
        <f t="shared" ca="1" si="44"/>
        <v/>
      </c>
    </row>
    <row r="2785" spans="1:1" x14ac:dyDescent="0.5">
      <c r="A2785" s="15" t="str">
        <f t="shared" ca="1" si="44"/>
        <v/>
      </c>
    </row>
    <row r="2786" spans="1:1" x14ac:dyDescent="0.5">
      <c r="A2786" s="15" t="str">
        <f t="shared" ca="1" si="44"/>
        <v/>
      </c>
    </row>
    <row r="2787" spans="1:1" x14ac:dyDescent="0.5">
      <c r="A2787" s="15" t="str">
        <f t="shared" ca="1" si="44"/>
        <v/>
      </c>
    </row>
    <row r="2788" spans="1:1" x14ac:dyDescent="0.5">
      <c r="A2788" s="15" t="str">
        <f t="shared" ca="1" si="44"/>
        <v/>
      </c>
    </row>
    <row r="2789" spans="1:1" x14ac:dyDescent="0.5">
      <c r="A2789" s="15" t="str">
        <f t="shared" ca="1" si="44"/>
        <v/>
      </c>
    </row>
    <row r="2790" spans="1:1" x14ac:dyDescent="0.5">
      <c r="A2790" s="15" t="str">
        <f t="shared" ca="1" si="44"/>
        <v/>
      </c>
    </row>
    <row r="2791" spans="1:1" x14ac:dyDescent="0.5">
      <c r="A2791" s="15" t="str">
        <f t="shared" ca="1" si="44"/>
        <v/>
      </c>
    </row>
    <row r="2792" spans="1:1" x14ac:dyDescent="0.5">
      <c r="A2792" s="15" t="str">
        <f t="shared" ca="1" si="44"/>
        <v/>
      </c>
    </row>
    <row r="2793" spans="1:1" x14ac:dyDescent="0.5">
      <c r="A2793" s="15" t="str">
        <f t="shared" ca="1" si="44"/>
        <v/>
      </c>
    </row>
    <row r="2794" spans="1:1" x14ac:dyDescent="0.5">
      <c r="A2794" s="15" t="str">
        <f t="shared" ca="1" si="44"/>
        <v/>
      </c>
    </row>
    <row r="2795" spans="1:1" x14ac:dyDescent="0.5">
      <c r="A2795" s="15" t="str">
        <f t="shared" ca="1" si="44"/>
        <v/>
      </c>
    </row>
    <row r="2796" spans="1:1" x14ac:dyDescent="0.5">
      <c r="A2796" s="15" t="str">
        <f t="shared" ca="1" si="44"/>
        <v/>
      </c>
    </row>
    <row r="2797" spans="1:1" x14ac:dyDescent="0.5">
      <c r="A2797" s="15" t="str">
        <f t="shared" ca="1" si="44"/>
        <v/>
      </c>
    </row>
    <row r="2798" spans="1:1" x14ac:dyDescent="0.5">
      <c r="A2798" s="15" t="str">
        <f t="shared" ca="1" si="44"/>
        <v/>
      </c>
    </row>
    <row r="2799" spans="1:1" x14ac:dyDescent="0.5">
      <c r="A2799" s="15" t="str">
        <f t="shared" ca="1" si="44"/>
        <v/>
      </c>
    </row>
    <row r="2800" spans="1:1" x14ac:dyDescent="0.5">
      <c r="A2800" s="15" t="str">
        <f t="shared" ca="1" si="44"/>
        <v/>
      </c>
    </row>
    <row r="2801" spans="1:1" x14ac:dyDescent="0.5">
      <c r="A2801" s="15" t="str">
        <f t="shared" ca="1" si="44"/>
        <v/>
      </c>
    </row>
    <row r="2802" spans="1:1" x14ac:dyDescent="0.5">
      <c r="A2802" s="15" t="str">
        <f t="shared" ca="1" si="44"/>
        <v/>
      </c>
    </row>
    <row r="2803" spans="1:1" x14ac:dyDescent="0.5">
      <c r="A2803" s="15" t="str">
        <f t="shared" ca="1" si="44"/>
        <v/>
      </c>
    </row>
    <row r="2804" spans="1:1" x14ac:dyDescent="0.5">
      <c r="A2804" s="15" t="str">
        <f t="shared" ca="1" si="44"/>
        <v/>
      </c>
    </row>
    <row r="2805" spans="1:1" x14ac:dyDescent="0.5">
      <c r="A2805" s="15" t="str">
        <f t="shared" ca="1" si="44"/>
        <v/>
      </c>
    </row>
    <row r="2806" spans="1:1" x14ac:dyDescent="0.5">
      <c r="A2806" s="15" t="str">
        <f t="shared" ca="1" si="44"/>
        <v/>
      </c>
    </row>
    <row r="2807" spans="1:1" x14ac:dyDescent="0.5">
      <c r="A2807" s="15" t="str">
        <f t="shared" ca="1" si="44"/>
        <v/>
      </c>
    </row>
    <row r="2808" spans="1:1" x14ac:dyDescent="0.5">
      <c r="A2808" s="15" t="str">
        <f t="shared" ca="1" si="44"/>
        <v/>
      </c>
    </row>
    <row r="2809" spans="1:1" x14ac:dyDescent="0.5">
      <c r="A2809" s="15" t="str">
        <f t="shared" ca="1" si="44"/>
        <v/>
      </c>
    </row>
    <row r="2810" spans="1:1" x14ac:dyDescent="0.5">
      <c r="A2810" s="15" t="str">
        <f t="shared" ca="1" si="44"/>
        <v/>
      </c>
    </row>
    <row r="2811" spans="1:1" x14ac:dyDescent="0.5">
      <c r="A2811" s="15" t="str">
        <f t="shared" ca="1" si="44"/>
        <v/>
      </c>
    </row>
    <row r="2812" spans="1:1" x14ac:dyDescent="0.5">
      <c r="A2812" s="15" t="str">
        <f t="shared" ca="1" si="44"/>
        <v/>
      </c>
    </row>
    <row r="2813" spans="1:1" x14ac:dyDescent="0.5">
      <c r="A2813" s="15" t="str">
        <f t="shared" ca="1" si="44"/>
        <v/>
      </c>
    </row>
    <row r="2814" spans="1:1" x14ac:dyDescent="0.5">
      <c r="A2814" s="15" t="str">
        <f t="shared" ca="1" si="44"/>
        <v/>
      </c>
    </row>
    <row r="2815" spans="1:1" x14ac:dyDescent="0.5">
      <c r="A2815" s="15" t="str">
        <f t="shared" ca="1" si="44"/>
        <v/>
      </c>
    </row>
    <row r="2816" spans="1:1" x14ac:dyDescent="0.5">
      <c r="A2816" s="15" t="str">
        <f t="shared" ca="1" si="44"/>
        <v/>
      </c>
    </row>
    <row r="2817" spans="1:1" x14ac:dyDescent="0.5">
      <c r="A2817" s="15" t="str">
        <f t="shared" ca="1" si="44"/>
        <v/>
      </c>
    </row>
    <row r="2818" spans="1:1" x14ac:dyDescent="0.5">
      <c r="A2818" s="15" t="str">
        <f t="shared" ca="1" si="44"/>
        <v/>
      </c>
    </row>
    <row r="2819" spans="1:1" x14ac:dyDescent="0.5">
      <c r="A2819" s="15" t="str">
        <f t="shared" ca="1" si="44"/>
        <v/>
      </c>
    </row>
    <row r="2820" spans="1:1" x14ac:dyDescent="0.5">
      <c r="A2820" s="15" t="str">
        <f t="shared" ca="1" si="44"/>
        <v/>
      </c>
    </row>
    <row r="2821" spans="1:1" x14ac:dyDescent="0.5">
      <c r="A2821" s="15" t="str">
        <f t="shared" ca="1" si="44"/>
        <v/>
      </c>
    </row>
    <row r="2822" spans="1:1" x14ac:dyDescent="0.5">
      <c r="A2822" s="15" t="str">
        <f t="shared" ca="1" si="44"/>
        <v/>
      </c>
    </row>
    <row r="2823" spans="1:1" x14ac:dyDescent="0.5">
      <c r="A2823" s="15" t="str">
        <f t="shared" ca="1" si="44"/>
        <v/>
      </c>
    </row>
    <row r="2824" spans="1:1" x14ac:dyDescent="0.5">
      <c r="A2824" s="15" t="str">
        <f t="shared" ca="1" si="44"/>
        <v/>
      </c>
    </row>
    <row r="2825" spans="1:1" x14ac:dyDescent="0.5">
      <c r="A2825" s="15" t="str">
        <f t="shared" ca="1" si="44"/>
        <v/>
      </c>
    </row>
    <row r="2826" spans="1:1" x14ac:dyDescent="0.5">
      <c r="A2826" s="15" t="str">
        <f t="shared" ca="1" si="44"/>
        <v/>
      </c>
    </row>
    <row r="2827" spans="1:1" x14ac:dyDescent="0.5">
      <c r="A2827" s="15" t="str">
        <f t="shared" ca="1" si="44"/>
        <v/>
      </c>
    </row>
    <row r="2828" spans="1:1" x14ac:dyDescent="0.5">
      <c r="A2828" s="15" t="str">
        <f t="shared" ca="1" si="44"/>
        <v/>
      </c>
    </row>
    <row r="2829" spans="1:1" x14ac:dyDescent="0.5">
      <c r="A2829" s="15" t="str">
        <f t="shared" ref="A2829:A2892" ca="1" si="45">IF(ROW()-12&lt;=$B$7,_xlfn.NORM.INV(RAND(),$B$5,$B$6),"")</f>
        <v/>
      </c>
    </row>
    <row r="2830" spans="1:1" x14ac:dyDescent="0.5">
      <c r="A2830" s="15" t="str">
        <f t="shared" ca="1" si="45"/>
        <v/>
      </c>
    </row>
    <row r="2831" spans="1:1" x14ac:dyDescent="0.5">
      <c r="A2831" s="15" t="str">
        <f t="shared" ca="1" si="45"/>
        <v/>
      </c>
    </row>
    <row r="2832" spans="1:1" x14ac:dyDescent="0.5">
      <c r="A2832" s="15" t="str">
        <f t="shared" ca="1" si="45"/>
        <v/>
      </c>
    </row>
    <row r="2833" spans="1:1" x14ac:dyDescent="0.5">
      <c r="A2833" s="15" t="str">
        <f t="shared" ca="1" si="45"/>
        <v/>
      </c>
    </row>
    <row r="2834" spans="1:1" x14ac:dyDescent="0.5">
      <c r="A2834" s="15" t="str">
        <f t="shared" ca="1" si="45"/>
        <v/>
      </c>
    </row>
    <row r="2835" spans="1:1" x14ac:dyDescent="0.5">
      <c r="A2835" s="15" t="str">
        <f t="shared" ca="1" si="45"/>
        <v/>
      </c>
    </row>
    <row r="2836" spans="1:1" x14ac:dyDescent="0.5">
      <c r="A2836" s="15" t="str">
        <f t="shared" ca="1" si="45"/>
        <v/>
      </c>
    </row>
    <row r="2837" spans="1:1" x14ac:dyDescent="0.5">
      <c r="A2837" s="15" t="str">
        <f t="shared" ca="1" si="45"/>
        <v/>
      </c>
    </row>
    <row r="2838" spans="1:1" x14ac:dyDescent="0.5">
      <c r="A2838" s="15" t="str">
        <f t="shared" ca="1" si="45"/>
        <v/>
      </c>
    </row>
    <row r="2839" spans="1:1" x14ac:dyDescent="0.5">
      <c r="A2839" s="15" t="str">
        <f t="shared" ca="1" si="45"/>
        <v/>
      </c>
    </row>
    <row r="2840" spans="1:1" x14ac:dyDescent="0.5">
      <c r="A2840" s="15" t="str">
        <f t="shared" ca="1" si="45"/>
        <v/>
      </c>
    </row>
    <row r="2841" spans="1:1" x14ac:dyDescent="0.5">
      <c r="A2841" s="15" t="str">
        <f t="shared" ca="1" si="45"/>
        <v/>
      </c>
    </row>
    <row r="2842" spans="1:1" x14ac:dyDescent="0.5">
      <c r="A2842" s="15" t="str">
        <f t="shared" ca="1" si="45"/>
        <v/>
      </c>
    </row>
    <row r="2843" spans="1:1" x14ac:dyDescent="0.5">
      <c r="A2843" s="15" t="str">
        <f t="shared" ca="1" si="45"/>
        <v/>
      </c>
    </row>
    <row r="2844" spans="1:1" x14ac:dyDescent="0.5">
      <c r="A2844" s="15" t="str">
        <f t="shared" ca="1" si="45"/>
        <v/>
      </c>
    </row>
    <row r="2845" spans="1:1" x14ac:dyDescent="0.5">
      <c r="A2845" s="15" t="str">
        <f t="shared" ca="1" si="45"/>
        <v/>
      </c>
    </row>
    <row r="2846" spans="1:1" x14ac:dyDescent="0.5">
      <c r="A2846" s="15" t="str">
        <f t="shared" ca="1" si="45"/>
        <v/>
      </c>
    </row>
    <row r="2847" spans="1:1" x14ac:dyDescent="0.5">
      <c r="A2847" s="15" t="str">
        <f t="shared" ca="1" si="45"/>
        <v/>
      </c>
    </row>
    <row r="2848" spans="1:1" x14ac:dyDescent="0.5">
      <c r="A2848" s="15" t="str">
        <f t="shared" ca="1" si="45"/>
        <v/>
      </c>
    </row>
    <row r="2849" spans="1:1" x14ac:dyDescent="0.5">
      <c r="A2849" s="15" t="str">
        <f t="shared" ca="1" si="45"/>
        <v/>
      </c>
    </row>
    <row r="2850" spans="1:1" x14ac:dyDescent="0.5">
      <c r="A2850" s="15" t="str">
        <f t="shared" ca="1" si="45"/>
        <v/>
      </c>
    </row>
    <row r="2851" spans="1:1" x14ac:dyDescent="0.5">
      <c r="A2851" s="15" t="str">
        <f t="shared" ca="1" si="45"/>
        <v/>
      </c>
    </row>
    <row r="2852" spans="1:1" x14ac:dyDescent="0.5">
      <c r="A2852" s="15" t="str">
        <f t="shared" ca="1" si="45"/>
        <v/>
      </c>
    </row>
    <row r="2853" spans="1:1" x14ac:dyDescent="0.5">
      <c r="A2853" s="15" t="str">
        <f t="shared" ca="1" si="45"/>
        <v/>
      </c>
    </row>
    <row r="2854" spans="1:1" x14ac:dyDescent="0.5">
      <c r="A2854" s="15" t="str">
        <f t="shared" ca="1" si="45"/>
        <v/>
      </c>
    </row>
    <row r="2855" spans="1:1" x14ac:dyDescent="0.5">
      <c r="A2855" s="15" t="str">
        <f t="shared" ca="1" si="45"/>
        <v/>
      </c>
    </row>
    <row r="2856" spans="1:1" x14ac:dyDescent="0.5">
      <c r="A2856" s="15" t="str">
        <f t="shared" ca="1" si="45"/>
        <v/>
      </c>
    </row>
    <row r="2857" spans="1:1" x14ac:dyDescent="0.5">
      <c r="A2857" s="15" t="str">
        <f t="shared" ca="1" si="45"/>
        <v/>
      </c>
    </row>
    <row r="2858" spans="1:1" x14ac:dyDescent="0.5">
      <c r="A2858" s="15" t="str">
        <f t="shared" ca="1" si="45"/>
        <v/>
      </c>
    </row>
    <row r="2859" spans="1:1" x14ac:dyDescent="0.5">
      <c r="A2859" s="15" t="str">
        <f t="shared" ca="1" si="45"/>
        <v/>
      </c>
    </row>
    <row r="2860" spans="1:1" x14ac:dyDescent="0.5">
      <c r="A2860" s="15" t="str">
        <f t="shared" ca="1" si="45"/>
        <v/>
      </c>
    </row>
    <row r="2861" spans="1:1" x14ac:dyDescent="0.5">
      <c r="A2861" s="15" t="str">
        <f t="shared" ca="1" si="45"/>
        <v/>
      </c>
    </row>
    <row r="2862" spans="1:1" x14ac:dyDescent="0.5">
      <c r="A2862" s="15" t="str">
        <f t="shared" ca="1" si="45"/>
        <v/>
      </c>
    </row>
    <row r="2863" spans="1:1" x14ac:dyDescent="0.5">
      <c r="A2863" s="15" t="str">
        <f t="shared" ca="1" si="45"/>
        <v/>
      </c>
    </row>
    <row r="2864" spans="1:1" x14ac:dyDescent="0.5">
      <c r="A2864" s="15" t="str">
        <f t="shared" ca="1" si="45"/>
        <v/>
      </c>
    </row>
    <row r="2865" spans="1:1" x14ac:dyDescent="0.5">
      <c r="A2865" s="15" t="str">
        <f t="shared" ca="1" si="45"/>
        <v/>
      </c>
    </row>
    <row r="2866" spans="1:1" x14ac:dyDescent="0.5">
      <c r="A2866" s="15" t="str">
        <f t="shared" ca="1" si="45"/>
        <v/>
      </c>
    </row>
    <row r="2867" spans="1:1" x14ac:dyDescent="0.5">
      <c r="A2867" s="15" t="str">
        <f t="shared" ca="1" si="45"/>
        <v/>
      </c>
    </row>
    <row r="2868" spans="1:1" x14ac:dyDescent="0.5">
      <c r="A2868" s="15" t="str">
        <f t="shared" ca="1" si="45"/>
        <v/>
      </c>
    </row>
    <row r="2869" spans="1:1" x14ac:dyDescent="0.5">
      <c r="A2869" s="15" t="str">
        <f t="shared" ca="1" si="45"/>
        <v/>
      </c>
    </row>
    <row r="2870" spans="1:1" x14ac:dyDescent="0.5">
      <c r="A2870" s="15" t="str">
        <f t="shared" ca="1" si="45"/>
        <v/>
      </c>
    </row>
    <row r="2871" spans="1:1" x14ac:dyDescent="0.5">
      <c r="A2871" s="15" t="str">
        <f t="shared" ca="1" si="45"/>
        <v/>
      </c>
    </row>
    <row r="2872" spans="1:1" x14ac:dyDescent="0.5">
      <c r="A2872" s="15" t="str">
        <f t="shared" ca="1" si="45"/>
        <v/>
      </c>
    </row>
    <row r="2873" spans="1:1" x14ac:dyDescent="0.5">
      <c r="A2873" s="15" t="str">
        <f t="shared" ca="1" si="45"/>
        <v/>
      </c>
    </row>
    <row r="2874" spans="1:1" x14ac:dyDescent="0.5">
      <c r="A2874" s="15" t="str">
        <f t="shared" ca="1" si="45"/>
        <v/>
      </c>
    </row>
    <row r="2875" spans="1:1" x14ac:dyDescent="0.5">
      <c r="A2875" s="15" t="str">
        <f t="shared" ca="1" si="45"/>
        <v/>
      </c>
    </row>
    <row r="2876" spans="1:1" x14ac:dyDescent="0.5">
      <c r="A2876" s="15" t="str">
        <f t="shared" ca="1" si="45"/>
        <v/>
      </c>
    </row>
    <row r="2877" spans="1:1" x14ac:dyDescent="0.5">
      <c r="A2877" s="15" t="str">
        <f t="shared" ca="1" si="45"/>
        <v/>
      </c>
    </row>
    <row r="2878" spans="1:1" x14ac:dyDescent="0.5">
      <c r="A2878" s="15" t="str">
        <f t="shared" ca="1" si="45"/>
        <v/>
      </c>
    </row>
    <row r="2879" spans="1:1" x14ac:dyDescent="0.5">
      <c r="A2879" s="15" t="str">
        <f t="shared" ca="1" si="45"/>
        <v/>
      </c>
    </row>
    <row r="2880" spans="1:1" x14ac:dyDescent="0.5">
      <c r="A2880" s="15" t="str">
        <f t="shared" ca="1" si="45"/>
        <v/>
      </c>
    </row>
    <row r="2881" spans="1:1" x14ac:dyDescent="0.5">
      <c r="A2881" s="15" t="str">
        <f t="shared" ca="1" si="45"/>
        <v/>
      </c>
    </row>
    <row r="2882" spans="1:1" x14ac:dyDescent="0.5">
      <c r="A2882" s="15" t="str">
        <f t="shared" ca="1" si="45"/>
        <v/>
      </c>
    </row>
    <row r="2883" spans="1:1" x14ac:dyDescent="0.5">
      <c r="A2883" s="15" t="str">
        <f t="shared" ca="1" si="45"/>
        <v/>
      </c>
    </row>
    <row r="2884" spans="1:1" x14ac:dyDescent="0.5">
      <c r="A2884" s="15" t="str">
        <f t="shared" ca="1" si="45"/>
        <v/>
      </c>
    </row>
    <row r="2885" spans="1:1" x14ac:dyDescent="0.5">
      <c r="A2885" s="15" t="str">
        <f t="shared" ca="1" si="45"/>
        <v/>
      </c>
    </row>
    <row r="2886" spans="1:1" x14ac:dyDescent="0.5">
      <c r="A2886" s="15" t="str">
        <f t="shared" ca="1" si="45"/>
        <v/>
      </c>
    </row>
    <row r="2887" spans="1:1" x14ac:dyDescent="0.5">
      <c r="A2887" s="15" t="str">
        <f t="shared" ca="1" si="45"/>
        <v/>
      </c>
    </row>
    <row r="2888" spans="1:1" x14ac:dyDescent="0.5">
      <c r="A2888" s="15" t="str">
        <f t="shared" ca="1" si="45"/>
        <v/>
      </c>
    </row>
    <row r="2889" spans="1:1" x14ac:dyDescent="0.5">
      <c r="A2889" s="15" t="str">
        <f t="shared" ca="1" si="45"/>
        <v/>
      </c>
    </row>
    <row r="2890" spans="1:1" x14ac:dyDescent="0.5">
      <c r="A2890" s="15" t="str">
        <f t="shared" ca="1" si="45"/>
        <v/>
      </c>
    </row>
    <row r="2891" spans="1:1" x14ac:dyDescent="0.5">
      <c r="A2891" s="15" t="str">
        <f t="shared" ca="1" si="45"/>
        <v/>
      </c>
    </row>
    <row r="2892" spans="1:1" x14ac:dyDescent="0.5">
      <c r="A2892" s="15" t="str">
        <f t="shared" ca="1" si="45"/>
        <v/>
      </c>
    </row>
    <row r="2893" spans="1:1" x14ac:dyDescent="0.5">
      <c r="A2893" s="15" t="str">
        <f t="shared" ref="A2893:A2956" ca="1" si="46">IF(ROW()-12&lt;=$B$7,_xlfn.NORM.INV(RAND(),$B$5,$B$6),"")</f>
        <v/>
      </c>
    </row>
    <row r="2894" spans="1:1" x14ac:dyDescent="0.5">
      <c r="A2894" s="15" t="str">
        <f t="shared" ca="1" si="46"/>
        <v/>
      </c>
    </row>
    <row r="2895" spans="1:1" x14ac:dyDescent="0.5">
      <c r="A2895" s="15" t="str">
        <f t="shared" ca="1" si="46"/>
        <v/>
      </c>
    </row>
    <row r="2896" spans="1:1" x14ac:dyDescent="0.5">
      <c r="A2896" s="15" t="str">
        <f t="shared" ca="1" si="46"/>
        <v/>
      </c>
    </row>
    <row r="2897" spans="1:1" x14ac:dyDescent="0.5">
      <c r="A2897" s="15" t="str">
        <f t="shared" ca="1" si="46"/>
        <v/>
      </c>
    </row>
    <row r="2898" spans="1:1" x14ac:dyDescent="0.5">
      <c r="A2898" s="15" t="str">
        <f t="shared" ca="1" si="46"/>
        <v/>
      </c>
    </row>
    <row r="2899" spans="1:1" x14ac:dyDescent="0.5">
      <c r="A2899" s="15" t="str">
        <f t="shared" ca="1" si="46"/>
        <v/>
      </c>
    </row>
    <row r="2900" spans="1:1" x14ac:dyDescent="0.5">
      <c r="A2900" s="15" t="str">
        <f t="shared" ca="1" si="46"/>
        <v/>
      </c>
    </row>
    <row r="2901" spans="1:1" x14ac:dyDescent="0.5">
      <c r="A2901" s="15" t="str">
        <f t="shared" ca="1" si="46"/>
        <v/>
      </c>
    </row>
    <row r="2902" spans="1:1" x14ac:dyDescent="0.5">
      <c r="A2902" s="15" t="str">
        <f t="shared" ca="1" si="46"/>
        <v/>
      </c>
    </row>
    <row r="2903" spans="1:1" x14ac:dyDescent="0.5">
      <c r="A2903" s="15" t="str">
        <f t="shared" ca="1" si="46"/>
        <v/>
      </c>
    </row>
    <row r="2904" spans="1:1" x14ac:dyDescent="0.5">
      <c r="A2904" s="15" t="str">
        <f t="shared" ca="1" si="46"/>
        <v/>
      </c>
    </row>
    <row r="2905" spans="1:1" x14ac:dyDescent="0.5">
      <c r="A2905" s="15" t="str">
        <f t="shared" ca="1" si="46"/>
        <v/>
      </c>
    </row>
    <row r="2906" spans="1:1" x14ac:dyDescent="0.5">
      <c r="A2906" s="15" t="str">
        <f t="shared" ca="1" si="46"/>
        <v/>
      </c>
    </row>
    <row r="2907" spans="1:1" x14ac:dyDescent="0.5">
      <c r="A2907" s="15" t="str">
        <f t="shared" ca="1" si="46"/>
        <v/>
      </c>
    </row>
    <row r="2908" spans="1:1" x14ac:dyDescent="0.5">
      <c r="A2908" s="15" t="str">
        <f t="shared" ca="1" si="46"/>
        <v/>
      </c>
    </row>
    <row r="2909" spans="1:1" x14ac:dyDescent="0.5">
      <c r="A2909" s="15" t="str">
        <f t="shared" ca="1" si="46"/>
        <v/>
      </c>
    </row>
    <row r="2910" spans="1:1" x14ac:dyDescent="0.5">
      <c r="A2910" s="15" t="str">
        <f t="shared" ca="1" si="46"/>
        <v/>
      </c>
    </row>
    <row r="2911" spans="1:1" x14ac:dyDescent="0.5">
      <c r="A2911" s="15" t="str">
        <f t="shared" ca="1" si="46"/>
        <v/>
      </c>
    </row>
    <row r="2912" spans="1:1" x14ac:dyDescent="0.5">
      <c r="A2912" s="15" t="str">
        <f t="shared" ca="1" si="46"/>
        <v/>
      </c>
    </row>
    <row r="2913" spans="1:1" x14ac:dyDescent="0.5">
      <c r="A2913" s="15" t="str">
        <f t="shared" ca="1" si="46"/>
        <v/>
      </c>
    </row>
    <row r="2914" spans="1:1" x14ac:dyDescent="0.5">
      <c r="A2914" s="15" t="str">
        <f t="shared" ca="1" si="46"/>
        <v/>
      </c>
    </row>
    <row r="2915" spans="1:1" x14ac:dyDescent="0.5">
      <c r="A2915" s="15" t="str">
        <f t="shared" ca="1" si="46"/>
        <v/>
      </c>
    </row>
    <row r="2916" spans="1:1" x14ac:dyDescent="0.5">
      <c r="A2916" s="15" t="str">
        <f t="shared" ca="1" si="46"/>
        <v/>
      </c>
    </row>
    <row r="2917" spans="1:1" x14ac:dyDescent="0.5">
      <c r="A2917" s="15" t="str">
        <f t="shared" ca="1" si="46"/>
        <v/>
      </c>
    </row>
    <row r="2918" spans="1:1" x14ac:dyDescent="0.5">
      <c r="A2918" s="15" t="str">
        <f t="shared" ca="1" si="46"/>
        <v/>
      </c>
    </row>
    <row r="2919" spans="1:1" x14ac:dyDescent="0.5">
      <c r="A2919" s="15" t="str">
        <f t="shared" ca="1" si="46"/>
        <v/>
      </c>
    </row>
    <row r="2920" spans="1:1" x14ac:dyDescent="0.5">
      <c r="A2920" s="15" t="str">
        <f t="shared" ca="1" si="46"/>
        <v/>
      </c>
    </row>
    <row r="2921" spans="1:1" x14ac:dyDescent="0.5">
      <c r="A2921" s="15" t="str">
        <f t="shared" ca="1" si="46"/>
        <v/>
      </c>
    </row>
    <row r="2922" spans="1:1" x14ac:dyDescent="0.5">
      <c r="A2922" s="15" t="str">
        <f t="shared" ca="1" si="46"/>
        <v/>
      </c>
    </row>
    <row r="2923" spans="1:1" x14ac:dyDescent="0.5">
      <c r="A2923" s="15" t="str">
        <f t="shared" ca="1" si="46"/>
        <v/>
      </c>
    </row>
    <row r="2924" spans="1:1" x14ac:dyDescent="0.5">
      <c r="A2924" s="15" t="str">
        <f t="shared" ca="1" si="46"/>
        <v/>
      </c>
    </row>
    <row r="2925" spans="1:1" x14ac:dyDescent="0.5">
      <c r="A2925" s="15" t="str">
        <f t="shared" ca="1" si="46"/>
        <v/>
      </c>
    </row>
    <row r="2926" spans="1:1" x14ac:dyDescent="0.5">
      <c r="A2926" s="15" t="str">
        <f t="shared" ca="1" si="46"/>
        <v/>
      </c>
    </row>
    <row r="2927" spans="1:1" x14ac:dyDescent="0.5">
      <c r="A2927" s="15" t="str">
        <f t="shared" ca="1" si="46"/>
        <v/>
      </c>
    </row>
    <row r="2928" spans="1:1" x14ac:dyDescent="0.5">
      <c r="A2928" s="15" t="str">
        <f t="shared" ca="1" si="46"/>
        <v/>
      </c>
    </row>
    <row r="2929" spans="1:1" x14ac:dyDescent="0.5">
      <c r="A2929" s="15" t="str">
        <f t="shared" ca="1" si="46"/>
        <v/>
      </c>
    </row>
    <row r="2930" spans="1:1" x14ac:dyDescent="0.5">
      <c r="A2930" s="15" t="str">
        <f t="shared" ca="1" si="46"/>
        <v/>
      </c>
    </row>
    <row r="2931" spans="1:1" x14ac:dyDescent="0.5">
      <c r="A2931" s="15" t="str">
        <f t="shared" ca="1" si="46"/>
        <v/>
      </c>
    </row>
    <row r="2932" spans="1:1" x14ac:dyDescent="0.5">
      <c r="A2932" s="15" t="str">
        <f t="shared" ca="1" si="46"/>
        <v/>
      </c>
    </row>
    <row r="2933" spans="1:1" x14ac:dyDescent="0.5">
      <c r="A2933" s="15" t="str">
        <f t="shared" ca="1" si="46"/>
        <v/>
      </c>
    </row>
    <row r="2934" spans="1:1" x14ac:dyDescent="0.5">
      <c r="A2934" s="15" t="str">
        <f t="shared" ca="1" si="46"/>
        <v/>
      </c>
    </row>
    <row r="2935" spans="1:1" x14ac:dyDescent="0.5">
      <c r="A2935" s="15" t="str">
        <f t="shared" ca="1" si="46"/>
        <v/>
      </c>
    </row>
    <row r="2936" spans="1:1" x14ac:dyDescent="0.5">
      <c r="A2936" s="15" t="str">
        <f t="shared" ca="1" si="46"/>
        <v/>
      </c>
    </row>
    <row r="2937" spans="1:1" x14ac:dyDescent="0.5">
      <c r="A2937" s="15" t="str">
        <f t="shared" ca="1" si="46"/>
        <v/>
      </c>
    </row>
    <row r="2938" spans="1:1" x14ac:dyDescent="0.5">
      <c r="A2938" s="15" t="str">
        <f t="shared" ca="1" si="46"/>
        <v/>
      </c>
    </row>
    <row r="2939" spans="1:1" x14ac:dyDescent="0.5">
      <c r="A2939" s="15" t="str">
        <f t="shared" ca="1" si="46"/>
        <v/>
      </c>
    </row>
    <row r="2940" spans="1:1" x14ac:dyDescent="0.5">
      <c r="A2940" s="15" t="str">
        <f t="shared" ca="1" si="46"/>
        <v/>
      </c>
    </row>
    <row r="2941" spans="1:1" x14ac:dyDescent="0.5">
      <c r="A2941" s="15" t="str">
        <f t="shared" ca="1" si="46"/>
        <v/>
      </c>
    </row>
    <row r="2942" spans="1:1" x14ac:dyDescent="0.5">
      <c r="A2942" s="15" t="str">
        <f t="shared" ca="1" si="46"/>
        <v/>
      </c>
    </row>
    <row r="2943" spans="1:1" x14ac:dyDescent="0.5">
      <c r="A2943" s="15" t="str">
        <f t="shared" ca="1" si="46"/>
        <v/>
      </c>
    </row>
    <row r="2944" spans="1:1" x14ac:dyDescent="0.5">
      <c r="A2944" s="15" t="str">
        <f t="shared" ca="1" si="46"/>
        <v/>
      </c>
    </row>
    <row r="2945" spans="1:1" x14ac:dyDescent="0.5">
      <c r="A2945" s="15" t="str">
        <f t="shared" ca="1" si="46"/>
        <v/>
      </c>
    </row>
    <row r="2946" spans="1:1" x14ac:dyDescent="0.5">
      <c r="A2946" s="15" t="str">
        <f t="shared" ca="1" si="46"/>
        <v/>
      </c>
    </row>
    <row r="2947" spans="1:1" x14ac:dyDescent="0.5">
      <c r="A2947" s="15" t="str">
        <f t="shared" ca="1" si="46"/>
        <v/>
      </c>
    </row>
    <row r="2948" spans="1:1" x14ac:dyDescent="0.5">
      <c r="A2948" s="15" t="str">
        <f t="shared" ca="1" si="46"/>
        <v/>
      </c>
    </row>
    <row r="2949" spans="1:1" x14ac:dyDescent="0.5">
      <c r="A2949" s="15" t="str">
        <f t="shared" ca="1" si="46"/>
        <v/>
      </c>
    </row>
    <row r="2950" spans="1:1" x14ac:dyDescent="0.5">
      <c r="A2950" s="15" t="str">
        <f t="shared" ca="1" si="46"/>
        <v/>
      </c>
    </row>
    <row r="2951" spans="1:1" x14ac:dyDescent="0.5">
      <c r="A2951" s="15" t="str">
        <f t="shared" ca="1" si="46"/>
        <v/>
      </c>
    </row>
    <row r="2952" spans="1:1" x14ac:dyDescent="0.5">
      <c r="A2952" s="15" t="str">
        <f t="shared" ca="1" si="46"/>
        <v/>
      </c>
    </row>
    <row r="2953" spans="1:1" x14ac:dyDescent="0.5">
      <c r="A2953" s="15" t="str">
        <f t="shared" ca="1" si="46"/>
        <v/>
      </c>
    </row>
    <row r="2954" spans="1:1" x14ac:dyDescent="0.5">
      <c r="A2954" s="15" t="str">
        <f t="shared" ca="1" si="46"/>
        <v/>
      </c>
    </row>
    <row r="2955" spans="1:1" x14ac:dyDescent="0.5">
      <c r="A2955" s="15" t="str">
        <f t="shared" ca="1" si="46"/>
        <v/>
      </c>
    </row>
    <row r="2956" spans="1:1" x14ac:dyDescent="0.5">
      <c r="A2956" s="15" t="str">
        <f t="shared" ca="1" si="46"/>
        <v/>
      </c>
    </row>
    <row r="2957" spans="1:1" x14ac:dyDescent="0.5">
      <c r="A2957" s="15" t="str">
        <f t="shared" ref="A2957:A3020" ca="1" si="47">IF(ROW()-12&lt;=$B$7,_xlfn.NORM.INV(RAND(),$B$5,$B$6),"")</f>
        <v/>
      </c>
    </row>
    <row r="2958" spans="1:1" x14ac:dyDescent="0.5">
      <c r="A2958" s="15" t="str">
        <f t="shared" ca="1" si="47"/>
        <v/>
      </c>
    </row>
    <row r="2959" spans="1:1" x14ac:dyDescent="0.5">
      <c r="A2959" s="15" t="str">
        <f t="shared" ca="1" si="47"/>
        <v/>
      </c>
    </row>
    <row r="2960" spans="1:1" x14ac:dyDescent="0.5">
      <c r="A2960" s="15" t="str">
        <f t="shared" ca="1" si="47"/>
        <v/>
      </c>
    </row>
    <row r="2961" spans="1:1" x14ac:dyDescent="0.5">
      <c r="A2961" s="15" t="str">
        <f t="shared" ca="1" si="47"/>
        <v/>
      </c>
    </row>
    <row r="2962" spans="1:1" x14ac:dyDescent="0.5">
      <c r="A2962" s="15" t="str">
        <f t="shared" ca="1" si="47"/>
        <v/>
      </c>
    </row>
    <row r="2963" spans="1:1" x14ac:dyDescent="0.5">
      <c r="A2963" s="15" t="str">
        <f t="shared" ca="1" si="47"/>
        <v/>
      </c>
    </row>
    <row r="2964" spans="1:1" x14ac:dyDescent="0.5">
      <c r="A2964" s="15" t="str">
        <f t="shared" ca="1" si="47"/>
        <v/>
      </c>
    </row>
    <row r="2965" spans="1:1" x14ac:dyDescent="0.5">
      <c r="A2965" s="15" t="str">
        <f t="shared" ca="1" si="47"/>
        <v/>
      </c>
    </row>
    <row r="2966" spans="1:1" x14ac:dyDescent="0.5">
      <c r="A2966" s="15" t="str">
        <f t="shared" ca="1" si="47"/>
        <v/>
      </c>
    </row>
    <row r="2967" spans="1:1" x14ac:dyDescent="0.5">
      <c r="A2967" s="15" t="str">
        <f t="shared" ca="1" si="47"/>
        <v/>
      </c>
    </row>
    <row r="2968" spans="1:1" x14ac:dyDescent="0.5">
      <c r="A2968" s="15" t="str">
        <f t="shared" ca="1" si="47"/>
        <v/>
      </c>
    </row>
    <row r="2969" spans="1:1" x14ac:dyDescent="0.5">
      <c r="A2969" s="15" t="str">
        <f t="shared" ca="1" si="47"/>
        <v/>
      </c>
    </row>
    <row r="2970" spans="1:1" x14ac:dyDescent="0.5">
      <c r="A2970" s="15" t="str">
        <f t="shared" ca="1" si="47"/>
        <v/>
      </c>
    </row>
    <row r="2971" spans="1:1" x14ac:dyDescent="0.5">
      <c r="A2971" s="15" t="str">
        <f t="shared" ca="1" si="47"/>
        <v/>
      </c>
    </row>
    <row r="2972" spans="1:1" x14ac:dyDescent="0.5">
      <c r="A2972" s="15" t="str">
        <f t="shared" ca="1" si="47"/>
        <v/>
      </c>
    </row>
    <row r="2973" spans="1:1" x14ac:dyDescent="0.5">
      <c r="A2973" s="15" t="str">
        <f t="shared" ca="1" si="47"/>
        <v/>
      </c>
    </row>
    <row r="2974" spans="1:1" x14ac:dyDescent="0.5">
      <c r="A2974" s="15" t="str">
        <f t="shared" ca="1" si="47"/>
        <v/>
      </c>
    </row>
    <row r="2975" spans="1:1" x14ac:dyDescent="0.5">
      <c r="A2975" s="15" t="str">
        <f t="shared" ca="1" si="47"/>
        <v/>
      </c>
    </row>
    <row r="2976" spans="1:1" x14ac:dyDescent="0.5">
      <c r="A2976" s="15" t="str">
        <f t="shared" ca="1" si="47"/>
        <v/>
      </c>
    </row>
    <row r="2977" spans="1:1" x14ac:dyDescent="0.5">
      <c r="A2977" s="15" t="str">
        <f t="shared" ca="1" si="47"/>
        <v/>
      </c>
    </row>
    <row r="2978" spans="1:1" x14ac:dyDescent="0.5">
      <c r="A2978" s="15" t="str">
        <f t="shared" ca="1" si="47"/>
        <v/>
      </c>
    </row>
    <row r="2979" spans="1:1" x14ac:dyDescent="0.5">
      <c r="A2979" s="15" t="str">
        <f t="shared" ca="1" si="47"/>
        <v/>
      </c>
    </row>
    <row r="2980" spans="1:1" x14ac:dyDescent="0.5">
      <c r="A2980" s="15" t="str">
        <f t="shared" ca="1" si="47"/>
        <v/>
      </c>
    </row>
    <row r="2981" spans="1:1" x14ac:dyDescent="0.5">
      <c r="A2981" s="15" t="str">
        <f t="shared" ca="1" si="47"/>
        <v/>
      </c>
    </row>
    <row r="2982" spans="1:1" x14ac:dyDescent="0.5">
      <c r="A2982" s="15" t="str">
        <f t="shared" ca="1" si="47"/>
        <v/>
      </c>
    </row>
    <row r="2983" spans="1:1" x14ac:dyDescent="0.5">
      <c r="A2983" s="15" t="str">
        <f t="shared" ca="1" si="47"/>
        <v/>
      </c>
    </row>
    <row r="2984" spans="1:1" x14ac:dyDescent="0.5">
      <c r="A2984" s="15" t="str">
        <f t="shared" ca="1" si="47"/>
        <v/>
      </c>
    </row>
    <row r="2985" spans="1:1" x14ac:dyDescent="0.5">
      <c r="A2985" s="15" t="str">
        <f t="shared" ca="1" si="47"/>
        <v/>
      </c>
    </row>
    <row r="2986" spans="1:1" x14ac:dyDescent="0.5">
      <c r="A2986" s="15" t="str">
        <f t="shared" ca="1" si="47"/>
        <v/>
      </c>
    </row>
    <row r="2987" spans="1:1" x14ac:dyDescent="0.5">
      <c r="A2987" s="15" t="str">
        <f t="shared" ca="1" si="47"/>
        <v/>
      </c>
    </row>
    <row r="2988" spans="1:1" x14ac:dyDescent="0.5">
      <c r="A2988" s="15" t="str">
        <f t="shared" ca="1" si="47"/>
        <v/>
      </c>
    </row>
    <row r="2989" spans="1:1" x14ac:dyDescent="0.5">
      <c r="A2989" s="15" t="str">
        <f t="shared" ca="1" si="47"/>
        <v/>
      </c>
    </row>
    <row r="2990" spans="1:1" x14ac:dyDescent="0.5">
      <c r="A2990" s="15" t="str">
        <f t="shared" ca="1" si="47"/>
        <v/>
      </c>
    </row>
    <row r="2991" spans="1:1" x14ac:dyDescent="0.5">
      <c r="A2991" s="15" t="str">
        <f t="shared" ca="1" si="47"/>
        <v/>
      </c>
    </row>
    <row r="2992" spans="1:1" x14ac:dyDescent="0.5">
      <c r="A2992" s="15" t="str">
        <f t="shared" ca="1" si="47"/>
        <v/>
      </c>
    </row>
    <row r="2993" spans="1:1" x14ac:dyDescent="0.5">
      <c r="A2993" s="15" t="str">
        <f t="shared" ca="1" si="47"/>
        <v/>
      </c>
    </row>
    <row r="2994" spans="1:1" x14ac:dyDescent="0.5">
      <c r="A2994" s="15" t="str">
        <f t="shared" ca="1" si="47"/>
        <v/>
      </c>
    </row>
    <row r="2995" spans="1:1" x14ac:dyDescent="0.5">
      <c r="A2995" s="15" t="str">
        <f t="shared" ca="1" si="47"/>
        <v/>
      </c>
    </row>
    <row r="2996" spans="1:1" x14ac:dyDescent="0.5">
      <c r="A2996" s="15" t="str">
        <f t="shared" ca="1" si="47"/>
        <v/>
      </c>
    </row>
    <row r="2997" spans="1:1" x14ac:dyDescent="0.5">
      <c r="A2997" s="15" t="str">
        <f t="shared" ca="1" si="47"/>
        <v/>
      </c>
    </row>
    <row r="2998" spans="1:1" x14ac:dyDescent="0.5">
      <c r="A2998" s="15" t="str">
        <f t="shared" ca="1" si="47"/>
        <v/>
      </c>
    </row>
    <row r="2999" spans="1:1" x14ac:dyDescent="0.5">
      <c r="A2999" s="15" t="str">
        <f t="shared" ca="1" si="47"/>
        <v/>
      </c>
    </row>
    <row r="3000" spans="1:1" x14ac:dyDescent="0.5">
      <c r="A3000" s="15" t="str">
        <f t="shared" ca="1" si="47"/>
        <v/>
      </c>
    </row>
    <row r="3001" spans="1:1" x14ac:dyDescent="0.5">
      <c r="A3001" s="15" t="str">
        <f t="shared" ca="1" si="47"/>
        <v/>
      </c>
    </row>
    <row r="3002" spans="1:1" x14ac:dyDescent="0.5">
      <c r="A3002" s="15" t="str">
        <f t="shared" ca="1" si="47"/>
        <v/>
      </c>
    </row>
    <row r="3003" spans="1:1" x14ac:dyDescent="0.5">
      <c r="A3003" s="15" t="str">
        <f t="shared" ca="1" si="47"/>
        <v/>
      </c>
    </row>
    <row r="3004" spans="1:1" x14ac:dyDescent="0.5">
      <c r="A3004" s="15" t="str">
        <f t="shared" ca="1" si="47"/>
        <v/>
      </c>
    </row>
    <row r="3005" spans="1:1" x14ac:dyDescent="0.5">
      <c r="A3005" s="15" t="str">
        <f t="shared" ca="1" si="47"/>
        <v/>
      </c>
    </row>
    <row r="3006" spans="1:1" x14ac:dyDescent="0.5">
      <c r="A3006" s="15" t="str">
        <f t="shared" ca="1" si="47"/>
        <v/>
      </c>
    </row>
    <row r="3007" spans="1:1" x14ac:dyDescent="0.5">
      <c r="A3007" s="15" t="str">
        <f t="shared" ca="1" si="47"/>
        <v/>
      </c>
    </row>
    <row r="3008" spans="1:1" x14ac:dyDescent="0.5">
      <c r="A3008" s="15" t="str">
        <f t="shared" ca="1" si="47"/>
        <v/>
      </c>
    </row>
    <row r="3009" spans="1:1" x14ac:dyDescent="0.5">
      <c r="A3009" s="15" t="str">
        <f t="shared" ca="1" si="47"/>
        <v/>
      </c>
    </row>
    <row r="3010" spans="1:1" x14ac:dyDescent="0.5">
      <c r="A3010" s="15" t="str">
        <f t="shared" ca="1" si="47"/>
        <v/>
      </c>
    </row>
    <row r="3011" spans="1:1" x14ac:dyDescent="0.5">
      <c r="A3011" s="15" t="str">
        <f t="shared" ca="1" si="47"/>
        <v/>
      </c>
    </row>
    <row r="3012" spans="1:1" x14ac:dyDescent="0.5">
      <c r="A3012" s="15" t="str">
        <f t="shared" ca="1" si="47"/>
        <v/>
      </c>
    </row>
    <row r="3013" spans="1:1" x14ac:dyDescent="0.5">
      <c r="A3013" s="15" t="str">
        <f t="shared" ca="1" si="47"/>
        <v/>
      </c>
    </row>
    <row r="3014" spans="1:1" x14ac:dyDescent="0.5">
      <c r="A3014" s="15" t="str">
        <f t="shared" ca="1" si="47"/>
        <v/>
      </c>
    </row>
    <row r="3015" spans="1:1" x14ac:dyDescent="0.5">
      <c r="A3015" s="15" t="str">
        <f t="shared" ca="1" si="47"/>
        <v/>
      </c>
    </row>
    <row r="3016" spans="1:1" x14ac:dyDescent="0.5">
      <c r="A3016" s="15" t="str">
        <f t="shared" ca="1" si="47"/>
        <v/>
      </c>
    </row>
    <row r="3017" spans="1:1" x14ac:dyDescent="0.5">
      <c r="A3017" s="15" t="str">
        <f t="shared" ca="1" si="47"/>
        <v/>
      </c>
    </row>
    <row r="3018" spans="1:1" x14ac:dyDescent="0.5">
      <c r="A3018" s="15" t="str">
        <f t="shared" ca="1" si="47"/>
        <v/>
      </c>
    </row>
    <row r="3019" spans="1:1" x14ac:dyDescent="0.5">
      <c r="A3019" s="15" t="str">
        <f t="shared" ca="1" si="47"/>
        <v/>
      </c>
    </row>
    <row r="3020" spans="1:1" x14ac:dyDescent="0.5">
      <c r="A3020" s="15" t="str">
        <f t="shared" ca="1" si="47"/>
        <v/>
      </c>
    </row>
    <row r="3021" spans="1:1" x14ac:dyDescent="0.5">
      <c r="A3021" s="15" t="str">
        <f t="shared" ref="A3021:A3084" ca="1" si="48">IF(ROW()-12&lt;=$B$7,_xlfn.NORM.INV(RAND(),$B$5,$B$6),"")</f>
        <v/>
      </c>
    </row>
    <row r="3022" spans="1:1" x14ac:dyDescent="0.5">
      <c r="A3022" s="15" t="str">
        <f t="shared" ca="1" si="48"/>
        <v/>
      </c>
    </row>
    <row r="3023" spans="1:1" x14ac:dyDescent="0.5">
      <c r="A3023" s="15" t="str">
        <f t="shared" ca="1" si="48"/>
        <v/>
      </c>
    </row>
    <row r="3024" spans="1:1" x14ac:dyDescent="0.5">
      <c r="A3024" s="15" t="str">
        <f t="shared" ca="1" si="48"/>
        <v/>
      </c>
    </row>
    <row r="3025" spans="1:1" x14ac:dyDescent="0.5">
      <c r="A3025" s="15" t="str">
        <f t="shared" ca="1" si="48"/>
        <v/>
      </c>
    </row>
    <row r="3026" spans="1:1" x14ac:dyDescent="0.5">
      <c r="A3026" s="15" t="str">
        <f t="shared" ca="1" si="48"/>
        <v/>
      </c>
    </row>
    <row r="3027" spans="1:1" x14ac:dyDescent="0.5">
      <c r="A3027" s="15" t="str">
        <f t="shared" ca="1" si="48"/>
        <v/>
      </c>
    </row>
    <row r="3028" spans="1:1" x14ac:dyDescent="0.5">
      <c r="A3028" s="15" t="str">
        <f t="shared" ca="1" si="48"/>
        <v/>
      </c>
    </row>
    <row r="3029" spans="1:1" x14ac:dyDescent="0.5">
      <c r="A3029" s="15" t="str">
        <f t="shared" ca="1" si="48"/>
        <v/>
      </c>
    </row>
    <row r="3030" spans="1:1" x14ac:dyDescent="0.5">
      <c r="A3030" s="15" t="str">
        <f t="shared" ca="1" si="48"/>
        <v/>
      </c>
    </row>
    <row r="3031" spans="1:1" x14ac:dyDescent="0.5">
      <c r="A3031" s="15" t="str">
        <f t="shared" ca="1" si="48"/>
        <v/>
      </c>
    </row>
    <row r="3032" spans="1:1" x14ac:dyDescent="0.5">
      <c r="A3032" s="15" t="str">
        <f t="shared" ca="1" si="48"/>
        <v/>
      </c>
    </row>
    <row r="3033" spans="1:1" x14ac:dyDescent="0.5">
      <c r="A3033" s="15" t="str">
        <f t="shared" ca="1" si="48"/>
        <v/>
      </c>
    </row>
    <row r="3034" spans="1:1" x14ac:dyDescent="0.5">
      <c r="A3034" s="15" t="str">
        <f t="shared" ca="1" si="48"/>
        <v/>
      </c>
    </row>
    <row r="3035" spans="1:1" x14ac:dyDescent="0.5">
      <c r="A3035" s="15" t="str">
        <f t="shared" ca="1" si="48"/>
        <v/>
      </c>
    </row>
    <row r="3036" spans="1:1" x14ac:dyDescent="0.5">
      <c r="A3036" s="15" t="str">
        <f t="shared" ca="1" si="48"/>
        <v/>
      </c>
    </row>
    <row r="3037" spans="1:1" x14ac:dyDescent="0.5">
      <c r="A3037" s="15" t="str">
        <f t="shared" ca="1" si="48"/>
        <v/>
      </c>
    </row>
    <row r="3038" spans="1:1" x14ac:dyDescent="0.5">
      <c r="A3038" s="15" t="str">
        <f t="shared" ca="1" si="48"/>
        <v/>
      </c>
    </row>
    <row r="3039" spans="1:1" x14ac:dyDescent="0.5">
      <c r="A3039" s="15" t="str">
        <f t="shared" ca="1" si="48"/>
        <v/>
      </c>
    </row>
    <row r="3040" spans="1:1" x14ac:dyDescent="0.5">
      <c r="A3040" s="15" t="str">
        <f t="shared" ca="1" si="48"/>
        <v/>
      </c>
    </row>
    <row r="3041" spans="1:1" x14ac:dyDescent="0.5">
      <c r="A3041" s="15" t="str">
        <f t="shared" ca="1" si="48"/>
        <v/>
      </c>
    </row>
    <row r="3042" spans="1:1" x14ac:dyDescent="0.5">
      <c r="A3042" s="15" t="str">
        <f t="shared" ca="1" si="48"/>
        <v/>
      </c>
    </row>
    <row r="3043" spans="1:1" x14ac:dyDescent="0.5">
      <c r="A3043" s="15" t="str">
        <f t="shared" ca="1" si="48"/>
        <v/>
      </c>
    </row>
    <row r="3044" spans="1:1" x14ac:dyDescent="0.5">
      <c r="A3044" s="15" t="str">
        <f t="shared" ca="1" si="48"/>
        <v/>
      </c>
    </row>
    <row r="3045" spans="1:1" x14ac:dyDescent="0.5">
      <c r="A3045" s="15" t="str">
        <f t="shared" ca="1" si="48"/>
        <v/>
      </c>
    </row>
    <row r="3046" spans="1:1" x14ac:dyDescent="0.5">
      <c r="A3046" s="15" t="str">
        <f t="shared" ca="1" si="48"/>
        <v/>
      </c>
    </row>
    <row r="3047" spans="1:1" x14ac:dyDescent="0.5">
      <c r="A3047" s="15" t="str">
        <f t="shared" ca="1" si="48"/>
        <v/>
      </c>
    </row>
    <row r="3048" spans="1:1" x14ac:dyDescent="0.5">
      <c r="A3048" s="15" t="str">
        <f t="shared" ca="1" si="48"/>
        <v/>
      </c>
    </row>
    <row r="3049" spans="1:1" x14ac:dyDescent="0.5">
      <c r="A3049" s="15" t="str">
        <f t="shared" ca="1" si="48"/>
        <v/>
      </c>
    </row>
    <row r="3050" spans="1:1" x14ac:dyDescent="0.5">
      <c r="A3050" s="15" t="str">
        <f t="shared" ca="1" si="48"/>
        <v/>
      </c>
    </row>
    <row r="3051" spans="1:1" x14ac:dyDescent="0.5">
      <c r="A3051" s="15" t="str">
        <f t="shared" ca="1" si="48"/>
        <v/>
      </c>
    </row>
    <row r="3052" spans="1:1" x14ac:dyDescent="0.5">
      <c r="A3052" s="15" t="str">
        <f t="shared" ca="1" si="48"/>
        <v/>
      </c>
    </row>
    <row r="3053" spans="1:1" x14ac:dyDescent="0.5">
      <c r="A3053" s="15" t="str">
        <f t="shared" ca="1" si="48"/>
        <v/>
      </c>
    </row>
    <row r="3054" spans="1:1" x14ac:dyDescent="0.5">
      <c r="A3054" s="15" t="str">
        <f t="shared" ca="1" si="48"/>
        <v/>
      </c>
    </row>
    <row r="3055" spans="1:1" x14ac:dyDescent="0.5">
      <c r="A3055" s="15" t="str">
        <f t="shared" ca="1" si="48"/>
        <v/>
      </c>
    </row>
    <row r="3056" spans="1:1" x14ac:dyDescent="0.5">
      <c r="A3056" s="15" t="str">
        <f t="shared" ca="1" si="48"/>
        <v/>
      </c>
    </row>
    <row r="3057" spans="1:1" x14ac:dyDescent="0.5">
      <c r="A3057" s="15" t="str">
        <f t="shared" ca="1" si="48"/>
        <v/>
      </c>
    </row>
    <row r="3058" spans="1:1" x14ac:dyDescent="0.5">
      <c r="A3058" s="15" t="str">
        <f t="shared" ca="1" si="48"/>
        <v/>
      </c>
    </row>
    <row r="3059" spans="1:1" x14ac:dyDescent="0.5">
      <c r="A3059" s="15" t="str">
        <f t="shared" ca="1" si="48"/>
        <v/>
      </c>
    </row>
    <row r="3060" spans="1:1" x14ac:dyDescent="0.5">
      <c r="A3060" s="15" t="str">
        <f t="shared" ca="1" si="48"/>
        <v/>
      </c>
    </row>
    <row r="3061" spans="1:1" x14ac:dyDescent="0.5">
      <c r="A3061" s="15" t="str">
        <f t="shared" ca="1" si="48"/>
        <v/>
      </c>
    </row>
    <row r="3062" spans="1:1" x14ac:dyDescent="0.5">
      <c r="A3062" s="15" t="str">
        <f t="shared" ca="1" si="48"/>
        <v/>
      </c>
    </row>
    <row r="3063" spans="1:1" x14ac:dyDescent="0.5">
      <c r="A3063" s="15" t="str">
        <f t="shared" ca="1" si="48"/>
        <v/>
      </c>
    </row>
    <row r="3064" spans="1:1" x14ac:dyDescent="0.5">
      <c r="A3064" s="15" t="str">
        <f t="shared" ca="1" si="48"/>
        <v/>
      </c>
    </row>
    <row r="3065" spans="1:1" x14ac:dyDescent="0.5">
      <c r="A3065" s="15" t="str">
        <f t="shared" ca="1" si="48"/>
        <v/>
      </c>
    </row>
    <row r="3066" spans="1:1" x14ac:dyDescent="0.5">
      <c r="A3066" s="15" t="str">
        <f t="shared" ca="1" si="48"/>
        <v/>
      </c>
    </row>
    <row r="3067" spans="1:1" x14ac:dyDescent="0.5">
      <c r="A3067" s="15" t="str">
        <f t="shared" ca="1" si="48"/>
        <v/>
      </c>
    </row>
    <row r="3068" spans="1:1" x14ac:dyDescent="0.5">
      <c r="A3068" s="15" t="str">
        <f t="shared" ca="1" si="48"/>
        <v/>
      </c>
    </row>
    <row r="3069" spans="1:1" x14ac:dyDescent="0.5">
      <c r="A3069" s="15" t="str">
        <f t="shared" ca="1" si="48"/>
        <v/>
      </c>
    </row>
    <row r="3070" spans="1:1" x14ac:dyDescent="0.5">
      <c r="A3070" s="15" t="str">
        <f t="shared" ca="1" si="48"/>
        <v/>
      </c>
    </row>
    <row r="3071" spans="1:1" x14ac:dyDescent="0.5">
      <c r="A3071" s="15" t="str">
        <f t="shared" ca="1" si="48"/>
        <v/>
      </c>
    </row>
    <row r="3072" spans="1:1" x14ac:dyDescent="0.5">
      <c r="A3072" s="15" t="str">
        <f t="shared" ca="1" si="48"/>
        <v/>
      </c>
    </row>
    <row r="3073" spans="1:1" x14ac:dyDescent="0.5">
      <c r="A3073" s="15" t="str">
        <f t="shared" ca="1" si="48"/>
        <v/>
      </c>
    </row>
    <row r="3074" spans="1:1" x14ac:dyDescent="0.5">
      <c r="A3074" s="15" t="str">
        <f t="shared" ca="1" si="48"/>
        <v/>
      </c>
    </row>
    <row r="3075" spans="1:1" x14ac:dyDescent="0.5">
      <c r="A3075" s="15" t="str">
        <f t="shared" ca="1" si="48"/>
        <v/>
      </c>
    </row>
    <row r="3076" spans="1:1" x14ac:dyDescent="0.5">
      <c r="A3076" s="15" t="str">
        <f t="shared" ca="1" si="48"/>
        <v/>
      </c>
    </row>
    <row r="3077" spans="1:1" x14ac:dyDescent="0.5">
      <c r="A3077" s="15" t="str">
        <f t="shared" ca="1" si="48"/>
        <v/>
      </c>
    </row>
    <row r="3078" spans="1:1" x14ac:dyDescent="0.5">
      <c r="A3078" s="15" t="str">
        <f t="shared" ca="1" si="48"/>
        <v/>
      </c>
    </row>
    <row r="3079" spans="1:1" x14ac:dyDescent="0.5">
      <c r="A3079" s="15" t="str">
        <f t="shared" ca="1" si="48"/>
        <v/>
      </c>
    </row>
    <row r="3080" spans="1:1" x14ac:dyDescent="0.5">
      <c r="A3080" s="15" t="str">
        <f t="shared" ca="1" si="48"/>
        <v/>
      </c>
    </row>
    <row r="3081" spans="1:1" x14ac:dyDescent="0.5">
      <c r="A3081" s="15" t="str">
        <f t="shared" ca="1" si="48"/>
        <v/>
      </c>
    </row>
    <row r="3082" spans="1:1" x14ac:dyDescent="0.5">
      <c r="A3082" s="15" t="str">
        <f t="shared" ca="1" si="48"/>
        <v/>
      </c>
    </row>
    <row r="3083" spans="1:1" x14ac:dyDescent="0.5">
      <c r="A3083" s="15" t="str">
        <f t="shared" ca="1" si="48"/>
        <v/>
      </c>
    </row>
    <row r="3084" spans="1:1" x14ac:dyDescent="0.5">
      <c r="A3084" s="15" t="str">
        <f t="shared" ca="1" si="48"/>
        <v/>
      </c>
    </row>
    <row r="3085" spans="1:1" x14ac:dyDescent="0.5">
      <c r="A3085" s="15" t="str">
        <f t="shared" ref="A3085:A3148" ca="1" si="49">IF(ROW()-12&lt;=$B$7,_xlfn.NORM.INV(RAND(),$B$5,$B$6),"")</f>
        <v/>
      </c>
    </row>
    <row r="3086" spans="1:1" x14ac:dyDescent="0.5">
      <c r="A3086" s="15" t="str">
        <f t="shared" ca="1" si="49"/>
        <v/>
      </c>
    </row>
    <row r="3087" spans="1:1" x14ac:dyDescent="0.5">
      <c r="A3087" s="15" t="str">
        <f t="shared" ca="1" si="49"/>
        <v/>
      </c>
    </row>
    <row r="3088" spans="1:1" x14ac:dyDescent="0.5">
      <c r="A3088" s="15" t="str">
        <f t="shared" ca="1" si="49"/>
        <v/>
      </c>
    </row>
    <row r="3089" spans="1:1" x14ac:dyDescent="0.5">
      <c r="A3089" s="15" t="str">
        <f t="shared" ca="1" si="49"/>
        <v/>
      </c>
    </row>
    <row r="3090" spans="1:1" x14ac:dyDescent="0.5">
      <c r="A3090" s="15" t="str">
        <f t="shared" ca="1" si="49"/>
        <v/>
      </c>
    </row>
    <row r="3091" spans="1:1" x14ac:dyDescent="0.5">
      <c r="A3091" s="15" t="str">
        <f t="shared" ca="1" si="49"/>
        <v/>
      </c>
    </row>
    <row r="3092" spans="1:1" x14ac:dyDescent="0.5">
      <c r="A3092" s="15" t="str">
        <f t="shared" ca="1" si="49"/>
        <v/>
      </c>
    </row>
    <row r="3093" spans="1:1" x14ac:dyDescent="0.5">
      <c r="A3093" s="15" t="str">
        <f t="shared" ca="1" si="49"/>
        <v/>
      </c>
    </row>
    <row r="3094" spans="1:1" x14ac:dyDescent="0.5">
      <c r="A3094" s="15" t="str">
        <f t="shared" ca="1" si="49"/>
        <v/>
      </c>
    </row>
    <row r="3095" spans="1:1" x14ac:dyDescent="0.5">
      <c r="A3095" s="15" t="str">
        <f t="shared" ca="1" si="49"/>
        <v/>
      </c>
    </row>
    <row r="3096" spans="1:1" x14ac:dyDescent="0.5">
      <c r="A3096" s="15" t="str">
        <f t="shared" ca="1" si="49"/>
        <v/>
      </c>
    </row>
    <row r="3097" spans="1:1" x14ac:dyDescent="0.5">
      <c r="A3097" s="15" t="str">
        <f t="shared" ca="1" si="49"/>
        <v/>
      </c>
    </row>
    <row r="3098" spans="1:1" x14ac:dyDescent="0.5">
      <c r="A3098" s="15" t="str">
        <f t="shared" ca="1" si="49"/>
        <v/>
      </c>
    </row>
    <row r="3099" spans="1:1" x14ac:dyDescent="0.5">
      <c r="A3099" s="15" t="str">
        <f t="shared" ca="1" si="49"/>
        <v/>
      </c>
    </row>
    <row r="3100" spans="1:1" x14ac:dyDescent="0.5">
      <c r="A3100" s="15" t="str">
        <f t="shared" ca="1" si="49"/>
        <v/>
      </c>
    </row>
    <row r="3101" spans="1:1" x14ac:dyDescent="0.5">
      <c r="A3101" s="15" t="str">
        <f t="shared" ca="1" si="49"/>
        <v/>
      </c>
    </row>
    <row r="3102" spans="1:1" x14ac:dyDescent="0.5">
      <c r="A3102" s="15" t="str">
        <f t="shared" ca="1" si="49"/>
        <v/>
      </c>
    </row>
    <row r="3103" spans="1:1" x14ac:dyDescent="0.5">
      <c r="A3103" s="15" t="str">
        <f t="shared" ca="1" si="49"/>
        <v/>
      </c>
    </row>
    <row r="3104" spans="1:1" x14ac:dyDescent="0.5">
      <c r="A3104" s="15" t="str">
        <f t="shared" ca="1" si="49"/>
        <v/>
      </c>
    </row>
    <row r="3105" spans="1:1" x14ac:dyDescent="0.5">
      <c r="A3105" s="15" t="str">
        <f t="shared" ca="1" si="49"/>
        <v/>
      </c>
    </row>
    <row r="3106" spans="1:1" x14ac:dyDescent="0.5">
      <c r="A3106" s="15" t="str">
        <f t="shared" ca="1" si="49"/>
        <v/>
      </c>
    </row>
    <row r="3107" spans="1:1" x14ac:dyDescent="0.5">
      <c r="A3107" s="15" t="str">
        <f t="shared" ca="1" si="49"/>
        <v/>
      </c>
    </row>
    <row r="3108" spans="1:1" x14ac:dyDescent="0.5">
      <c r="A3108" s="15" t="str">
        <f t="shared" ca="1" si="49"/>
        <v/>
      </c>
    </row>
    <row r="3109" spans="1:1" x14ac:dyDescent="0.5">
      <c r="A3109" s="15" t="str">
        <f t="shared" ca="1" si="49"/>
        <v/>
      </c>
    </row>
    <row r="3110" spans="1:1" x14ac:dyDescent="0.5">
      <c r="A3110" s="15" t="str">
        <f t="shared" ca="1" si="49"/>
        <v/>
      </c>
    </row>
    <row r="3111" spans="1:1" x14ac:dyDescent="0.5">
      <c r="A3111" s="15" t="str">
        <f t="shared" ca="1" si="49"/>
        <v/>
      </c>
    </row>
    <row r="3112" spans="1:1" x14ac:dyDescent="0.5">
      <c r="A3112" s="15" t="str">
        <f t="shared" ca="1" si="49"/>
        <v/>
      </c>
    </row>
    <row r="3113" spans="1:1" x14ac:dyDescent="0.5">
      <c r="A3113" s="15" t="str">
        <f t="shared" ca="1" si="49"/>
        <v/>
      </c>
    </row>
    <row r="3114" spans="1:1" x14ac:dyDescent="0.5">
      <c r="A3114" s="15" t="str">
        <f t="shared" ca="1" si="49"/>
        <v/>
      </c>
    </row>
    <row r="3115" spans="1:1" x14ac:dyDescent="0.5">
      <c r="A3115" s="15" t="str">
        <f t="shared" ca="1" si="49"/>
        <v/>
      </c>
    </row>
    <row r="3116" spans="1:1" x14ac:dyDescent="0.5">
      <c r="A3116" s="15" t="str">
        <f t="shared" ca="1" si="49"/>
        <v/>
      </c>
    </row>
    <row r="3117" spans="1:1" x14ac:dyDescent="0.5">
      <c r="A3117" s="15" t="str">
        <f t="shared" ca="1" si="49"/>
        <v/>
      </c>
    </row>
    <row r="3118" spans="1:1" x14ac:dyDescent="0.5">
      <c r="A3118" s="15" t="str">
        <f t="shared" ca="1" si="49"/>
        <v/>
      </c>
    </row>
    <row r="3119" spans="1:1" x14ac:dyDescent="0.5">
      <c r="A3119" s="15" t="str">
        <f t="shared" ca="1" si="49"/>
        <v/>
      </c>
    </row>
    <row r="3120" spans="1:1" x14ac:dyDescent="0.5">
      <c r="A3120" s="15" t="str">
        <f t="shared" ca="1" si="49"/>
        <v/>
      </c>
    </row>
    <row r="3121" spans="1:1" x14ac:dyDescent="0.5">
      <c r="A3121" s="15" t="str">
        <f t="shared" ca="1" si="49"/>
        <v/>
      </c>
    </row>
    <row r="3122" spans="1:1" x14ac:dyDescent="0.5">
      <c r="A3122" s="15" t="str">
        <f t="shared" ca="1" si="49"/>
        <v/>
      </c>
    </row>
    <row r="3123" spans="1:1" x14ac:dyDescent="0.5">
      <c r="A3123" s="15" t="str">
        <f t="shared" ca="1" si="49"/>
        <v/>
      </c>
    </row>
    <row r="3124" spans="1:1" x14ac:dyDescent="0.5">
      <c r="A3124" s="15" t="str">
        <f t="shared" ca="1" si="49"/>
        <v/>
      </c>
    </row>
    <row r="3125" spans="1:1" x14ac:dyDescent="0.5">
      <c r="A3125" s="15" t="str">
        <f t="shared" ca="1" si="49"/>
        <v/>
      </c>
    </row>
    <row r="3126" spans="1:1" x14ac:dyDescent="0.5">
      <c r="A3126" s="15" t="str">
        <f t="shared" ca="1" si="49"/>
        <v/>
      </c>
    </row>
    <row r="3127" spans="1:1" x14ac:dyDescent="0.5">
      <c r="A3127" s="15" t="str">
        <f t="shared" ca="1" si="49"/>
        <v/>
      </c>
    </row>
    <row r="3128" spans="1:1" x14ac:dyDescent="0.5">
      <c r="A3128" s="15" t="str">
        <f t="shared" ca="1" si="49"/>
        <v/>
      </c>
    </row>
    <row r="3129" spans="1:1" x14ac:dyDescent="0.5">
      <c r="A3129" s="15" t="str">
        <f t="shared" ca="1" si="49"/>
        <v/>
      </c>
    </row>
    <row r="3130" spans="1:1" x14ac:dyDescent="0.5">
      <c r="A3130" s="15" t="str">
        <f t="shared" ca="1" si="49"/>
        <v/>
      </c>
    </row>
    <row r="3131" spans="1:1" x14ac:dyDescent="0.5">
      <c r="A3131" s="15" t="str">
        <f t="shared" ca="1" si="49"/>
        <v/>
      </c>
    </row>
    <row r="3132" spans="1:1" x14ac:dyDescent="0.5">
      <c r="A3132" s="15" t="str">
        <f t="shared" ca="1" si="49"/>
        <v/>
      </c>
    </row>
    <row r="3133" spans="1:1" x14ac:dyDescent="0.5">
      <c r="A3133" s="15" t="str">
        <f t="shared" ca="1" si="49"/>
        <v/>
      </c>
    </row>
    <row r="3134" spans="1:1" x14ac:dyDescent="0.5">
      <c r="A3134" s="15" t="str">
        <f t="shared" ca="1" si="49"/>
        <v/>
      </c>
    </row>
    <row r="3135" spans="1:1" x14ac:dyDescent="0.5">
      <c r="A3135" s="15" t="str">
        <f t="shared" ca="1" si="49"/>
        <v/>
      </c>
    </row>
    <row r="3136" spans="1:1" x14ac:dyDescent="0.5">
      <c r="A3136" s="15" t="str">
        <f t="shared" ca="1" si="49"/>
        <v/>
      </c>
    </row>
    <row r="3137" spans="1:1" x14ac:dyDescent="0.5">
      <c r="A3137" s="15" t="str">
        <f t="shared" ca="1" si="49"/>
        <v/>
      </c>
    </row>
    <row r="3138" spans="1:1" x14ac:dyDescent="0.5">
      <c r="A3138" s="15" t="str">
        <f t="shared" ca="1" si="49"/>
        <v/>
      </c>
    </row>
    <row r="3139" spans="1:1" x14ac:dyDescent="0.5">
      <c r="A3139" s="15" t="str">
        <f t="shared" ca="1" si="49"/>
        <v/>
      </c>
    </row>
    <row r="3140" spans="1:1" x14ac:dyDescent="0.5">
      <c r="A3140" s="15" t="str">
        <f t="shared" ca="1" si="49"/>
        <v/>
      </c>
    </row>
    <row r="3141" spans="1:1" x14ac:dyDescent="0.5">
      <c r="A3141" s="15" t="str">
        <f t="shared" ca="1" si="49"/>
        <v/>
      </c>
    </row>
    <row r="3142" spans="1:1" x14ac:dyDescent="0.5">
      <c r="A3142" s="15" t="str">
        <f t="shared" ca="1" si="49"/>
        <v/>
      </c>
    </row>
    <row r="3143" spans="1:1" x14ac:dyDescent="0.5">
      <c r="A3143" s="15" t="str">
        <f t="shared" ca="1" si="49"/>
        <v/>
      </c>
    </row>
    <row r="3144" spans="1:1" x14ac:dyDescent="0.5">
      <c r="A3144" s="15" t="str">
        <f t="shared" ca="1" si="49"/>
        <v/>
      </c>
    </row>
    <row r="3145" spans="1:1" x14ac:dyDescent="0.5">
      <c r="A3145" s="15" t="str">
        <f t="shared" ca="1" si="49"/>
        <v/>
      </c>
    </row>
    <row r="3146" spans="1:1" x14ac:dyDescent="0.5">
      <c r="A3146" s="15" t="str">
        <f t="shared" ca="1" si="49"/>
        <v/>
      </c>
    </row>
    <row r="3147" spans="1:1" x14ac:dyDescent="0.5">
      <c r="A3147" s="15" t="str">
        <f t="shared" ca="1" si="49"/>
        <v/>
      </c>
    </row>
    <row r="3148" spans="1:1" x14ac:dyDescent="0.5">
      <c r="A3148" s="15" t="str">
        <f t="shared" ca="1" si="49"/>
        <v/>
      </c>
    </row>
    <row r="3149" spans="1:1" x14ac:dyDescent="0.5">
      <c r="A3149" s="15" t="str">
        <f t="shared" ref="A3149:A3212" ca="1" si="50">IF(ROW()-12&lt;=$B$7,_xlfn.NORM.INV(RAND(),$B$5,$B$6),"")</f>
        <v/>
      </c>
    </row>
    <row r="3150" spans="1:1" x14ac:dyDescent="0.5">
      <c r="A3150" s="15" t="str">
        <f t="shared" ca="1" si="50"/>
        <v/>
      </c>
    </row>
    <row r="3151" spans="1:1" x14ac:dyDescent="0.5">
      <c r="A3151" s="15" t="str">
        <f t="shared" ca="1" si="50"/>
        <v/>
      </c>
    </row>
    <row r="3152" spans="1:1" x14ac:dyDescent="0.5">
      <c r="A3152" s="15" t="str">
        <f t="shared" ca="1" si="50"/>
        <v/>
      </c>
    </row>
    <row r="3153" spans="1:1" x14ac:dyDescent="0.5">
      <c r="A3153" s="15" t="str">
        <f t="shared" ca="1" si="50"/>
        <v/>
      </c>
    </row>
    <row r="3154" spans="1:1" x14ac:dyDescent="0.5">
      <c r="A3154" s="15" t="str">
        <f t="shared" ca="1" si="50"/>
        <v/>
      </c>
    </row>
    <row r="3155" spans="1:1" x14ac:dyDescent="0.5">
      <c r="A3155" s="15" t="str">
        <f t="shared" ca="1" si="50"/>
        <v/>
      </c>
    </row>
    <row r="3156" spans="1:1" x14ac:dyDescent="0.5">
      <c r="A3156" s="15" t="str">
        <f t="shared" ca="1" si="50"/>
        <v/>
      </c>
    </row>
    <row r="3157" spans="1:1" x14ac:dyDescent="0.5">
      <c r="A3157" s="15" t="str">
        <f t="shared" ca="1" si="50"/>
        <v/>
      </c>
    </row>
    <row r="3158" spans="1:1" x14ac:dyDescent="0.5">
      <c r="A3158" s="15" t="str">
        <f t="shared" ca="1" si="50"/>
        <v/>
      </c>
    </row>
    <row r="3159" spans="1:1" x14ac:dyDescent="0.5">
      <c r="A3159" s="15" t="str">
        <f t="shared" ca="1" si="50"/>
        <v/>
      </c>
    </row>
    <row r="3160" spans="1:1" x14ac:dyDescent="0.5">
      <c r="A3160" s="15" t="str">
        <f t="shared" ca="1" si="50"/>
        <v/>
      </c>
    </row>
    <row r="3161" spans="1:1" x14ac:dyDescent="0.5">
      <c r="A3161" s="15" t="str">
        <f t="shared" ca="1" si="50"/>
        <v/>
      </c>
    </row>
    <row r="3162" spans="1:1" x14ac:dyDescent="0.5">
      <c r="A3162" s="15" t="str">
        <f t="shared" ca="1" si="50"/>
        <v/>
      </c>
    </row>
    <row r="3163" spans="1:1" x14ac:dyDescent="0.5">
      <c r="A3163" s="15" t="str">
        <f t="shared" ca="1" si="50"/>
        <v/>
      </c>
    </row>
    <row r="3164" spans="1:1" x14ac:dyDescent="0.5">
      <c r="A3164" s="15" t="str">
        <f t="shared" ca="1" si="50"/>
        <v/>
      </c>
    </row>
    <row r="3165" spans="1:1" x14ac:dyDescent="0.5">
      <c r="A3165" s="15" t="str">
        <f t="shared" ca="1" si="50"/>
        <v/>
      </c>
    </row>
    <row r="3166" spans="1:1" x14ac:dyDescent="0.5">
      <c r="A3166" s="15" t="str">
        <f t="shared" ca="1" si="50"/>
        <v/>
      </c>
    </row>
    <row r="3167" spans="1:1" x14ac:dyDescent="0.5">
      <c r="A3167" s="15" t="str">
        <f t="shared" ca="1" si="50"/>
        <v/>
      </c>
    </row>
    <row r="3168" spans="1:1" x14ac:dyDescent="0.5">
      <c r="A3168" s="15" t="str">
        <f t="shared" ca="1" si="50"/>
        <v/>
      </c>
    </row>
    <row r="3169" spans="1:1" x14ac:dyDescent="0.5">
      <c r="A3169" s="15" t="str">
        <f t="shared" ca="1" si="50"/>
        <v/>
      </c>
    </row>
    <row r="3170" spans="1:1" x14ac:dyDescent="0.5">
      <c r="A3170" s="15" t="str">
        <f t="shared" ca="1" si="50"/>
        <v/>
      </c>
    </row>
    <row r="3171" spans="1:1" x14ac:dyDescent="0.5">
      <c r="A3171" s="15" t="str">
        <f t="shared" ca="1" si="50"/>
        <v/>
      </c>
    </row>
    <row r="3172" spans="1:1" x14ac:dyDescent="0.5">
      <c r="A3172" s="15" t="str">
        <f t="shared" ca="1" si="50"/>
        <v/>
      </c>
    </row>
    <row r="3173" spans="1:1" x14ac:dyDescent="0.5">
      <c r="A3173" s="15" t="str">
        <f t="shared" ca="1" si="50"/>
        <v/>
      </c>
    </row>
    <row r="3174" spans="1:1" x14ac:dyDescent="0.5">
      <c r="A3174" s="15" t="str">
        <f t="shared" ca="1" si="50"/>
        <v/>
      </c>
    </row>
    <row r="3175" spans="1:1" x14ac:dyDescent="0.5">
      <c r="A3175" s="15" t="str">
        <f t="shared" ca="1" si="50"/>
        <v/>
      </c>
    </row>
    <row r="3176" spans="1:1" x14ac:dyDescent="0.5">
      <c r="A3176" s="15" t="str">
        <f t="shared" ca="1" si="50"/>
        <v/>
      </c>
    </row>
    <row r="3177" spans="1:1" x14ac:dyDescent="0.5">
      <c r="A3177" s="15" t="str">
        <f t="shared" ca="1" si="50"/>
        <v/>
      </c>
    </row>
    <row r="3178" spans="1:1" x14ac:dyDescent="0.5">
      <c r="A3178" s="15" t="str">
        <f t="shared" ca="1" si="50"/>
        <v/>
      </c>
    </row>
    <row r="3179" spans="1:1" x14ac:dyDescent="0.5">
      <c r="A3179" s="15" t="str">
        <f t="shared" ca="1" si="50"/>
        <v/>
      </c>
    </row>
    <row r="3180" spans="1:1" x14ac:dyDescent="0.5">
      <c r="A3180" s="15" t="str">
        <f t="shared" ca="1" si="50"/>
        <v/>
      </c>
    </row>
    <row r="3181" spans="1:1" x14ac:dyDescent="0.5">
      <c r="A3181" s="15" t="str">
        <f t="shared" ca="1" si="50"/>
        <v/>
      </c>
    </row>
    <row r="3182" spans="1:1" x14ac:dyDescent="0.5">
      <c r="A3182" s="15" t="str">
        <f t="shared" ca="1" si="50"/>
        <v/>
      </c>
    </row>
    <row r="3183" spans="1:1" x14ac:dyDescent="0.5">
      <c r="A3183" s="15" t="str">
        <f t="shared" ca="1" si="50"/>
        <v/>
      </c>
    </row>
    <row r="3184" spans="1:1" x14ac:dyDescent="0.5">
      <c r="A3184" s="15" t="str">
        <f t="shared" ca="1" si="50"/>
        <v/>
      </c>
    </row>
    <row r="3185" spans="1:1" x14ac:dyDescent="0.5">
      <c r="A3185" s="15" t="str">
        <f t="shared" ca="1" si="50"/>
        <v/>
      </c>
    </row>
    <row r="3186" spans="1:1" x14ac:dyDescent="0.5">
      <c r="A3186" s="15" t="str">
        <f t="shared" ca="1" si="50"/>
        <v/>
      </c>
    </row>
    <row r="3187" spans="1:1" x14ac:dyDescent="0.5">
      <c r="A3187" s="15" t="str">
        <f t="shared" ca="1" si="50"/>
        <v/>
      </c>
    </row>
    <row r="3188" spans="1:1" x14ac:dyDescent="0.5">
      <c r="A3188" s="15" t="str">
        <f t="shared" ca="1" si="50"/>
        <v/>
      </c>
    </row>
    <row r="3189" spans="1:1" x14ac:dyDescent="0.5">
      <c r="A3189" s="15" t="str">
        <f t="shared" ca="1" si="50"/>
        <v/>
      </c>
    </row>
    <row r="3190" spans="1:1" x14ac:dyDescent="0.5">
      <c r="A3190" s="15" t="str">
        <f t="shared" ca="1" si="50"/>
        <v/>
      </c>
    </row>
    <row r="3191" spans="1:1" x14ac:dyDescent="0.5">
      <c r="A3191" s="15" t="str">
        <f t="shared" ca="1" si="50"/>
        <v/>
      </c>
    </row>
    <row r="3192" spans="1:1" x14ac:dyDescent="0.5">
      <c r="A3192" s="15" t="str">
        <f t="shared" ca="1" si="50"/>
        <v/>
      </c>
    </row>
    <row r="3193" spans="1:1" x14ac:dyDescent="0.5">
      <c r="A3193" s="15" t="str">
        <f t="shared" ca="1" si="50"/>
        <v/>
      </c>
    </row>
    <row r="3194" spans="1:1" x14ac:dyDescent="0.5">
      <c r="A3194" s="15" t="str">
        <f t="shared" ca="1" si="50"/>
        <v/>
      </c>
    </row>
    <row r="3195" spans="1:1" x14ac:dyDescent="0.5">
      <c r="A3195" s="15" t="str">
        <f t="shared" ca="1" si="50"/>
        <v/>
      </c>
    </row>
    <row r="3196" spans="1:1" x14ac:dyDescent="0.5">
      <c r="A3196" s="15" t="str">
        <f t="shared" ca="1" si="50"/>
        <v/>
      </c>
    </row>
    <row r="3197" spans="1:1" x14ac:dyDescent="0.5">
      <c r="A3197" s="15" t="str">
        <f t="shared" ca="1" si="50"/>
        <v/>
      </c>
    </row>
    <row r="3198" spans="1:1" x14ac:dyDescent="0.5">
      <c r="A3198" s="15" t="str">
        <f t="shared" ca="1" si="50"/>
        <v/>
      </c>
    </row>
    <row r="3199" spans="1:1" x14ac:dyDescent="0.5">
      <c r="A3199" s="15" t="str">
        <f t="shared" ca="1" si="50"/>
        <v/>
      </c>
    </row>
    <row r="3200" spans="1:1" x14ac:dyDescent="0.5">
      <c r="A3200" s="15" t="str">
        <f t="shared" ca="1" si="50"/>
        <v/>
      </c>
    </row>
    <row r="3201" spans="1:1" x14ac:dyDescent="0.5">
      <c r="A3201" s="15" t="str">
        <f t="shared" ca="1" si="50"/>
        <v/>
      </c>
    </row>
    <row r="3202" spans="1:1" x14ac:dyDescent="0.5">
      <c r="A3202" s="15" t="str">
        <f t="shared" ca="1" si="50"/>
        <v/>
      </c>
    </row>
    <row r="3203" spans="1:1" x14ac:dyDescent="0.5">
      <c r="A3203" s="15" t="str">
        <f t="shared" ca="1" si="50"/>
        <v/>
      </c>
    </row>
    <row r="3204" spans="1:1" x14ac:dyDescent="0.5">
      <c r="A3204" s="15" t="str">
        <f t="shared" ca="1" si="50"/>
        <v/>
      </c>
    </row>
    <row r="3205" spans="1:1" x14ac:dyDescent="0.5">
      <c r="A3205" s="15" t="str">
        <f t="shared" ca="1" si="50"/>
        <v/>
      </c>
    </row>
    <row r="3206" spans="1:1" x14ac:dyDescent="0.5">
      <c r="A3206" s="15" t="str">
        <f t="shared" ca="1" si="50"/>
        <v/>
      </c>
    </row>
    <row r="3207" spans="1:1" x14ac:dyDescent="0.5">
      <c r="A3207" s="15" t="str">
        <f t="shared" ca="1" si="50"/>
        <v/>
      </c>
    </row>
    <row r="3208" spans="1:1" x14ac:dyDescent="0.5">
      <c r="A3208" s="15" t="str">
        <f t="shared" ca="1" si="50"/>
        <v/>
      </c>
    </row>
    <row r="3209" spans="1:1" x14ac:dyDescent="0.5">
      <c r="A3209" s="15" t="str">
        <f t="shared" ca="1" si="50"/>
        <v/>
      </c>
    </row>
    <row r="3210" spans="1:1" x14ac:dyDescent="0.5">
      <c r="A3210" s="15" t="str">
        <f t="shared" ca="1" si="50"/>
        <v/>
      </c>
    </row>
    <row r="3211" spans="1:1" x14ac:dyDescent="0.5">
      <c r="A3211" s="15" t="str">
        <f t="shared" ca="1" si="50"/>
        <v/>
      </c>
    </row>
    <row r="3212" spans="1:1" x14ac:dyDescent="0.5">
      <c r="A3212" s="15" t="str">
        <f t="shared" ca="1" si="50"/>
        <v/>
      </c>
    </row>
    <row r="3213" spans="1:1" x14ac:dyDescent="0.5">
      <c r="A3213" s="15" t="str">
        <f t="shared" ref="A3213:A3276" ca="1" si="51">IF(ROW()-12&lt;=$B$7,_xlfn.NORM.INV(RAND(),$B$5,$B$6),"")</f>
        <v/>
      </c>
    </row>
    <row r="3214" spans="1:1" x14ac:dyDescent="0.5">
      <c r="A3214" s="15" t="str">
        <f t="shared" ca="1" si="51"/>
        <v/>
      </c>
    </row>
    <row r="3215" spans="1:1" x14ac:dyDescent="0.5">
      <c r="A3215" s="15" t="str">
        <f t="shared" ca="1" si="51"/>
        <v/>
      </c>
    </row>
    <row r="3216" spans="1:1" x14ac:dyDescent="0.5">
      <c r="A3216" s="15" t="str">
        <f t="shared" ca="1" si="51"/>
        <v/>
      </c>
    </row>
    <row r="3217" spans="1:1" x14ac:dyDescent="0.5">
      <c r="A3217" s="15" t="str">
        <f t="shared" ca="1" si="51"/>
        <v/>
      </c>
    </row>
    <row r="3218" spans="1:1" x14ac:dyDescent="0.5">
      <c r="A3218" s="15" t="str">
        <f t="shared" ca="1" si="51"/>
        <v/>
      </c>
    </row>
    <row r="3219" spans="1:1" x14ac:dyDescent="0.5">
      <c r="A3219" s="15" t="str">
        <f t="shared" ca="1" si="51"/>
        <v/>
      </c>
    </row>
    <row r="3220" spans="1:1" x14ac:dyDescent="0.5">
      <c r="A3220" s="15" t="str">
        <f t="shared" ca="1" si="51"/>
        <v/>
      </c>
    </row>
    <row r="3221" spans="1:1" x14ac:dyDescent="0.5">
      <c r="A3221" s="15" t="str">
        <f t="shared" ca="1" si="51"/>
        <v/>
      </c>
    </row>
    <row r="3222" spans="1:1" x14ac:dyDescent="0.5">
      <c r="A3222" s="15" t="str">
        <f t="shared" ca="1" si="51"/>
        <v/>
      </c>
    </row>
    <row r="3223" spans="1:1" x14ac:dyDescent="0.5">
      <c r="A3223" s="15" t="str">
        <f t="shared" ca="1" si="51"/>
        <v/>
      </c>
    </row>
    <row r="3224" spans="1:1" x14ac:dyDescent="0.5">
      <c r="A3224" s="15" t="str">
        <f t="shared" ca="1" si="51"/>
        <v/>
      </c>
    </row>
    <row r="3225" spans="1:1" x14ac:dyDescent="0.5">
      <c r="A3225" s="15" t="str">
        <f t="shared" ca="1" si="51"/>
        <v/>
      </c>
    </row>
    <row r="3226" spans="1:1" x14ac:dyDescent="0.5">
      <c r="A3226" s="15" t="str">
        <f t="shared" ca="1" si="51"/>
        <v/>
      </c>
    </row>
    <row r="3227" spans="1:1" x14ac:dyDescent="0.5">
      <c r="A3227" s="15" t="str">
        <f t="shared" ca="1" si="51"/>
        <v/>
      </c>
    </row>
    <row r="3228" spans="1:1" x14ac:dyDescent="0.5">
      <c r="A3228" s="15" t="str">
        <f t="shared" ca="1" si="51"/>
        <v/>
      </c>
    </row>
    <row r="3229" spans="1:1" x14ac:dyDescent="0.5">
      <c r="A3229" s="15" t="str">
        <f t="shared" ca="1" si="51"/>
        <v/>
      </c>
    </row>
    <row r="3230" spans="1:1" x14ac:dyDescent="0.5">
      <c r="A3230" s="15" t="str">
        <f t="shared" ca="1" si="51"/>
        <v/>
      </c>
    </row>
    <row r="3231" spans="1:1" x14ac:dyDescent="0.5">
      <c r="A3231" s="15" t="str">
        <f t="shared" ca="1" si="51"/>
        <v/>
      </c>
    </row>
    <row r="3232" spans="1:1" x14ac:dyDescent="0.5">
      <c r="A3232" s="15" t="str">
        <f t="shared" ca="1" si="51"/>
        <v/>
      </c>
    </row>
    <row r="3233" spans="1:1" x14ac:dyDescent="0.5">
      <c r="A3233" s="15" t="str">
        <f t="shared" ca="1" si="51"/>
        <v/>
      </c>
    </row>
    <row r="3234" spans="1:1" x14ac:dyDescent="0.5">
      <c r="A3234" s="15" t="str">
        <f t="shared" ca="1" si="51"/>
        <v/>
      </c>
    </row>
    <row r="3235" spans="1:1" x14ac:dyDescent="0.5">
      <c r="A3235" s="15" t="str">
        <f t="shared" ca="1" si="51"/>
        <v/>
      </c>
    </row>
    <row r="3236" spans="1:1" x14ac:dyDescent="0.5">
      <c r="A3236" s="15" t="str">
        <f t="shared" ca="1" si="51"/>
        <v/>
      </c>
    </row>
    <row r="3237" spans="1:1" x14ac:dyDescent="0.5">
      <c r="A3237" s="15" t="str">
        <f t="shared" ca="1" si="51"/>
        <v/>
      </c>
    </row>
    <row r="3238" spans="1:1" x14ac:dyDescent="0.5">
      <c r="A3238" s="15" t="str">
        <f t="shared" ca="1" si="51"/>
        <v/>
      </c>
    </row>
    <row r="3239" spans="1:1" x14ac:dyDescent="0.5">
      <c r="A3239" s="15" t="str">
        <f t="shared" ca="1" si="51"/>
        <v/>
      </c>
    </row>
    <row r="3240" spans="1:1" x14ac:dyDescent="0.5">
      <c r="A3240" s="15" t="str">
        <f t="shared" ca="1" si="51"/>
        <v/>
      </c>
    </row>
    <row r="3241" spans="1:1" x14ac:dyDescent="0.5">
      <c r="A3241" s="15" t="str">
        <f t="shared" ca="1" si="51"/>
        <v/>
      </c>
    </row>
    <row r="3242" spans="1:1" x14ac:dyDescent="0.5">
      <c r="A3242" s="15" t="str">
        <f t="shared" ca="1" si="51"/>
        <v/>
      </c>
    </row>
    <row r="3243" spans="1:1" x14ac:dyDescent="0.5">
      <c r="A3243" s="15" t="str">
        <f t="shared" ca="1" si="51"/>
        <v/>
      </c>
    </row>
    <row r="3244" spans="1:1" x14ac:dyDescent="0.5">
      <c r="A3244" s="15" t="str">
        <f t="shared" ca="1" si="51"/>
        <v/>
      </c>
    </row>
    <row r="3245" spans="1:1" x14ac:dyDescent="0.5">
      <c r="A3245" s="15" t="str">
        <f t="shared" ca="1" si="51"/>
        <v/>
      </c>
    </row>
    <row r="3246" spans="1:1" x14ac:dyDescent="0.5">
      <c r="A3246" s="15" t="str">
        <f t="shared" ca="1" si="51"/>
        <v/>
      </c>
    </row>
    <row r="3247" spans="1:1" x14ac:dyDescent="0.5">
      <c r="A3247" s="15" t="str">
        <f t="shared" ca="1" si="51"/>
        <v/>
      </c>
    </row>
    <row r="3248" spans="1:1" x14ac:dyDescent="0.5">
      <c r="A3248" s="15" t="str">
        <f t="shared" ca="1" si="51"/>
        <v/>
      </c>
    </row>
    <row r="3249" spans="1:1" x14ac:dyDescent="0.5">
      <c r="A3249" s="15" t="str">
        <f t="shared" ca="1" si="51"/>
        <v/>
      </c>
    </row>
    <row r="3250" spans="1:1" x14ac:dyDescent="0.5">
      <c r="A3250" s="15" t="str">
        <f t="shared" ca="1" si="51"/>
        <v/>
      </c>
    </row>
    <row r="3251" spans="1:1" x14ac:dyDescent="0.5">
      <c r="A3251" s="15" t="str">
        <f t="shared" ca="1" si="51"/>
        <v/>
      </c>
    </row>
    <row r="3252" spans="1:1" x14ac:dyDescent="0.5">
      <c r="A3252" s="15" t="str">
        <f t="shared" ca="1" si="51"/>
        <v/>
      </c>
    </row>
    <row r="3253" spans="1:1" x14ac:dyDescent="0.5">
      <c r="A3253" s="15" t="str">
        <f t="shared" ca="1" si="51"/>
        <v/>
      </c>
    </row>
    <row r="3254" spans="1:1" x14ac:dyDescent="0.5">
      <c r="A3254" s="15" t="str">
        <f t="shared" ca="1" si="51"/>
        <v/>
      </c>
    </row>
    <row r="3255" spans="1:1" x14ac:dyDescent="0.5">
      <c r="A3255" s="15" t="str">
        <f t="shared" ca="1" si="51"/>
        <v/>
      </c>
    </row>
    <row r="3256" spans="1:1" x14ac:dyDescent="0.5">
      <c r="A3256" s="15" t="str">
        <f t="shared" ca="1" si="51"/>
        <v/>
      </c>
    </row>
    <row r="3257" spans="1:1" x14ac:dyDescent="0.5">
      <c r="A3257" s="15" t="str">
        <f t="shared" ca="1" si="51"/>
        <v/>
      </c>
    </row>
    <row r="3258" spans="1:1" x14ac:dyDescent="0.5">
      <c r="A3258" s="15" t="str">
        <f t="shared" ca="1" si="51"/>
        <v/>
      </c>
    </row>
    <row r="3259" spans="1:1" x14ac:dyDescent="0.5">
      <c r="A3259" s="15" t="str">
        <f t="shared" ca="1" si="51"/>
        <v/>
      </c>
    </row>
    <row r="3260" spans="1:1" x14ac:dyDescent="0.5">
      <c r="A3260" s="15" t="str">
        <f t="shared" ca="1" si="51"/>
        <v/>
      </c>
    </row>
    <row r="3261" spans="1:1" x14ac:dyDescent="0.5">
      <c r="A3261" s="15" t="str">
        <f t="shared" ca="1" si="51"/>
        <v/>
      </c>
    </row>
    <row r="3262" spans="1:1" x14ac:dyDescent="0.5">
      <c r="A3262" s="15" t="str">
        <f t="shared" ca="1" si="51"/>
        <v/>
      </c>
    </row>
    <row r="3263" spans="1:1" x14ac:dyDescent="0.5">
      <c r="A3263" s="15" t="str">
        <f t="shared" ca="1" si="51"/>
        <v/>
      </c>
    </row>
    <row r="3264" spans="1:1" x14ac:dyDescent="0.5">
      <c r="A3264" s="15" t="str">
        <f t="shared" ca="1" si="51"/>
        <v/>
      </c>
    </row>
    <row r="3265" spans="1:1" x14ac:dyDescent="0.5">
      <c r="A3265" s="15" t="str">
        <f t="shared" ca="1" si="51"/>
        <v/>
      </c>
    </row>
    <row r="3266" spans="1:1" x14ac:dyDescent="0.5">
      <c r="A3266" s="15" t="str">
        <f t="shared" ca="1" si="51"/>
        <v/>
      </c>
    </row>
    <row r="3267" spans="1:1" x14ac:dyDescent="0.5">
      <c r="A3267" s="15" t="str">
        <f t="shared" ca="1" si="51"/>
        <v/>
      </c>
    </row>
    <row r="3268" spans="1:1" x14ac:dyDescent="0.5">
      <c r="A3268" s="15" t="str">
        <f t="shared" ca="1" si="51"/>
        <v/>
      </c>
    </row>
    <row r="3269" spans="1:1" x14ac:dyDescent="0.5">
      <c r="A3269" s="15" t="str">
        <f t="shared" ca="1" si="51"/>
        <v/>
      </c>
    </row>
    <row r="3270" spans="1:1" x14ac:dyDescent="0.5">
      <c r="A3270" s="15" t="str">
        <f t="shared" ca="1" si="51"/>
        <v/>
      </c>
    </row>
    <row r="3271" spans="1:1" x14ac:dyDescent="0.5">
      <c r="A3271" s="15" t="str">
        <f t="shared" ca="1" si="51"/>
        <v/>
      </c>
    </row>
    <row r="3272" spans="1:1" x14ac:dyDescent="0.5">
      <c r="A3272" s="15" t="str">
        <f t="shared" ca="1" si="51"/>
        <v/>
      </c>
    </row>
    <row r="3273" spans="1:1" x14ac:dyDescent="0.5">
      <c r="A3273" s="15" t="str">
        <f t="shared" ca="1" si="51"/>
        <v/>
      </c>
    </row>
    <row r="3274" spans="1:1" x14ac:dyDescent="0.5">
      <c r="A3274" s="15" t="str">
        <f t="shared" ca="1" si="51"/>
        <v/>
      </c>
    </row>
    <row r="3275" spans="1:1" x14ac:dyDescent="0.5">
      <c r="A3275" s="15" t="str">
        <f t="shared" ca="1" si="51"/>
        <v/>
      </c>
    </row>
    <row r="3276" spans="1:1" x14ac:dyDescent="0.5">
      <c r="A3276" s="15" t="str">
        <f t="shared" ca="1" si="51"/>
        <v/>
      </c>
    </row>
    <row r="3277" spans="1:1" x14ac:dyDescent="0.5">
      <c r="A3277" s="15" t="str">
        <f t="shared" ref="A3277:A3340" ca="1" si="52">IF(ROW()-12&lt;=$B$7,_xlfn.NORM.INV(RAND(),$B$5,$B$6),"")</f>
        <v/>
      </c>
    </row>
    <row r="3278" spans="1:1" x14ac:dyDescent="0.5">
      <c r="A3278" s="15" t="str">
        <f t="shared" ca="1" si="52"/>
        <v/>
      </c>
    </row>
    <row r="3279" spans="1:1" x14ac:dyDescent="0.5">
      <c r="A3279" s="15" t="str">
        <f t="shared" ca="1" si="52"/>
        <v/>
      </c>
    </row>
    <row r="3280" spans="1:1" x14ac:dyDescent="0.5">
      <c r="A3280" s="15" t="str">
        <f t="shared" ca="1" si="52"/>
        <v/>
      </c>
    </row>
    <row r="3281" spans="1:1" x14ac:dyDescent="0.5">
      <c r="A3281" s="15" t="str">
        <f t="shared" ca="1" si="52"/>
        <v/>
      </c>
    </row>
    <row r="3282" spans="1:1" x14ac:dyDescent="0.5">
      <c r="A3282" s="15" t="str">
        <f t="shared" ca="1" si="52"/>
        <v/>
      </c>
    </row>
    <row r="3283" spans="1:1" x14ac:dyDescent="0.5">
      <c r="A3283" s="15" t="str">
        <f t="shared" ca="1" si="52"/>
        <v/>
      </c>
    </row>
    <row r="3284" spans="1:1" x14ac:dyDescent="0.5">
      <c r="A3284" s="15" t="str">
        <f t="shared" ca="1" si="52"/>
        <v/>
      </c>
    </row>
    <row r="3285" spans="1:1" x14ac:dyDescent="0.5">
      <c r="A3285" s="15" t="str">
        <f t="shared" ca="1" si="52"/>
        <v/>
      </c>
    </row>
    <row r="3286" spans="1:1" x14ac:dyDescent="0.5">
      <c r="A3286" s="15" t="str">
        <f t="shared" ca="1" si="52"/>
        <v/>
      </c>
    </row>
    <row r="3287" spans="1:1" x14ac:dyDescent="0.5">
      <c r="A3287" s="15" t="str">
        <f t="shared" ca="1" si="52"/>
        <v/>
      </c>
    </row>
    <row r="3288" spans="1:1" x14ac:dyDescent="0.5">
      <c r="A3288" s="15" t="str">
        <f t="shared" ca="1" si="52"/>
        <v/>
      </c>
    </row>
    <row r="3289" spans="1:1" x14ac:dyDescent="0.5">
      <c r="A3289" s="15" t="str">
        <f t="shared" ca="1" si="52"/>
        <v/>
      </c>
    </row>
    <row r="3290" spans="1:1" x14ac:dyDescent="0.5">
      <c r="A3290" s="15" t="str">
        <f t="shared" ca="1" si="52"/>
        <v/>
      </c>
    </row>
    <row r="3291" spans="1:1" x14ac:dyDescent="0.5">
      <c r="A3291" s="15" t="str">
        <f t="shared" ca="1" si="52"/>
        <v/>
      </c>
    </row>
    <row r="3292" spans="1:1" x14ac:dyDescent="0.5">
      <c r="A3292" s="15" t="str">
        <f t="shared" ca="1" si="52"/>
        <v/>
      </c>
    </row>
    <row r="3293" spans="1:1" x14ac:dyDescent="0.5">
      <c r="A3293" s="15" t="str">
        <f t="shared" ca="1" si="52"/>
        <v/>
      </c>
    </row>
    <row r="3294" spans="1:1" x14ac:dyDescent="0.5">
      <c r="A3294" s="15" t="str">
        <f t="shared" ca="1" si="52"/>
        <v/>
      </c>
    </row>
    <row r="3295" spans="1:1" x14ac:dyDescent="0.5">
      <c r="A3295" s="15" t="str">
        <f t="shared" ca="1" si="52"/>
        <v/>
      </c>
    </row>
    <row r="3296" spans="1:1" x14ac:dyDescent="0.5">
      <c r="A3296" s="15" t="str">
        <f t="shared" ca="1" si="52"/>
        <v/>
      </c>
    </row>
    <row r="3297" spans="1:1" x14ac:dyDescent="0.5">
      <c r="A3297" s="15" t="str">
        <f t="shared" ca="1" si="52"/>
        <v/>
      </c>
    </row>
    <row r="3298" spans="1:1" x14ac:dyDescent="0.5">
      <c r="A3298" s="15" t="str">
        <f t="shared" ca="1" si="52"/>
        <v/>
      </c>
    </row>
    <row r="3299" spans="1:1" x14ac:dyDescent="0.5">
      <c r="A3299" s="15" t="str">
        <f t="shared" ca="1" si="52"/>
        <v/>
      </c>
    </row>
    <row r="3300" spans="1:1" x14ac:dyDescent="0.5">
      <c r="A3300" s="15" t="str">
        <f t="shared" ca="1" si="52"/>
        <v/>
      </c>
    </row>
    <row r="3301" spans="1:1" x14ac:dyDescent="0.5">
      <c r="A3301" s="15" t="str">
        <f t="shared" ca="1" si="52"/>
        <v/>
      </c>
    </row>
    <row r="3302" spans="1:1" x14ac:dyDescent="0.5">
      <c r="A3302" s="15" t="str">
        <f t="shared" ca="1" si="52"/>
        <v/>
      </c>
    </row>
    <row r="3303" spans="1:1" x14ac:dyDescent="0.5">
      <c r="A3303" s="15" t="str">
        <f t="shared" ca="1" si="52"/>
        <v/>
      </c>
    </row>
    <row r="3304" spans="1:1" x14ac:dyDescent="0.5">
      <c r="A3304" s="15" t="str">
        <f t="shared" ca="1" si="52"/>
        <v/>
      </c>
    </row>
    <row r="3305" spans="1:1" x14ac:dyDescent="0.5">
      <c r="A3305" s="15" t="str">
        <f t="shared" ca="1" si="52"/>
        <v/>
      </c>
    </row>
    <row r="3306" spans="1:1" x14ac:dyDescent="0.5">
      <c r="A3306" s="15" t="str">
        <f t="shared" ca="1" si="52"/>
        <v/>
      </c>
    </row>
    <row r="3307" spans="1:1" x14ac:dyDescent="0.5">
      <c r="A3307" s="15" t="str">
        <f t="shared" ca="1" si="52"/>
        <v/>
      </c>
    </row>
    <row r="3308" spans="1:1" x14ac:dyDescent="0.5">
      <c r="A3308" s="15" t="str">
        <f t="shared" ca="1" si="52"/>
        <v/>
      </c>
    </row>
    <row r="3309" spans="1:1" x14ac:dyDescent="0.5">
      <c r="A3309" s="15" t="str">
        <f t="shared" ca="1" si="52"/>
        <v/>
      </c>
    </row>
    <row r="3310" spans="1:1" x14ac:dyDescent="0.5">
      <c r="A3310" s="15" t="str">
        <f t="shared" ca="1" si="52"/>
        <v/>
      </c>
    </row>
    <row r="3311" spans="1:1" x14ac:dyDescent="0.5">
      <c r="A3311" s="15" t="str">
        <f t="shared" ca="1" si="52"/>
        <v/>
      </c>
    </row>
    <row r="3312" spans="1:1" x14ac:dyDescent="0.5">
      <c r="A3312" s="15" t="str">
        <f t="shared" ca="1" si="52"/>
        <v/>
      </c>
    </row>
    <row r="3313" spans="1:1" x14ac:dyDescent="0.5">
      <c r="A3313" s="15" t="str">
        <f t="shared" ca="1" si="52"/>
        <v/>
      </c>
    </row>
    <row r="3314" spans="1:1" x14ac:dyDescent="0.5">
      <c r="A3314" s="15" t="str">
        <f t="shared" ca="1" si="52"/>
        <v/>
      </c>
    </row>
    <row r="3315" spans="1:1" x14ac:dyDescent="0.5">
      <c r="A3315" s="15" t="str">
        <f t="shared" ca="1" si="52"/>
        <v/>
      </c>
    </row>
    <row r="3316" spans="1:1" x14ac:dyDescent="0.5">
      <c r="A3316" s="15" t="str">
        <f t="shared" ca="1" si="52"/>
        <v/>
      </c>
    </row>
    <row r="3317" spans="1:1" x14ac:dyDescent="0.5">
      <c r="A3317" s="15" t="str">
        <f t="shared" ca="1" si="52"/>
        <v/>
      </c>
    </row>
    <row r="3318" spans="1:1" x14ac:dyDescent="0.5">
      <c r="A3318" s="15" t="str">
        <f t="shared" ca="1" si="52"/>
        <v/>
      </c>
    </row>
    <row r="3319" spans="1:1" x14ac:dyDescent="0.5">
      <c r="A3319" s="15" t="str">
        <f t="shared" ca="1" si="52"/>
        <v/>
      </c>
    </row>
    <row r="3320" spans="1:1" x14ac:dyDescent="0.5">
      <c r="A3320" s="15" t="str">
        <f t="shared" ca="1" si="52"/>
        <v/>
      </c>
    </row>
    <row r="3321" spans="1:1" x14ac:dyDescent="0.5">
      <c r="A3321" s="15" t="str">
        <f t="shared" ca="1" si="52"/>
        <v/>
      </c>
    </row>
    <row r="3322" spans="1:1" x14ac:dyDescent="0.5">
      <c r="A3322" s="15" t="str">
        <f t="shared" ca="1" si="52"/>
        <v/>
      </c>
    </row>
    <row r="3323" spans="1:1" x14ac:dyDescent="0.5">
      <c r="A3323" s="15" t="str">
        <f t="shared" ca="1" si="52"/>
        <v/>
      </c>
    </row>
    <row r="3324" spans="1:1" x14ac:dyDescent="0.5">
      <c r="A3324" s="15" t="str">
        <f t="shared" ca="1" si="52"/>
        <v/>
      </c>
    </row>
    <row r="3325" spans="1:1" x14ac:dyDescent="0.5">
      <c r="A3325" s="15" t="str">
        <f t="shared" ca="1" si="52"/>
        <v/>
      </c>
    </row>
    <row r="3326" spans="1:1" x14ac:dyDescent="0.5">
      <c r="A3326" s="15" t="str">
        <f t="shared" ca="1" si="52"/>
        <v/>
      </c>
    </row>
    <row r="3327" spans="1:1" x14ac:dyDescent="0.5">
      <c r="A3327" s="15" t="str">
        <f t="shared" ca="1" si="52"/>
        <v/>
      </c>
    </row>
    <row r="3328" spans="1:1" x14ac:dyDescent="0.5">
      <c r="A3328" s="15" t="str">
        <f t="shared" ca="1" si="52"/>
        <v/>
      </c>
    </row>
    <row r="3329" spans="1:1" x14ac:dyDescent="0.5">
      <c r="A3329" s="15" t="str">
        <f t="shared" ca="1" si="52"/>
        <v/>
      </c>
    </row>
    <row r="3330" spans="1:1" x14ac:dyDescent="0.5">
      <c r="A3330" s="15" t="str">
        <f t="shared" ca="1" si="52"/>
        <v/>
      </c>
    </row>
    <row r="3331" spans="1:1" x14ac:dyDescent="0.5">
      <c r="A3331" s="15" t="str">
        <f t="shared" ca="1" si="52"/>
        <v/>
      </c>
    </row>
    <row r="3332" spans="1:1" x14ac:dyDescent="0.5">
      <c r="A3332" s="15" t="str">
        <f t="shared" ca="1" si="52"/>
        <v/>
      </c>
    </row>
    <row r="3333" spans="1:1" x14ac:dyDescent="0.5">
      <c r="A3333" s="15" t="str">
        <f t="shared" ca="1" si="52"/>
        <v/>
      </c>
    </row>
    <row r="3334" spans="1:1" x14ac:dyDescent="0.5">
      <c r="A3334" s="15" t="str">
        <f t="shared" ca="1" si="52"/>
        <v/>
      </c>
    </row>
    <row r="3335" spans="1:1" x14ac:dyDescent="0.5">
      <c r="A3335" s="15" t="str">
        <f t="shared" ca="1" si="52"/>
        <v/>
      </c>
    </row>
    <row r="3336" spans="1:1" x14ac:dyDescent="0.5">
      <c r="A3336" s="15" t="str">
        <f t="shared" ca="1" si="52"/>
        <v/>
      </c>
    </row>
    <row r="3337" spans="1:1" x14ac:dyDescent="0.5">
      <c r="A3337" s="15" t="str">
        <f t="shared" ca="1" si="52"/>
        <v/>
      </c>
    </row>
    <row r="3338" spans="1:1" x14ac:dyDescent="0.5">
      <c r="A3338" s="15" t="str">
        <f t="shared" ca="1" si="52"/>
        <v/>
      </c>
    </row>
    <row r="3339" spans="1:1" x14ac:dyDescent="0.5">
      <c r="A3339" s="15" t="str">
        <f t="shared" ca="1" si="52"/>
        <v/>
      </c>
    </row>
    <row r="3340" spans="1:1" x14ac:dyDescent="0.5">
      <c r="A3340" s="15" t="str">
        <f t="shared" ca="1" si="52"/>
        <v/>
      </c>
    </row>
    <row r="3341" spans="1:1" x14ac:dyDescent="0.5">
      <c r="A3341" s="15" t="str">
        <f t="shared" ref="A3341:A3404" ca="1" si="53">IF(ROW()-12&lt;=$B$7,_xlfn.NORM.INV(RAND(),$B$5,$B$6),"")</f>
        <v/>
      </c>
    </row>
    <row r="3342" spans="1:1" x14ac:dyDescent="0.5">
      <c r="A3342" s="15" t="str">
        <f t="shared" ca="1" si="53"/>
        <v/>
      </c>
    </row>
    <row r="3343" spans="1:1" x14ac:dyDescent="0.5">
      <c r="A3343" s="15" t="str">
        <f t="shared" ca="1" si="53"/>
        <v/>
      </c>
    </row>
    <row r="3344" spans="1:1" x14ac:dyDescent="0.5">
      <c r="A3344" s="15" t="str">
        <f t="shared" ca="1" si="53"/>
        <v/>
      </c>
    </row>
    <row r="3345" spans="1:1" x14ac:dyDescent="0.5">
      <c r="A3345" s="15" t="str">
        <f t="shared" ca="1" si="53"/>
        <v/>
      </c>
    </row>
    <row r="3346" spans="1:1" x14ac:dyDescent="0.5">
      <c r="A3346" s="15" t="str">
        <f t="shared" ca="1" si="53"/>
        <v/>
      </c>
    </row>
    <row r="3347" spans="1:1" x14ac:dyDescent="0.5">
      <c r="A3347" s="15" t="str">
        <f t="shared" ca="1" si="53"/>
        <v/>
      </c>
    </row>
    <row r="3348" spans="1:1" x14ac:dyDescent="0.5">
      <c r="A3348" s="15" t="str">
        <f t="shared" ca="1" si="53"/>
        <v/>
      </c>
    </row>
    <row r="3349" spans="1:1" x14ac:dyDescent="0.5">
      <c r="A3349" s="15" t="str">
        <f t="shared" ca="1" si="53"/>
        <v/>
      </c>
    </row>
    <row r="3350" spans="1:1" x14ac:dyDescent="0.5">
      <c r="A3350" s="15" t="str">
        <f t="shared" ca="1" si="53"/>
        <v/>
      </c>
    </row>
    <row r="3351" spans="1:1" x14ac:dyDescent="0.5">
      <c r="A3351" s="15" t="str">
        <f t="shared" ca="1" si="53"/>
        <v/>
      </c>
    </row>
    <row r="3352" spans="1:1" x14ac:dyDescent="0.5">
      <c r="A3352" s="15" t="str">
        <f t="shared" ca="1" si="53"/>
        <v/>
      </c>
    </row>
    <row r="3353" spans="1:1" x14ac:dyDescent="0.5">
      <c r="A3353" s="15" t="str">
        <f t="shared" ca="1" si="53"/>
        <v/>
      </c>
    </row>
    <row r="3354" spans="1:1" x14ac:dyDescent="0.5">
      <c r="A3354" s="15" t="str">
        <f t="shared" ca="1" si="53"/>
        <v/>
      </c>
    </row>
    <row r="3355" spans="1:1" x14ac:dyDescent="0.5">
      <c r="A3355" s="15" t="str">
        <f t="shared" ca="1" si="53"/>
        <v/>
      </c>
    </row>
    <row r="3356" spans="1:1" x14ac:dyDescent="0.5">
      <c r="A3356" s="15" t="str">
        <f t="shared" ca="1" si="53"/>
        <v/>
      </c>
    </row>
    <row r="3357" spans="1:1" x14ac:dyDescent="0.5">
      <c r="A3357" s="15" t="str">
        <f t="shared" ca="1" si="53"/>
        <v/>
      </c>
    </row>
    <row r="3358" spans="1:1" x14ac:dyDescent="0.5">
      <c r="A3358" s="15" t="str">
        <f t="shared" ca="1" si="53"/>
        <v/>
      </c>
    </row>
    <row r="3359" spans="1:1" x14ac:dyDescent="0.5">
      <c r="A3359" s="15" t="str">
        <f t="shared" ca="1" si="53"/>
        <v/>
      </c>
    </row>
    <row r="3360" spans="1:1" x14ac:dyDescent="0.5">
      <c r="A3360" s="15" t="str">
        <f t="shared" ca="1" si="53"/>
        <v/>
      </c>
    </row>
    <row r="3361" spans="1:1" x14ac:dyDescent="0.5">
      <c r="A3361" s="15" t="str">
        <f t="shared" ca="1" si="53"/>
        <v/>
      </c>
    </row>
    <row r="3362" spans="1:1" x14ac:dyDescent="0.5">
      <c r="A3362" s="15" t="str">
        <f t="shared" ca="1" si="53"/>
        <v/>
      </c>
    </row>
    <row r="3363" spans="1:1" x14ac:dyDescent="0.5">
      <c r="A3363" s="15" t="str">
        <f t="shared" ca="1" si="53"/>
        <v/>
      </c>
    </row>
    <row r="3364" spans="1:1" x14ac:dyDescent="0.5">
      <c r="A3364" s="15" t="str">
        <f t="shared" ca="1" si="53"/>
        <v/>
      </c>
    </row>
    <row r="3365" spans="1:1" x14ac:dyDescent="0.5">
      <c r="A3365" s="15" t="str">
        <f t="shared" ca="1" si="53"/>
        <v/>
      </c>
    </row>
    <row r="3366" spans="1:1" x14ac:dyDescent="0.5">
      <c r="A3366" s="15" t="str">
        <f t="shared" ca="1" si="53"/>
        <v/>
      </c>
    </row>
    <row r="3367" spans="1:1" x14ac:dyDescent="0.5">
      <c r="A3367" s="15" t="str">
        <f t="shared" ca="1" si="53"/>
        <v/>
      </c>
    </row>
    <row r="3368" spans="1:1" x14ac:dyDescent="0.5">
      <c r="A3368" s="15" t="str">
        <f t="shared" ca="1" si="53"/>
        <v/>
      </c>
    </row>
    <row r="3369" spans="1:1" x14ac:dyDescent="0.5">
      <c r="A3369" s="15" t="str">
        <f t="shared" ca="1" si="53"/>
        <v/>
      </c>
    </row>
    <row r="3370" spans="1:1" x14ac:dyDescent="0.5">
      <c r="A3370" s="15" t="str">
        <f t="shared" ca="1" si="53"/>
        <v/>
      </c>
    </row>
    <row r="3371" spans="1:1" x14ac:dyDescent="0.5">
      <c r="A3371" s="15" t="str">
        <f t="shared" ca="1" si="53"/>
        <v/>
      </c>
    </row>
    <row r="3372" spans="1:1" x14ac:dyDescent="0.5">
      <c r="A3372" s="15" t="str">
        <f t="shared" ca="1" si="53"/>
        <v/>
      </c>
    </row>
    <row r="3373" spans="1:1" x14ac:dyDescent="0.5">
      <c r="A3373" s="15" t="str">
        <f t="shared" ca="1" si="53"/>
        <v/>
      </c>
    </row>
    <row r="3374" spans="1:1" x14ac:dyDescent="0.5">
      <c r="A3374" s="15" t="str">
        <f t="shared" ca="1" si="53"/>
        <v/>
      </c>
    </row>
    <row r="3375" spans="1:1" x14ac:dyDescent="0.5">
      <c r="A3375" s="15" t="str">
        <f t="shared" ca="1" si="53"/>
        <v/>
      </c>
    </row>
    <row r="3376" spans="1:1" x14ac:dyDescent="0.5">
      <c r="A3376" s="15" t="str">
        <f t="shared" ca="1" si="53"/>
        <v/>
      </c>
    </row>
    <row r="3377" spans="1:1" x14ac:dyDescent="0.5">
      <c r="A3377" s="15" t="str">
        <f t="shared" ca="1" si="53"/>
        <v/>
      </c>
    </row>
    <row r="3378" spans="1:1" x14ac:dyDescent="0.5">
      <c r="A3378" s="15" t="str">
        <f t="shared" ca="1" si="53"/>
        <v/>
      </c>
    </row>
    <row r="3379" spans="1:1" x14ac:dyDescent="0.5">
      <c r="A3379" s="15" t="str">
        <f t="shared" ca="1" si="53"/>
        <v/>
      </c>
    </row>
    <row r="3380" spans="1:1" x14ac:dyDescent="0.5">
      <c r="A3380" s="15" t="str">
        <f t="shared" ca="1" si="53"/>
        <v/>
      </c>
    </row>
    <row r="3381" spans="1:1" x14ac:dyDescent="0.5">
      <c r="A3381" s="15" t="str">
        <f t="shared" ca="1" si="53"/>
        <v/>
      </c>
    </row>
    <row r="3382" spans="1:1" x14ac:dyDescent="0.5">
      <c r="A3382" s="15" t="str">
        <f t="shared" ca="1" si="53"/>
        <v/>
      </c>
    </row>
    <row r="3383" spans="1:1" x14ac:dyDescent="0.5">
      <c r="A3383" s="15" t="str">
        <f t="shared" ca="1" si="53"/>
        <v/>
      </c>
    </row>
    <row r="3384" spans="1:1" x14ac:dyDescent="0.5">
      <c r="A3384" s="15" t="str">
        <f t="shared" ca="1" si="53"/>
        <v/>
      </c>
    </row>
    <row r="3385" spans="1:1" x14ac:dyDescent="0.5">
      <c r="A3385" s="15" t="str">
        <f t="shared" ca="1" si="53"/>
        <v/>
      </c>
    </row>
    <row r="3386" spans="1:1" x14ac:dyDescent="0.5">
      <c r="A3386" s="15" t="str">
        <f t="shared" ca="1" si="53"/>
        <v/>
      </c>
    </row>
    <row r="3387" spans="1:1" x14ac:dyDescent="0.5">
      <c r="A3387" s="15" t="str">
        <f t="shared" ca="1" si="53"/>
        <v/>
      </c>
    </row>
    <row r="3388" spans="1:1" x14ac:dyDescent="0.5">
      <c r="A3388" s="15" t="str">
        <f t="shared" ca="1" si="53"/>
        <v/>
      </c>
    </row>
    <row r="3389" spans="1:1" x14ac:dyDescent="0.5">
      <c r="A3389" s="15" t="str">
        <f t="shared" ca="1" si="53"/>
        <v/>
      </c>
    </row>
    <row r="3390" spans="1:1" x14ac:dyDescent="0.5">
      <c r="A3390" s="15" t="str">
        <f t="shared" ca="1" si="53"/>
        <v/>
      </c>
    </row>
    <row r="3391" spans="1:1" x14ac:dyDescent="0.5">
      <c r="A3391" s="15" t="str">
        <f t="shared" ca="1" si="53"/>
        <v/>
      </c>
    </row>
    <row r="3392" spans="1:1" x14ac:dyDescent="0.5">
      <c r="A3392" s="15" t="str">
        <f t="shared" ca="1" si="53"/>
        <v/>
      </c>
    </row>
    <row r="3393" spans="1:1" x14ac:dyDescent="0.5">
      <c r="A3393" s="15" t="str">
        <f t="shared" ca="1" si="53"/>
        <v/>
      </c>
    </row>
    <row r="3394" spans="1:1" x14ac:dyDescent="0.5">
      <c r="A3394" s="15" t="str">
        <f t="shared" ca="1" si="53"/>
        <v/>
      </c>
    </row>
    <row r="3395" spans="1:1" x14ac:dyDescent="0.5">
      <c r="A3395" s="15" t="str">
        <f t="shared" ca="1" si="53"/>
        <v/>
      </c>
    </row>
    <row r="3396" spans="1:1" x14ac:dyDescent="0.5">
      <c r="A3396" s="15" t="str">
        <f t="shared" ca="1" si="53"/>
        <v/>
      </c>
    </row>
    <row r="3397" spans="1:1" x14ac:dyDescent="0.5">
      <c r="A3397" s="15" t="str">
        <f t="shared" ca="1" si="53"/>
        <v/>
      </c>
    </row>
    <row r="3398" spans="1:1" x14ac:dyDescent="0.5">
      <c r="A3398" s="15" t="str">
        <f t="shared" ca="1" si="53"/>
        <v/>
      </c>
    </row>
    <row r="3399" spans="1:1" x14ac:dyDescent="0.5">
      <c r="A3399" s="15" t="str">
        <f t="shared" ca="1" si="53"/>
        <v/>
      </c>
    </row>
    <row r="3400" spans="1:1" x14ac:dyDescent="0.5">
      <c r="A3400" s="15" t="str">
        <f t="shared" ca="1" si="53"/>
        <v/>
      </c>
    </row>
    <row r="3401" spans="1:1" x14ac:dyDescent="0.5">
      <c r="A3401" s="15" t="str">
        <f t="shared" ca="1" si="53"/>
        <v/>
      </c>
    </row>
    <row r="3402" spans="1:1" x14ac:dyDescent="0.5">
      <c r="A3402" s="15" t="str">
        <f t="shared" ca="1" si="53"/>
        <v/>
      </c>
    </row>
    <row r="3403" spans="1:1" x14ac:dyDescent="0.5">
      <c r="A3403" s="15" t="str">
        <f t="shared" ca="1" si="53"/>
        <v/>
      </c>
    </row>
    <row r="3404" spans="1:1" x14ac:dyDescent="0.5">
      <c r="A3404" s="15" t="str">
        <f t="shared" ca="1" si="53"/>
        <v/>
      </c>
    </row>
    <row r="3405" spans="1:1" x14ac:dyDescent="0.5">
      <c r="A3405" s="15" t="str">
        <f t="shared" ref="A3405:A3468" ca="1" si="54">IF(ROW()-12&lt;=$B$7,_xlfn.NORM.INV(RAND(),$B$5,$B$6),"")</f>
        <v/>
      </c>
    </row>
    <row r="3406" spans="1:1" x14ac:dyDescent="0.5">
      <c r="A3406" s="15" t="str">
        <f t="shared" ca="1" si="54"/>
        <v/>
      </c>
    </row>
    <row r="3407" spans="1:1" x14ac:dyDescent="0.5">
      <c r="A3407" s="15" t="str">
        <f t="shared" ca="1" si="54"/>
        <v/>
      </c>
    </row>
    <row r="3408" spans="1:1" x14ac:dyDescent="0.5">
      <c r="A3408" s="15" t="str">
        <f t="shared" ca="1" si="54"/>
        <v/>
      </c>
    </row>
    <row r="3409" spans="1:1" x14ac:dyDescent="0.5">
      <c r="A3409" s="15" t="str">
        <f t="shared" ca="1" si="54"/>
        <v/>
      </c>
    </row>
    <row r="3410" spans="1:1" x14ac:dyDescent="0.5">
      <c r="A3410" s="15" t="str">
        <f t="shared" ca="1" si="54"/>
        <v/>
      </c>
    </row>
    <row r="3411" spans="1:1" x14ac:dyDescent="0.5">
      <c r="A3411" s="15" t="str">
        <f t="shared" ca="1" si="54"/>
        <v/>
      </c>
    </row>
    <row r="3412" spans="1:1" x14ac:dyDescent="0.5">
      <c r="A3412" s="15" t="str">
        <f t="shared" ca="1" si="54"/>
        <v/>
      </c>
    </row>
    <row r="3413" spans="1:1" x14ac:dyDescent="0.5">
      <c r="A3413" s="15" t="str">
        <f t="shared" ca="1" si="54"/>
        <v/>
      </c>
    </row>
    <row r="3414" spans="1:1" x14ac:dyDescent="0.5">
      <c r="A3414" s="15" t="str">
        <f t="shared" ca="1" si="54"/>
        <v/>
      </c>
    </row>
    <row r="3415" spans="1:1" x14ac:dyDescent="0.5">
      <c r="A3415" s="15" t="str">
        <f t="shared" ca="1" si="54"/>
        <v/>
      </c>
    </row>
    <row r="3416" spans="1:1" x14ac:dyDescent="0.5">
      <c r="A3416" s="15" t="str">
        <f t="shared" ca="1" si="54"/>
        <v/>
      </c>
    </row>
    <row r="3417" spans="1:1" x14ac:dyDescent="0.5">
      <c r="A3417" s="15" t="str">
        <f t="shared" ca="1" si="54"/>
        <v/>
      </c>
    </row>
    <row r="3418" spans="1:1" x14ac:dyDescent="0.5">
      <c r="A3418" s="15" t="str">
        <f t="shared" ca="1" si="54"/>
        <v/>
      </c>
    </row>
    <row r="3419" spans="1:1" x14ac:dyDescent="0.5">
      <c r="A3419" s="15" t="str">
        <f t="shared" ca="1" si="54"/>
        <v/>
      </c>
    </row>
    <row r="3420" spans="1:1" x14ac:dyDescent="0.5">
      <c r="A3420" s="15" t="str">
        <f t="shared" ca="1" si="54"/>
        <v/>
      </c>
    </row>
    <row r="3421" spans="1:1" x14ac:dyDescent="0.5">
      <c r="A3421" s="15" t="str">
        <f t="shared" ca="1" si="54"/>
        <v/>
      </c>
    </row>
    <row r="3422" spans="1:1" x14ac:dyDescent="0.5">
      <c r="A3422" s="15" t="str">
        <f t="shared" ca="1" si="54"/>
        <v/>
      </c>
    </row>
    <row r="3423" spans="1:1" x14ac:dyDescent="0.5">
      <c r="A3423" s="15" t="str">
        <f t="shared" ca="1" si="54"/>
        <v/>
      </c>
    </row>
    <row r="3424" spans="1:1" x14ac:dyDescent="0.5">
      <c r="A3424" s="15" t="str">
        <f t="shared" ca="1" si="54"/>
        <v/>
      </c>
    </row>
    <row r="3425" spans="1:1" x14ac:dyDescent="0.5">
      <c r="A3425" s="15" t="str">
        <f t="shared" ca="1" si="54"/>
        <v/>
      </c>
    </row>
    <row r="3426" spans="1:1" x14ac:dyDescent="0.5">
      <c r="A3426" s="15" t="str">
        <f t="shared" ca="1" si="54"/>
        <v/>
      </c>
    </row>
    <row r="3427" spans="1:1" x14ac:dyDescent="0.5">
      <c r="A3427" s="15" t="str">
        <f t="shared" ca="1" si="54"/>
        <v/>
      </c>
    </row>
    <row r="3428" spans="1:1" x14ac:dyDescent="0.5">
      <c r="A3428" s="15" t="str">
        <f t="shared" ca="1" si="54"/>
        <v/>
      </c>
    </row>
    <row r="3429" spans="1:1" x14ac:dyDescent="0.5">
      <c r="A3429" s="15" t="str">
        <f t="shared" ca="1" si="54"/>
        <v/>
      </c>
    </row>
    <row r="3430" spans="1:1" x14ac:dyDescent="0.5">
      <c r="A3430" s="15" t="str">
        <f t="shared" ca="1" si="54"/>
        <v/>
      </c>
    </row>
    <row r="3431" spans="1:1" x14ac:dyDescent="0.5">
      <c r="A3431" s="15" t="str">
        <f t="shared" ca="1" si="54"/>
        <v/>
      </c>
    </row>
    <row r="3432" spans="1:1" x14ac:dyDescent="0.5">
      <c r="A3432" s="15" t="str">
        <f t="shared" ca="1" si="54"/>
        <v/>
      </c>
    </row>
    <row r="3433" spans="1:1" x14ac:dyDescent="0.5">
      <c r="A3433" s="15" t="str">
        <f t="shared" ca="1" si="54"/>
        <v/>
      </c>
    </row>
    <row r="3434" spans="1:1" x14ac:dyDescent="0.5">
      <c r="A3434" s="15" t="str">
        <f t="shared" ca="1" si="54"/>
        <v/>
      </c>
    </row>
    <row r="3435" spans="1:1" x14ac:dyDescent="0.5">
      <c r="A3435" s="15" t="str">
        <f t="shared" ca="1" si="54"/>
        <v/>
      </c>
    </row>
    <row r="3436" spans="1:1" x14ac:dyDescent="0.5">
      <c r="A3436" s="15" t="str">
        <f t="shared" ca="1" si="54"/>
        <v/>
      </c>
    </row>
    <row r="3437" spans="1:1" x14ac:dyDescent="0.5">
      <c r="A3437" s="15" t="str">
        <f t="shared" ca="1" si="54"/>
        <v/>
      </c>
    </row>
    <row r="3438" spans="1:1" x14ac:dyDescent="0.5">
      <c r="A3438" s="15" t="str">
        <f t="shared" ca="1" si="54"/>
        <v/>
      </c>
    </row>
    <row r="3439" spans="1:1" x14ac:dyDescent="0.5">
      <c r="A3439" s="15" t="str">
        <f t="shared" ca="1" si="54"/>
        <v/>
      </c>
    </row>
    <row r="3440" spans="1:1" x14ac:dyDescent="0.5">
      <c r="A3440" s="15" t="str">
        <f t="shared" ca="1" si="54"/>
        <v/>
      </c>
    </row>
    <row r="3441" spans="1:1" x14ac:dyDescent="0.5">
      <c r="A3441" s="15" t="str">
        <f t="shared" ca="1" si="54"/>
        <v/>
      </c>
    </row>
    <row r="3442" spans="1:1" x14ac:dyDescent="0.5">
      <c r="A3442" s="15" t="str">
        <f t="shared" ca="1" si="54"/>
        <v/>
      </c>
    </row>
    <row r="3443" spans="1:1" x14ac:dyDescent="0.5">
      <c r="A3443" s="15" t="str">
        <f t="shared" ca="1" si="54"/>
        <v/>
      </c>
    </row>
    <row r="3444" spans="1:1" x14ac:dyDescent="0.5">
      <c r="A3444" s="15" t="str">
        <f t="shared" ca="1" si="54"/>
        <v/>
      </c>
    </row>
    <row r="3445" spans="1:1" x14ac:dyDescent="0.5">
      <c r="A3445" s="15" t="str">
        <f t="shared" ca="1" si="54"/>
        <v/>
      </c>
    </row>
    <row r="3446" spans="1:1" x14ac:dyDescent="0.5">
      <c r="A3446" s="15" t="str">
        <f t="shared" ca="1" si="54"/>
        <v/>
      </c>
    </row>
    <row r="3447" spans="1:1" x14ac:dyDescent="0.5">
      <c r="A3447" s="15" t="str">
        <f t="shared" ca="1" si="54"/>
        <v/>
      </c>
    </row>
    <row r="3448" spans="1:1" x14ac:dyDescent="0.5">
      <c r="A3448" s="15" t="str">
        <f t="shared" ca="1" si="54"/>
        <v/>
      </c>
    </row>
    <row r="3449" spans="1:1" x14ac:dyDescent="0.5">
      <c r="A3449" s="15" t="str">
        <f t="shared" ca="1" si="54"/>
        <v/>
      </c>
    </row>
    <row r="3450" spans="1:1" x14ac:dyDescent="0.5">
      <c r="A3450" s="15" t="str">
        <f t="shared" ca="1" si="54"/>
        <v/>
      </c>
    </row>
    <row r="3451" spans="1:1" x14ac:dyDescent="0.5">
      <c r="A3451" s="15" t="str">
        <f t="shared" ca="1" si="54"/>
        <v/>
      </c>
    </row>
    <row r="3452" spans="1:1" x14ac:dyDescent="0.5">
      <c r="A3452" s="15" t="str">
        <f t="shared" ca="1" si="54"/>
        <v/>
      </c>
    </row>
    <row r="3453" spans="1:1" x14ac:dyDescent="0.5">
      <c r="A3453" s="15" t="str">
        <f t="shared" ca="1" si="54"/>
        <v/>
      </c>
    </row>
    <row r="3454" spans="1:1" x14ac:dyDescent="0.5">
      <c r="A3454" s="15" t="str">
        <f t="shared" ca="1" si="54"/>
        <v/>
      </c>
    </row>
    <row r="3455" spans="1:1" x14ac:dyDescent="0.5">
      <c r="A3455" s="15" t="str">
        <f t="shared" ca="1" si="54"/>
        <v/>
      </c>
    </row>
    <row r="3456" spans="1:1" x14ac:dyDescent="0.5">
      <c r="A3456" s="15" t="str">
        <f t="shared" ca="1" si="54"/>
        <v/>
      </c>
    </row>
    <row r="3457" spans="1:1" x14ac:dyDescent="0.5">
      <c r="A3457" s="15" t="str">
        <f t="shared" ca="1" si="54"/>
        <v/>
      </c>
    </row>
    <row r="3458" spans="1:1" x14ac:dyDescent="0.5">
      <c r="A3458" s="15" t="str">
        <f t="shared" ca="1" si="54"/>
        <v/>
      </c>
    </row>
    <row r="3459" spans="1:1" x14ac:dyDescent="0.5">
      <c r="A3459" s="15" t="str">
        <f t="shared" ca="1" si="54"/>
        <v/>
      </c>
    </row>
    <row r="3460" spans="1:1" x14ac:dyDescent="0.5">
      <c r="A3460" s="15" t="str">
        <f t="shared" ca="1" si="54"/>
        <v/>
      </c>
    </row>
    <row r="3461" spans="1:1" x14ac:dyDescent="0.5">
      <c r="A3461" s="15" t="str">
        <f t="shared" ca="1" si="54"/>
        <v/>
      </c>
    </row>
    <row r="3462" spans="1:1" x14ac:dyDescent="0.5">
      <c r="A3462" s="15" t="str">
        <f t="shared" ca="1" si="54"/>
        <v/>
      </c>
    </row>
    <row r="3463" spans="1:1" x14ac:dyDescent="0.5">
      <c r="A3463" s="15" t="str">
        <f t="shared" ca="1" si="54"/>
        <v/>
      </c>
    </row>
    <row r="3464" spans="1:1" x14ac:dyDescent="0.5">
      <c r="A3464" s="15" t="str">
        <f t="shared" ca="1" si="54"/>
        <v/>
      </c>
    </row>
    <row r="3465" spans="1:1" x14ac:dyDescent="0.5">
      <c r="A3465" s="15" t="str">
        <f t="shared" ca="1" si="54"/>
        <v/>
      </c>
    </row>
    <row r="3466" spans="1:1" x14ac:dyDescent="0.5">
      <c r="A3466" s="15" t="str">
        <f t="shared" ca="1" si="54"/>
        <v/>
      </c>
    </row>
    <row r="3467" spans="1:1" x14ac:dyDescent="0.5">
      <c r="A3467" s="15" t="str">
        <f t="shared" ca="1" si="54"/>
        <v/>
      </c>
    </row>
    <row r="3468" spans="1:1" x14ac:dyDescent="0.5">
      <c r="A3468" s="15" t="str">
        <f t="shared" ca="1" si="54"/>
        <v/>
      </c>
    </row>
    <row r="3469" spans="1:1" x14ac:dyDescent="0.5">
      <c r="A3469" s="15" t="str">
        <f t="shared" ref="A3469:A3532" ca="1" si="55">IF(ROW()-12&lt;=$B$7,_xlfn.NORM.INV(RAND(),$B$5,$B$6),"")</f>
        <v/>
      </c>
    </row>
    <row r="3470" spans="1:1" x14ac:dyDescent="0.5">
      <c r="A3470" s="15" t="str">
        <f t="shared" ca="1" si="55"/>
        <v/>
      </c>
    </row>
    <row r="3471" spans="1:1" x14ac:dyDescent="0.5">
      <c r="A3471" s="15" t="str">
        <f t="shared" ca="1" si="55"/>
        <v/>
      </c>
    </row>
    <row r="3472" spans="1:1" x14ac:dyDescent="0.5">
      <c r="A3472" s="15" t="str">
        <f t="shared" ca="1" si="55"/>
        <v/>
      </c>
    </row>
    <row r="3473" spans="1:1" x14ac:dyDescent="0.5">
      <c r="A3473" s="15" t="str">
        <f t="shared" ca="1" si="55"/>
        <v/>
      </c>
    </row>
    <row r="3474" spans="1:1" x14ac:dyDescent="0.5">
      <c r="A3474" s="15" t="str">
        <f t="shared" ca="1" si="55"/>
        <v/>
      </c>
    </row>
    <row r="3475" spans="1:1" x14ac:dyDescent="0.5">
      <c r="A3475" s="15" t="str">
        <f t="shared" ca="1" si="55"/>
        <v/>
      </c>
    </row>
    <row r="3476" spans="1:1" x14ac:dyDescent="0.5">
      <c r="A3476" s="15" t="str">
        <f t="shared" ca="1" si="55"/>
        <v/>
      </c>
    </row>
    <row r="3477" spans="1:1" x14ac:dyDescent="0.5">
      <c r="A3477" s="15" t="str">
        <f t="shared" ca="1" si="55"/>
        <v/>
      </c>
    </row>
    <row r="3478" spans="1:1" x14ac:dyDescent="0.5">
      <c r="A3478" s="15" t="str">
        <f t="shared" ca="1" si="55"/>
        <v/>
      </c>
    </row>
    <row r="3479" spans="1:1" x14ac:dyDescent="0.5">
      <c r="A3479" s="15" t="str">
        <f t="shared" ca="1" si="55"/>
        <v/>
      </c>
    </row>
    <row r="3480" spans="1:1" x14ac:dyDescent="0.5">
      <c r="A3480" s="15" t="str">
        <f t="shared" ca="1" si="55"/>
        <v/>
      </c>
    </row>
    <row r="3481" spans="1:1" x14ac:dyDescent="0.5">
      <c r="A3481" s="15" t="str">
        <f t="shared" ca="1" si="55"/>
        <v/>
      </c>
    </row>
    <row r="3482" spans="1:1" x14ac:dyDescent="0.5">
      <c r="A3482" s="15" t="str">
        <f t="shared" ca="1" si="55"/>
        <v/>
      </c>
    </row>
    <row r="3483" spans="1:1" x14ac:dyDescent="0.5">
      <c r="A3483" s="15" t="str">
        <f t="shared" ca="1" si="55"/>
        <v/>
      </c>
    </row>
    <row r="3484" spans="1:1" x14ac:dyDescent="0.5">
      <c r="A3484" s="15" t="str">
        <f t="shared" ca="1" si="55"/>
        <v/>
      </c>
    </row>
    <row r="3485" spans="1:1" x14ac:dyDescent="0.5">
      <c r="A3485" s="15" t="str">
        <f t="shared" ca="1" si="55"/>
        <v/>
      </c>
    </row>
    <row r="3486" spans="1:1" x14ac:dyDescent="0.5">
      <c r="A3486" s="15" t="str">
        <f t="shared" ca="1" si="55"/>
        <v/>
      </c>
    </row>
    <row r="3487" spans="1:1" x14ac:dyDescent="0.5">
      <c r="A3487" s="15" t="str">
        <f t="shared" ca="1" si="55"/>
        <v/>
      </c>
    </row>
    <row r="3488" spans="1:1" x14ac:dyDescent="0.5">
      <c r="A3488" s="15" t="str">
        <f t="shared" ca="1" si="55"/>
        <v/>
      </c>
    </row>
    <row r="3489" spans="1:1" x14ac:dyDescent="0.5">
      <c r="A3489" s="15" t="str">
        <f t="shared" ca="1" si="55"/>
        <v/>
      </c>
    </row>
    <row r="3490" spans="1:1" x14ac:dyDescent="0.5">
      <c r="A3490" s="15" t="str">
        <f t="shared" ca="1" si="55"/>
        <v/>
      </c>
    </row>
    <row r="3491" spans="1:1" x14ac:dyDescent="0.5">
      <c r="A3491" s="15" t="str">
        <f t="shared" ca="1" si="55"/>
        <v/>
      </c>
    </row>
    <row r="3492" spans="1:1" x14ac:dyDescent="0.5">
      <c r="A3492" s="15" t="str">
        <f t="shared" ca="1" si="55"/>
        <v/>
      </c>
    </row>
    <row r="3493" spans="1:1" x14ac:dyDescent="0.5">
      <c r="A3493" s="15" t="str">
        <f t="shared" ca="1" si="55"/>
        <v/>
      </c>
    </row>
    <row r="3494" spans="1:1" x14ac:dyDescent="0.5">
      <c r="A3494" s="15" t="str">
        <f t="shared" ca="1" si="55"/>
        <v/>
      </c>
    </row>
    <row r="3495" spans="1:1" x14ac:dyDescent="0.5">
      <c r="A3495" s="15" t="str">
        <f t="shared" ca="1" si="55"/>
        <v/>
      </c>
    </row>
    <row r="3496" spans="1:1" x14ac:dyDescent="0.5">
      <c r="A3496" s="15" t="str">
        <f t="shared" ca="1" si="55"/>
        <v/>
      </c>
    </row>
    <row r="3497" spans="1:1" x14ac:dyDescent="0.5">
      <c r="A3497" s="15" t="str">
        <f t="shared" ca="1" si="55"/>
        <v/>
      </c>
    </row>
    <row r="3498" spans="1:1" x14ac:dyDescent="0.5">
      <c r="A3498" s="15" t="str">
        <f t="shared" ca="1" si="55"/>
        <v/>
      </c>
    </row>
    <row r="3499" spans="1:1" x14ac:dyDescent="0.5">
      <c r="A3499" s="15" t="str">
        <f t="shared" ca="1" si="55"/>
        <v/>
      </c>
    </row>
    <row r="3500" spans="1:1" x14ac:dyDescent="0.5">
      <c r="A3500" s="15" t="str">
        <f t="shared" ca="1" si="55"/>
        <v/>
      </c>
    </row>
    <row r="3501" spans="1:1" x14ac:dyDescent="0.5">
      <c r="A3501" s="15" t="str">
        <f t="shared" ca="1" si="55"/>
        <v/>
      </c>
    </row>
    <row r="3502" spans="1:1" x14ac:dyDescent="0.5">
      <c r="A3502" s="15" t="str">
        <f t="shared" ca="1" si="55"/>
        <v/>
      </c>
    </row>
    <row r="3503" spans="1:1" x14ac:dyDescent="0.5">
      <c r="A3503" s="15" t="str">
        <f t="shared" ca="1" si="55"/>
        <v/>
      </c>
    </row>
    <row r="3504" spans="1:1" x14ac:dyDescent="0.5">
      <c r="A3504" s="15" t="str">
        <f t="shared" ca="1" si="55"/>
        <v/>
      </c>
    </row>
    <row r="3505" spans="1:1" x14ac:dyDescent="0.5">
      <c r="A3505" s="15" t="str">
        <f t="shared" ca="1" si="55"/>
        <v/>
      </c>
    </row>
    <row r="3506" spans="1:1" x14ac:dyDescent="0.5">
      <c r="A3506" s="15" t="str">
        <f t="shared" ca="1" si="55"/>
        <v/>
      </c>
    </row>
    <row r="3507" spans="1:1" x14ac:dyDescent="0.5">
      <c r="A3507" s="15" t="str">
        <f t="shared" ca="1" si="55"/>
        <v/>
      </c>
    </row>
    <row r="3508" spans="1:1" x14ac:dyDescent="0.5">
      <c r="A3508" s="15" t="str">
        <f t="shared" ca="1" si="55"/>
        <v/>
      </c>
    </row>
    <row r="3509" spans="1:1" x14ac:dyDescent="0.5">
      <c r="A3509" s="15" t="str">
        <f t="shared" ca="1" si="55"/>
        <v/>
      </c>
    </row>
    <row r="3510" spans="1:1" x14ac:dyDescent="0.5">
      <c r="A3510" s="15" t="str">
        <f t="shared" ca="1" si="55"/>
        <v/>
      </c>
    </row>
    <row r="3511" spans="1:1" x14ac:dyDescent="0.5">
      <c r="A3511" s="15" t="str">
        <f t="shared" ca="1" si="55"/>
        <v/>
      </c>
    </row>
    <row r="3512" spans="1:1" x14ac:dyDescent="0.5">
      <c r="A3512" s="15" t="str">
        <f t="shared" ca="1" si="55"/>
        <v/>
      </c>
    </row>
    <row r="3513" spans="1:1" x14ac:dyDescent="0.5">
      <c r="A3513" s="15" t="str">
        <f t="shared" ca="1" si="55"/>
        <v/>
      </c>
    </row>
    <row r="3514" spans="1:1" x14ac:dyDescent="0.5">
      <c r="A3514" s="15" t="str">
        <f t="shared" ca="1" si="55"/>
        <v/>
      </c>
    </row>
    <row r="3515" spans="1:1" x14ac:dyDescent="0.5">
      <c r="A3515" s="15" t="str">
        <f t="shared" ca="1" si="55"/>
        <v/>
      </c>
    </row>
    <row r="3516" spans="1:1" x14ac:dyDescent="0.5">
      <c r="A3516" s="15" t="str">
        <f t="shared" ca="1" si="55"/>
        <v/>
      </c>
    </row>
    <row r="3517" spans="1:1" x14ac:dyDescent="0.5">
      <c r="A3517" s="15" t="str">
        <f t="shared" ca="1" si="55"/>
        <v/>
      </c>
    </row>
    <row r="3518" spans="1:1" x14ac:dyDescent="0.5">
      <c r="A3518" s="15" t="str">
        <f t="shared" ca="1" si="55"/>
        <v/>
      </c>
    </row>
    <row r="3519" spans="1:1" x14ac:dyDescent="0.5">
      <c r="A3519" s="15" t="str">
        <f t="shared" ca="1" si="55"/>
        <v/>
      </c>
    </row>
    <row r="3520" spans="1:1" x14ac:dyDescent="0.5">
      <c r="A3520" s="15" t="str">
        <f t="shared" ca="1" si="55"/>
        <v/>
      </c>
    </row>
    <row r="3521" spans="1:1" x14ac:dyDescent="0.5">
      <c r="A3521" s="15" t="str">
        <f t="shared" ca="1" si="55"/>
        <v/>
      </c>
    </row>
    <row r="3522" spans="1:1" x14ac:dyDescent="0.5">
      <c r="A3522" s="15" t="str">
        <f t="shared" ca="1" si="55"/>
        <v/>
      </c>
    </row>
    <row r="3523" spans="1:1" x14ac:dyDescent="0.5">
      <c r="A3523" s="15" t="str">
        <f t="shared" ca="1" si="55"/>
        <v/>
      </c>
    </row>
    <row r="3524" spans="1:1" x14ac:dyDescent="0.5">
      <c r="A3524" s="15" t="str">
        <f t="shared" ca="1" si="55"/>
        <v/>
      </c>
    </row>
    <row r="3525" spans="1:1" x14ac:dyDescent="0.5">
      <c r="A3525" s="15" t="str">
        <f t="shared" ca="1" si="55"/>
        <v/>
      </c>
    </row>
    <row r="3526" spans="1:1" x14ac:dyDescent="0.5">
      <c r="A3526" s="15" t="str">
        <f t="shared" ca="1" si="55"/>
        <v/>
      </c>
    </row>
    <row r="3527" spans="1:1" x14ac:dyDescent="0.5">
      <c r="A3527" s="15" t="str">
        <f t="shared" ca="1" si="55"/>
        <v/>
      </c>
    </row>
    <row r="3528" spans="1:1" x14ac:dyDescent="0.5">
      <c r="A3528" s="15" t="str">
        <f t="shared" ca="1" si="55"/>
        <v/>
      </c>
    </row>
    <row r="3529" spans="1:1" x14ac:dyDescent="0.5">
      <c r="A3529" s="15" t="str">
        <f t="shared" ca="1" si="55"/>
        <v/>
      </c>
    </row>
    <row r="3530" spans="1:1" x14ac:dyDescent="0.5">
      <c r="A3530" s="15" t="str">
        <f t="shared" ca="1" si="55"/>
        <v/>
      </c>
    </row>
    <row r="3531" spans="1:1" x14ac:dyDescent="0.5">
      <c r="A3531" s="15" t="str">
        <f t="shared" ca="1" si="55"/>
        <v/>
      </c>
    </row>
    <row r="3532" spans="1:1" x14ac:dyDescent="0.5">
      <c r="A3532" s="15" t="str">
        <f t="shared" ca="1" si="55"/>
        <v/>
      </c>
    </row>
    <row r="3533" spans="1:1" x14ac:dyDescent="0.5">
      <c r="A3533" s="15" t="str">
        <f t="shared" ref="A3533:A3596" ca="1" si="56">IF(ROW()-12&lt;=$B$7,_xlfn.NORM.INV(RAND(),$B$5,$B$6),"")</f>
        <v/>
      </c>
    </row>
    <row r="3534" spans="1:1" x14ac:dyDescent="0.5">
      <c r="A3534" s="15" t="str">
        <f t="shared" ca="1" si="56"/>
        <v/>
      </c>
    </row>
    <row r="3535" spans="1:1" x14ac:dyDescent="0.5">
      <c r="A3535" s="15" t="str">
        <f t="shared" ca="1" si="56"/>
        <v/>
      </c>
    </row>
    <row r="3536" spans="1:1" x14ac:dyDescent="0.5">
      <c r="A3536" s="15" t="str">
        <f t="shared" ca="1" si="56"/>
        <v/>
      </c>
    </row>
    <row r="3537" spans="1:1" x14ac:dyDescent="0.5">
      <c r="A3537" s="15" t="str">
        <f t="shared" ca="1" si="56"/>
        <v/>
      </c>
    </row>
    <row r="3538" spans="1:1" x14ac:dyDescent="0.5">
      <c r="A3538" s="15" t="str">
        <f t="shared" ca="1" si="56"/>
        <v/>
      </c>
    </row>
    <row r="3539" spans="1:1" x14ac:dyDescent="0.5">
      <c r="A3539" s="15" t="str">
        <f t="shared" ca="1" si="56"/>
        <v/>
      </c>
    </row>
    <row r="3540" spans="1:1" x14ac:dyDescent="0.5">
      <c r="A3540" s="15" t="str">
        <f t="shared" ca="1" si="56"/>
        <v/>
      </c>
    </row>
    <row r="3541" spans="1:1" x14ac:dyDescent="0.5">
      <c r="A3541" s="15" t="str">
        <f t="shared" ca="1" si="56"/>
        <v/>
      </c>
    </row>
    <row r="3542" spans="1:1" x14ac:dyDescent="0.5">
      <c r="A3542" s="15" t="str">
        <f t="shared" ca="1" si="56"/>
        <v/>
      </c>
    </row>
    <row r="3543" spans="1:1" x14ac:dyDescent="0.5">
      <c r="A3543" s="15" t="str">
        <f t="shared" ca="1" si="56"/>
        <v/>
      </c>
    </row>
    <row r="3544" spans="1:1" x14ac:dyDescent="0.5">
      <c r="A3544" s="15" t="str">
        <f t="shared" ca="1" si="56"/>
        <v/>
      </c>
    </row>
    <row r="3545" spans="1:1" x14ac:dyDescent="0.5">
      <c r="A3545" s="15" t="str">
        <f t="shared" ca="1" si="56"/>
        <v/>
      </c>
    </row>
    <row r="3546" spans="1:1" x14ac:dyDescent="0.5">
      <c r="A3546" s="15" t="str">
        <f t="shared" ca="1" si="56"/>
        <v/>
      </c>
    </row>
    <row r="3547" spans="1:1" x14ac:dyDescent="0.5">
      <c r="A3547" s="15" t="str">
        <f t="shared" ca="1" si="56"/>
        <v/>
      </c>
    </row>
    <row r="3548" spans="1:1" x14ac:dyDescent="0.5">
      <c r="A3548" s="15" t="str">
        <f t="shared" ca="1" si="56"/>
        <v/>
      </c>
    </row>
    <row r="3549" spans="1:1" x14ac:dyDescent="0.5">
      <c r="A3549" s="15" t="str">
        <f t="shared" ca="1" si="56"/>
        <v/>
      </c>
    </row>
    <row r="3550" spans="1:1" x14ac:dyDescent="0.5">
      <c r="A3550" s="15" t="str">
        <f t="shared" ca="1" si="56"/>
        <v/>
      </c>
    </row>
    <row r="3551" spans="1:1" x14ac:dyDescent="0.5">
      <c r="A3551" s="15" t="str">
        <f t="shared" ca="1" si="56"/>
        <v/>
      </c>
    </row>
    <row r="3552" spans="1:1" x14ac:dyDescent="0.5">
      <c r="A3552" s="15" t="str">
        <f t="shared" ca="1" si="56"/>
        <v/>
      </c>
    </row>
    <row r="3553" spans="1:1" x14ac:dyDescent="0.5">
      <c r="A3553" s="15" t="str">
        <f t="shared" ca="1" si="56"/>
        <v/>
      </c>
    </row>
    <row r="3554" spans="1:1" x14ac:dyDescent="0.5">
      <c r="A3554" s="15" t="str">
        <f t="shared" ca="1" si="56"/>
        <v/>
      </c>
    </row>
    <row r="3555" spans="1:1" x14ac:dyDescent="0.5">
      <c r="A3555" s="15" t="str">
        <f t="shared" ca="1" si="56"/>
        <v/>
      </c>
    </row>
    <row r="3556" spans="1:1" x14ac:dyDescent="0.5">
      <c r="A3556" s="15" t="str">
        <f t="shared" ca="1" si="56"/>
        <v/>
      </c>
    </row>
    <row r="3557" spans="1:1" x14ac:dyDescent="0.5">
      <c r="A3557" s="15" t="str">
        <f t="shared" ca="1" si="56"/>
        <v/>
      </c>
    </row>
    <row r="3558" spans="1:1" x14ac:dyDescent="0.5">
      <c r="A3558" s="15" t="str">
        <f t="shared" ca="1" si="56"/>
        <v/>
      </c>
    </row>
    <row r="3559" spans="1:1" x14ac:dyDescent="0.5">
      <c r="A3559" s="15" t="str">
        <f t="shared" ca="1" si="56"/>
        <v/>
      </c>
    </row>
    <row r="3560" spans="1:1" x14ac:dyDescent="0.5">
      <c r="A3560" s="15" t="str">
        <f t="shared" ca="1" si="56"/>
        <v/>
      </c>
    </row>
    <row r="3561" spans="1:1" x14ac:dyDescent="0.5">
      <c r="A3561" s="15" t="str">
        <f t="shared" ca="1" si="56"/>
        <v/>
      </c>
    </row>
    <row r="3562" spans="1:1" x14ac:dyDescent="0.5">
      <c r="A3562" s="15" t="str">
        <f t="shared" ca="1" si="56"/>
        <v/>
      </c>
    </row>
    <row r="3563" spans="1:1" x14ac:dyDescent="0.5">
      <c r="A3563" s="15" t="str">
        <f t="shared" ca="1" si="56"/>
        <v/>
      </c>
    </row>
    <row r="3564" spans="1:1" x14ac:dyDescent="0.5">
      <c r="A3564" s="15" t="str">
        <f t="shared" ca="1" si="56"/>
        <v/>
      </c>
    </row>
    <row r="3565" spans="1:1" x14ac:dyDescent="0.5">
      <c r="A3565" s="15" t="str">
        <f t="shared" ca="1" si="56"/>
        <v/>
      </c>
    </row>
    <row r="3566" spans="1:1" x14ac:dyDescent="0.5">
      <c r="A3566" s="15" t="str">
        <f t="shared" ca="1" si="56"/>
        <v/>
      </c>
    </row>
    <row r="3567" spans="1:1" x14ac:dyDescent="0.5">
      <c r="A3567" s="15" t="str">
        <f t="shared" ca="1" si="56"/>
        <v/>
      </c>
    </row>
    <row r="3568" spans="1:1" x14ac:dyDescent="0.5">
      <c r="A3568" s="15" t="str">
        <f t="shared" ca="1" si="56"/>
        <v/>
      </c>
    </row>
    <row r="3569" spans="1:1" x14ac:dyDescent="0.5">
      <c r="A3569" s="15" t="str">
        <f t="shared" ca="1" si="56"/>
        <v/>
      </c>
    </row>
    <row r="3570" spans="1:1" x14ac:dyDescent="0.5">
      <c r="A3570" s="15" t="str">
        <f t="shared" ca="1" si="56"/>
        <v/>
      </c>
    </row>
    <row r="3571" spans="1:1" x14ac:dyDescent="0.5">
      <c r="A3571" s="15" t="str">
        <f t="shared" ca="1" si="56"/>
        <v/>
      </c>
    </row>
    <row r="3572" spans="1:1" x14ac:dyDescent="0.5">
      <c r="A3572" s="15" t="str">
        <f t="shared" ca="1" si="56"/>
        <v/>
      </c>
    </row>
    <row r="3573" spans="1:1" x14ac:dyDescent="0.5">
      <c r="A3573" s="15" t="str">
        <f t="shared" ca="1" si="56"/>
        <v/>
      </c>
    </row>
    <row r="3574" spans="1:1" x14ac:dyDescent="0.5">
      <c r="A3574" s="15" t="str">
        <f t="shared" ca="1" si="56"/>
        <v/>
      </c>
    </row>
    <row r="3575" spans="1:1" x14ac:dyDescent="0.5">
      <c r="A3575" s="15" t="str">
        <f t="shared" ca="1" si="56"/>
        <v/>
      </c>
    </row>
    <row r="3576" spans="1:1" x14ac:dyDescent="0.5">
      <c r="A3576" s="15" t="str">
        <f t="shared" ca="1" si="56"/>
        <v/>
      </c>
    </row>
    <row r="3577" spans="1:1" x14ac:dyDescent="0.5">
      <c r="A3577" s="15" t="str">
        <f t="shared" ca="1" si="56"/>
        <v/>
      </c>
    </row>
    <row r="3578" spans="1:1" x14ac:dyDescent="0.5">
      <c r="A3578" s="15" t="str">
        <f t="shared" ca="1" si="56"/>
        <v/>
      </c>
    </row>
    <row r="3579" spans="1:1" x14ac:dyDescent="0.5">
      <c r="A3579" s="15" t="str">
        <f t="shared" ca="1" si="56"/>
        <v/>
      </c>
    </row>
    <row r="3580" spans="1:1" x14ac:dyDescent="0.5">
      <c r="A3580" s="15" t="str">
        <f t="shared" ca="1" si="56"/>
        <v/>
      </c>
    </row>
    <row r="3581" spans="1:1" x14ac:dyDescent="0.5">
      <c r="A3581" s="15" t="str">
        <f t="shared" ca="1" si="56"/>
        <v/>
      </c>
    </row>
    <row r="3582" spans="1:1" x14ac:dyDescent="0.5">
      <c r="A3582" s="15" t="str">
        <f t="shared" ca="1" si="56"/>
        <v/>
      </c>
    </row>
    <row r="3583" spans="1:1" x14ac:dyDescent="0.5">
      <c r="A3583" s="15" t="str">
        <f t="shared" ca="1" si="56"/>
        <v/>
      </c>
    </row>
    <row r="3584" spans="1:1" x14ac:dyDescent="0.5">
      <c r="A3584" s="15" t="str">
        <f t="shared" ca="1" si="56"/>
        <v/>
      </c>
    </row>
    <row r="3585" spans="1:1" x14ac:dyDescent="0.5">
      <c r="A3585" s="15" t="str">
        <f t="shared" ca="1" si="56"/>
        <v/>
      </c>
    </row>
    <row r="3586" spans="1:1" x14ac:dyDescent="0.5">
      <c r="A3586" s="15" t="str">
        <f t="shared" ca="1" si="56"/>
        <v/>
      </c>
    </row>
    <row r="3587" spans="1:1" x14ac:dyDescent="0.5">
      <c r="A3587" s="15" t="str">
        <f t="shared" ca="1" si="56"/>
        <v/>
      </c>
    </row>
    <row r="3588" spans="1:1" x14ac:dyDescent="0.5">
      <c r="A3588" s="15" t="str">
        <f t="shared" ca="1" si="56"/>
        <v/>
      </c>
    </row>
    <row r="3589" spans="1:1" x14ac:dyDescent="0.5">
      <c r="A3589" s="15" t="str">
        <f t="shared" ca="1" si="56"/>
        <v/>
      </c>
    </row>
    <row r="3590" spans="1:1" x14ac:dyDescent="0.5">
      <c r="A3590" s="15" t="str">
        <f t="shared" ca="1" si="56"/>
        <v/>
      </c>
    </row>
    <row r="3591" spans="1:1" x14ac:dyDescent="0.5">
      <c r="A3591" s="15" t="str">
        <f t="shared" ca="1" si="56"/>
        <v/>
      </c>
    </row>
    <row r="3592" spans="1:1" x14ac:dyDescent="0.5">
      <c r="A3592" s="15" t="str">
        <f t="shared" ca="1" si="56"/>
        <v/>
      </c>
    </row>
    <row r="3593" spans="1:1" x14ac:dyDescent="0.5">
      <c r="A3593" s="15" t="str">
        <f t="shared" ca="1" si="56"/>
        <v/>
      </c>
    </row>
    <row r="3594" spans="1:1" x14ac:dyDescent="0.5">
      <c r="A3594" s="15" t="str">
        <f t="shared" ca="1" si="56"/>
        <v/>
      </c>
    </row>
    <row r="3595" spans="1:1" x14ac:dyDescent="0.5">
      <c r="A3595" s="15" t="str">
        <f t="shared" ca="1" si="56"/>
        <v/>
      </c>
    </row>
    <row r="3596" spans="1:1" x14ac:dyDescent="0.5">
      <c r="A3596" s="15" t="str">
        <f t="shared" ca="1" si="56"/>
        <v/>
      </c>
    </row>
    <row r="3597" spans="1:1" x14ac:dyDescent="0.5">
      <c r="A3597" s="15" t="str">
        <f t="shared" ref="A3597:A3660" ca="1" si="57">IF(ROW()-12&lt;=$B$7,_xlfn.NORM.INV(RAND(),$B$5,$B$6),"")</f>
        <v/>
      </c>
    </row>
    <row r="3598" spans="1:1" x14ac:dyDescent="0.5">
      <c r="A3598" s="15" t="str">
        <f t="shared" ca="1" si="57"/>
        <v/>
      </c>
    </row>
    <row r="3599" spans="1:1" x14ac:dyDescent="0.5">
      <c r="A3599" s="15" t="str">
        <f t="shared" ca="1" si="57"/>
        <v/>
      </c>
    </row>
    <row r="3600" spans="1:1" x14ac:dyDescent="0.5">
      <c r="A3600" s="15" t="str">
        <f t="shared" ca="1" si="57"/>
        <v/>
      </c>
    </row>
    <row r="3601" spans="1:1" x14ac:dyDescent="0.5">
      <c r="A3601" s="15" t="str">
        <f t="shared" ca="1" si="57"/>
        <v/>
      </c>
    </row>
    <row r="3602" spans="1:1" x14ac:dyDescent="0.5">
      <c r="A3602" s="15" t="str">
        <f t="shared" ca="1" si="57"/>
        <v/>
      </c>
    </row>
    <row r="3603" spans="1:1" x14ac:dyDescent="0.5">
      <c r="A3603" s="15" t="str">
        <f t="shared" ca="1" si="57"/>
        <v/>
      </c>
    </row>
    <row r="3604" spans="1:1" x14ac:dyDescent="0.5">
      <c r="A3604" s="15" t="str">
        <f t="shared" ca="1" si="57"/>
        <v/>
      </c>
    </row>
    <row r="3605" spans="1:1" x14ac:dyDescent="0.5">
      <c r="A3605" s="15" t="str">
        <f t="shared" ca="1" si="57"/>
        <v/>
      </c>
    </row>
    <row r="3606" spans="1:1" x14ac:dyDescent="0.5">
      <c r="A3606" s="15" t="str">
        <f t="shared" ca="1" si="57"/>
        <v/>
      </c>
    </row>
    <row r="3607" spans="1:1" x14ac:dyDescent="0.5">
      <c r="A3607" s="15" t="str">
        <f t="shared" ca="1" si="57"/>
        <v/>
      </c>
    </row>
    <row r="3608" spans="1:1" x14ac:dyDescent="0.5">
      <c r="A3608" s="15" t="str">
        <f t="shared" ca="1" si="57"/>
        <v/>
      </c>
    </row>
    <row r="3609" spans="1:1" x14ac:dyDescent="0.5">
      <c r="A3609" s="15" t="str">
        <f t="shared" ca="1" si="57"/>
        <v/>
      </c>
    </row>
    <row r="3610" spans="1:1" x14ac:dyDescent="0.5">
      <c r="A3610" s="15" t="str">
        <f t="shared" ca="1" si="57"/>
        <v/>
      </c>
    </row>
    <row r="3611" spans="1:1" x14ac:dyDescent="0.5">
      <c r="A3611" s="15" t="str">
        <f t="shared" ca="1" si="57"/>
        <v/>
      </c>
    </row>
    <row r="3612" spans="1:1" x14ac:dyDescent="0.5">
      <c r="A3612" s="15" t="str">
        <f t="shared" ca="1" si="57"/>
        <v/>
      </c>
    </row>
    <row r="3613" spans="1:1" x14ac:dyDescent="0.5">
      <c r="A3613" s="15" t="str">
        <f t="shared" ca="1" si="57"/>
        <v/>
      </c>
    </row>
    <row r="3614" spans="1:1" x14ac:dyDescent="0.5">
      <c r="A3614" s="15" t="str">
        <f t="shared" ca="1" si="57"/>
        <v/>
      </c>
    </row>
    <row r="3615" spans="1:1" x14ac:dyDescent="0.5">
      <c r="A3615" s="15" t="str">
        <f t="shared" ca="1" si="57"/>
        <v/>
      </c>
    </row>
    <row r="3616" spans="1:1" x14ac:dyDescent="0.5">
      <c r="A3616" s="15" t="str">
        <f t="shared" ca="1" si="57"/>
        <v/>
      </c>
    </row>
    <row r="3617" spans="1:1" x14ac:dyDescent="0.5">
      <c r="A3617" s="15" t="str">
        <f t="shared" ca="1" si="57"/>
        <v/>
      </c>
    </row>
    <row r="3618" spans="1:1" x14ac:dyDescent="0.5">
      <c r="A3618" s="15" t="str">
        <f t="shared" ca="1" si="57"/>
        <v/>
      </c>
    </row>
    <row r="3619" spans="1:1" x14ac:dyDescent="0.5">
      <c r="A3619" s="15" t="str">
        <f t="shared" ca="1" si="57"/>
        <v/>
      </c>
    </row>
    <row r="3620" spans="1:1" x14ac:dyDescent="0.5">
      <c r="A3620" s="15" t="str">
        <f t="shared" ca="1" si="57"/>
        <v/>
      </c>
    </row>
    <row r="3621" spans="1:1" x14ac:dyDescent="0.5">
      <c r="A3621" s="15" t="str">
        <f t="shared" ca="1" si="57"/>
        <v/>
      </c>
    </row>
    <row r="3622" spans="1:1" x14ac:dyDescent="0.5">
      <c r="A3622" s="15" t="str">
        <f t="shared" ca="1" si="57"/>
        <v/>
      </c>
    </row>
    <row r="3623" spans="1:1" x14ac:dyDescent="0.5">
      <c r="A3623" s="15" t="str">
        <f t="shared" ca="1" si="57"/>
        <v/>
      </c>
    </row>
    <row r="3624" spans="1:1" x14ac:dyDescent="0.5">
      <c r="A3624" s="15" t="str">
        <f t="shared" ca="1" si="57"/>
        <v/>
      </c>
    </row>
    <row r="3625" spans="1:1" x14ac:dyDescent="0.5">
      <c r="A3625" s="15" t="str">
        <f t="shared" ca="1" si="57"/>
        <v/>
      </c>
    </row>
    <row r="3626" spans="1:1" x14ac:dyDescent="0.5">
      <c r="A3626" s="15" t="str">
        <f t="shared" ca="1" si="57"/>
        <v/>
      </c>
    </row>
    <row r="3627" spans="1:1" x14ac:dyDescent="0.5">
      <c r="A3627" s="15" t="str">
        <f t="shared" ca="1" si="57"/>
        <v/>
      </c>
    </row>
    <row r="3628" spans="1:1" x14ac:dyDescent="0.5">
      <c r="A3628" s="15" t="str">
        <f t="shared" ca="1" si="57"/>
        <v/>
      </c>
    </row>
    <row r="3629" spans="1:1" x14ac:dyDescent="0.5">
      <c r="A3629" s="15" t="str">
        <f t="shared" ca="1" si="57"/>
        <v/>
      </c>
    </row>
    <row r="3630" spans="1:1" x14ac:dyDescent="0.5">
      <c r="A3630" s="15" t="str">
        <f t="shared" ca="1" si="57"/>
        <v/>
      </c>
    </row>
    <row r="3631" spans="1:1" x14ac:dyDescent="0.5">
      <c r="A3631" s="15" t="str">
        <f t="shared" ca="1" si="57"/>
        <v/>
      </c>
    </row>
    <row r="3632" spans="1:1" x14ac:dyDescent="0.5">
      <c r="A3632" s="15" t="str">
        <f t="shared" ca="1" si="57"/>
        <v/>
      </c>
    </row>
    <row r="3633" spans="1:1" x14ac:dyDescent="0.5">
      <c r="A3633" s="15" t="str">
        <f t="shared" ca="1" si="57"/>
        <v/>
      </c>
    </row>
    <row r="3634" spans="1:1" x14ac:dyDescent="0.5">
      <c r="A3634" s="15" t="str">
        <f t="shared" ca="1" si="57"/>
        <v/>
      </c>
    </row>
    <row r="3635" spans="1:1" x14ac:dyDescent="0.5">
      <c r="A3635" s="15" t="str">
        <f t="shared" ca="1" si="57"/>
        <v/>
      </c>
    </row>
    <row r="3636" spans="1:1" x14ac:dyDescent="0.5">
      <c r="A3636" s="15" t="str">
        <f t="shared" ca="1" si="57"/>
        <v/>
      </c>
    </row>
    <row r="3637" spans="1:1" x14ac:dyDescent="0.5">
      <c r="A3637" s="15" t="str">
        <f t="shared" ca="1" si="57"/>
        <v/>
      </c>
    </row>
    <row r="3638" spans="1:1" x14ac:dyDescent="0.5">
      <c r="A3638" s="15" t="str">
        <f t="shared" ca="1" si="57"/>
        <v/>
      </c>
    </row>
    <row r="3639" spans="1:1" x14ac:dyDescent="0.5">
      <c r="A3639" s="15" t="str">
        <f t="shared" ca="1" si="57"/>
        <v/>
      </c>
    </row>
    <row r="3640" spans="1:1" x14ac:dyDescent="0.5">
      <c r="A3640" s="15" t="str">
        <f t="shared" ca="1" si="57"/>
        <v/>
      </c>
    </row>
    <row r="3641" spans="1:1" x14ac:dyDescent="0.5">
      <c r="A3641" s="15" t="str">
        <f t="shared" ca="1" si="57"/>
        <v/>
      </c>
    </row>
    <row r="3642" spans="1:1" x14ac:dyDescent="0.5">
      <c r="A3642" s="15" t="str">
        <f t="shared" ca="1" si="57"/>
        <v/>
      </c>
    </row>
    <row r="3643" spans="1:1" x14ac:dyDescent="0.5">
      <c r="A3643" s="15" t="str">
        <f t="shared" ca="1" si="57"/>
        <v/>
      </c>
    </row>
    <row r="3644" spans="1:1" x14ac:dyDescent="0.5">
      <c r="A3644" s="15" t="str">
        <f t="shared" ca="1" si="57"/>
        <v/>
      </c>
    </row>
    <row r="3645" spans="1:1" x14ac:dyDescent="0.5">
      <c r="A3645" s="15" t="str">
        <f t="shared" ca="1" si="57"/>
        <v/>
      </c>
    </row>
    <row r="3646" spans="1:1" x14ac:dyDescent="0.5">
      <c r="A3646" s="15" t="str">
        <f t="shared" ca="1" si="57"/>
        <v/>
      </c>
    </row>
    <row r="3647" spans="1:1" x14ac:dyDescent="0.5">
      <c r="A3647" s="15" t="str">
        <f t="shared" ca="1" si="57"/>
        <v/>
      </c>
    </row>
    <row r="3648" spans="1:1" x14ac:dyDescent="0.5">
      <c r="A3648" s="15" t="str">
        <f t="shared" ca="1" si="57"/>
        <v/>
      </c>
    </row>
    <row r="3649" spans="1:1" x14ac:dyDescent="0.5">
      <c r="A3649" s="15" t="str">
        <f t="shared" ca="1" si="57"/>
        <v/>
      </c>
    </row>
    <row r="3650" spans="1:1" x14ac:dyDescent="0.5">
      <c r="A3650" s="15" t="str">
        <f t="shared" ca="1" si="57"/>
        <v/>
      </c>
    </row>
    <row r="3651" spans="1:1" x14ac:dyDescent="0.5">
      <c r="A3651" s="15" t="str">
        <f t="shared" ca="1" si="57"/>
        <v/>
      </c>
    </row>
    <row r="3652" spans="1:1" x14ac:dyDescent="0.5">
      <c r="A3652" s="15" t="str">
        <f t="shared" ca="1" si="57"/>
        <v/>
      </c>
    </row>
    <row r="3653" spans="1:1" x14ac:dyDescent="0.5">
      <c r="A3653" s="15" t="str">
        <f t="shared" ca="1" si="57"/>
        <v/>
      </c>
    </row>
    <row r="3654" spans="1:1" x14ac:dyDescent="0.5">
      <c r="A3654" s="15" t="str">
        <f t="shared" ca="1" si="57"/>
        <v/>
      </c>
    </row>
    <row r="3655" spans="1:1" x14ac:dyDescent="0.5">
      <c r="A3655" s="15" t="str">
        <f t="shared" ca="1" si="57"/>
        <v/>
      </c>
    </row>
    <row r="3656" spans="1:1" x14ac:dyDescent="0.5">
      <c r="A3656" s="15" t="str">
        <f t="shared" ca="1" si="57"/>
        <v/>
      </c>
    </row>
    <row r="3657" spans="1:1" x14ac:dyDescent="0.5">
      <c r="A3657" s="15" t="str">
        <f t="shared" ca="1" si="57"/>
        <v/>
      </c>
    </row>
    <row r="3658" spans="1:1" x14ac:dyDescent="0.5">
      <c r="A3658" s="15" t="str">
        <f t="shared" ca="1" si="57"/>
        <v/>
      </c>
    </row>
    <row r="3659" spans="1:1" x14ac:dyDescent="0.5">
      <c r="A3659" s="15" t="str">
        <f t="shared" ca="1" si="57"/>
        <v/>
      </c>
    </row>
    <row r="3660" spans="1:1" x14ac:dyDescent="0.5">
      <c r="A3660" s="15" t="str">
        <f t="shared" ca="1" si="57"/>
        <v/>
      </c>
    </row>
    <row r="3661" spans="1:1" x14ac:dyDescent="0.5">
      <c r="A3661" s="15" t="str">
        <f t="shared" ref="A3661:A3724" ca="1" si="58">IF(ROW()-12&lt;=$B$7,_xlfn.NORM.INV(RAND(),$B$5,$B$6),"")</f>
        <v/>
      </c>
    </row>
    <row r="3662" spans="1:1" x14ac:dyDescent="0.5">
      <c r="A3662" s="15" t="str">
        <f t="shared" ca="1" si="58"/>
        <v/>
      </c>
    </row>
    <row r="3663" spans="1:1" x14ac:dyDescent="0.5">
      <c r="A3663" s="15" t="str">
        <f t="shared" ca="1" si="58"/>
        <v/>
      </c>
    </row>
    <row r="3664" spans="1:1" x14ac:dyDescent="0.5">
      <c r="A3664" s="15" t="str">
        <f t="shared" ca="1" si="58"/>
        <v/>
      </c>
    </row>
    <row r="3665" spans="1:1" x14ac:dyDescent="0.5">
      <c r="A3665" s="15" t="str">
        <f t="shared" ca="1" si="58"/>
        <v/>
      </c>
    </row>
    <row r="3666" spans="1:1" x14ac:dyDescent="0.5">
      <c r="A3666" s="15" t="str">
        <f t="shared" ca="1" si="58"/>
        <v/>
      </c>
    </row>
    <row r="3667" spans="1:1" x14ac:dyDescent="0.5">
      <c r="A3667" s="15" t="str">
        <f t="shared" ca="1" si="58"/>
        <v/>
      </c>
    </row>
    <row r="3668" spans="1:1" x14ac:dyDescent="0.5">
      <c r="A3668" s="15" t="str">
        <f t="shared" ca="1" si="58"/>
        <v/>
      </c>
    </row>
    <row r="3669" spans="1:1" x14ac:dyDescent="0.5">
      <c r="A3669" s="15" t="str">
        <f t="shared" ca="1" si="58"/>
        <v/>
      </c>
    </row>
    <row r="3670" spans="1:1" x14ac:dyDescent="0.5">
      <c r="A3670" s="15" t="str">
        <f t="shared" ca="1" si="58"/>
        <v/>
      </c>
    </row>
    <row r="3671" spans="1:1" x14ac:dyDescent="0.5">
      <c r="A3671" s="15" t="str">
        <f t="shared" ca="1" si="58"/>
        <v/>
      </c>
    </row>
    <row r="3672" spans="1:1" x14ac:dyDescent="0.5">
      <c r="A3672" s="15" t="str">
        <f t="shared" ca="1" si="58"/>
        <v/>
      </c>
    </row>
    <row r="3673" spans="1:1" x14ac:dyDescent="0.5">
      <c r="A3673" s="15" t="str">
        <f t="shared" ca="1" si="58"/>
        <v/>
      </c>
    </row>
    <row r="3674" spans="1:1" x14ac:dyDescent="0.5">
      <c r="A3674" s="15" t="str">
        <f t="shared" ca="1" si="58"/>
        <v/>
      </c>
    </row>
    <row r="3675" spans="1:1" x14ac:dyDescent="0.5">
      <c r="A3675" s="15" t="str">
        <f t="shared" ca="1" si="58"/>
        <v/>
      </c>
    </row>
    <row r="3676" spans="1:1" x14ac:dyDescent="0.5">
      <c r="A3676" s="15" t="str">
        <f t="shared" ca="1" si="58"/>
        <v/>
      </c>
    </row>
    <row r="3677" spans="1:1" x14ac:dyDescent="0.5">
      <c r="A3677" s="15" t="str">
        <f t="shared" ca="1" si="58"/>
        <v/>
      </c>
    </row>
    <row r="3678" spans="1:1" x14ac:dyDescent="0.5">
      <c r="A3678" s="15" t="str">
        <f t="shared" ca="1" si="58"/>
        <v/>
      </c>
    </row>
    <row r="3679" spans="1:1" x14ac:dyDescent="0.5">
      <c r="A3679" s="15" t="str">
        <f t="shared" ca="1" si="58"/>
        <v/>
      </c>
    </row>
    <row r="3680" spans="1:1" x14ac:dyDescent="0.5">
      <c r="A3680" s="15" t="str">
        <f t="shared" ca="1" si="58"/>
        <v/>
      </c>
    </row>
    <row r="3681" spans="1:1" x14ac:dyDescent="0.5">
      <c r="A3681" s="15" t="str">
        <f t="shared" ca="1" si="58"/>
        <v/>
      </c>
    </row>
    <row r="3682" spans="1:1" x14ac:dyDescent="0.5">
      <c r="A3682" s="15" t="str">
        <f t="shared" ca="1" si="58"/>
        <v/>
      </c>
    </row>
    <row r="3683" spans="1:1" x14ac:dyDescent="0.5">
      <c r="A3683" s="15" t="str">
        <f t="shared" ca="1" si="58"/>
        <v/>
      </c>
    </row>
    <row r="3684" spans="1:1" x14ac:dyDescent="0.5">
      <c r="A3684" s="15" t="str">
        <f t="shared" ca="1" si="58"/>
        <v/>
      </c>
    </row>
    <row r="3685" spans="1:1" x14ac:dyDescent="0.5">
      <c r="A3685" s="15" t="str">
        <f t="shared" ca="1" si="58"/>
        <v/>
      </c>
    </row>
    <row r="3686" spans="1:1" x14ac:dyDescent="0.5">
      <c r="A3686" s="15" t="str">
        <f t="shared" ca="1" si="58"/>
        <v/>
      </c>
    </row>
    <row r="3687" spans="1:1" x14ac:dyDescent="0.5">
      <c r="A3687" s="15" t="str">
        <f t="shared" ca="1" si="58"/>
        <v/>
      </c>
    </row>
    <row r="3688" spans="1:1" x14ac:dyDescent="0.5">
      <c r="A3688" s="15" t="str">
        <f t="shared" ca="1" si="58"/>
        <v/>
      </c>
    </row>
    <row r="3689" spans="1:1" x14ac:dyDescent="0.5">
      <c r="A3689" s="15" t="str">
        <f t="shared" ca="1" si="58"/>
        <v/>
      </c>
    </row>
    <row r="3690" spans="1:1" x14ac:dyDescent="0.5">
      <c r="A3690" s="15" t="str">
        <f t="shared" ca="1" si="58"/>
        <v/>
      </c>
    </row>
    <row r="3691" spans="1:1" x14ac:dyDescent="0.5">
      <c r="A3691" s="15" t="str">
        <f t="shared" ca="1" si="58"/>
        <v/>
      </c>
    </row>
    <row r="3692" spans="1:1" x14ac:dyDescent="0.5">
      <c r="A3692" s="15" t="str">
        <f t="shared" ca="1" si="58"/>
        <v/>
      </c>
    </row>
    <row r="3693" spans="1:1" x14ac:dyDescent="0.5">
      <c r="A3693" s="15" t="str">
        <f t="shared" ca="1" si="58"/>
        <v/>
      </c>
    </row>
    <row r="3694" spans="1:1" x14ac:dyDescent="0.5">
      <c r="A3694" s="15" t="str">
        <f t="shared" ca="1" si="58"/>
        <v/>
      </c>
    </row>
    <row r="3695" spans="1:1" x14ac:dyDescent="0.5">
      <c r="A3695" s="15" t="str">
        <f t="shared" ca="1" si="58"/>
        <v/>
      </c>
    </row>
    <row r="3696" spans="1:1" x14ac:dyDescent="0.5">
      <c r="A3696" s="15" t="str">
        <f t="shared" ca="1" si="58"/>
        <v/>
      </c>
    </row>
    <row r="3697" spans="1:1" x14ac:dyDescent="0.5">
      <c r="A3697" s="15" t="str">
        <f t="shared" ca="1" si="58"/>
        <v/>
      </c>
    </row>
    <row r="3698" spans="1:1" x14ac:dyDescent="0.5">
      <c r="A3698" s="15" t="str">
        <f t="shared" ca="1" si="58"/>
        <v/>
      </c>
    </row>
    <row r="3699" spans="1:1" x14ac:dyDescent="0.5">
      <c r="A3699" s="15" t="str">
        <f t="shared" ca="1" si="58"/>
        <v/>
      </c>
    </row>
    <row r="3700" spans="1:1" x14ac:dyDescent="0.5">
      <c r="A3700" s="15" t="str">
        <f t="shared" ca="1" si="58"/>
        <v/>
      </c>
    </row>
    <row r="3701" spans="1:1" x14ac:dyDescent="0.5">
      <c r="A3701" s="15" t="str">
        <f t="shared" ca="1" si="58"/>
        <v/>
      </c>
    </row>
    <row r="3702" spans="1:1" x14ac:dyDescent="0.5">
      <c r="A3702" s="15" t="str">
        <f t="shared" ca="1" si="58"/>
        <v/>
      </c>
    </row>
    <row r="3703" spans="1:1" x14ac:dyDescent="0.5">
      <c r="A3703" s="15" t="str">
        <f t="shared" ca="1" si="58"/>
        <v/>
      </c>
    </row>
    <row r="3704" spans="1:1" x14ac:dyDescent="0.5">
      <c r="A3704" s="15" t="str">
        <f t="shared" ca="1" si="58"/>
        <v/>
      </c>
    </row>
    <row r="3705" spans="1:1" x14ac:dyDescent="0.5">
      <c r="A3705" s="15" t="str">
        <f t="shared" ca="1" si="58"/>
        <v/>
      </c>
    </row>
    <row r="3706" spans="1:1" x14ac:dyDescent="0.5">
      <c r="A3706" s="15" t="str">
        <f t="shared" ca="1" si="58"/>
        <v/>
      </c>
    </row>
    <row r="3707" spans="1:1" x14ac:dyDescent="0.5">
      <c r="A3707" s="15" t="str">
        <f t="shared" ca="1" si="58"/>
        <v/>
      </c>
    </row>
    <row r="3708" spans="1:1" x14ac:dyDescent="0.5">
      <c r="A3708" s="15" t="str">
        <f t="shared" ca="1" si="58"/>
        <v/>
      </c>
    </row>
    <row r="3709" spans="1:1" x14ac:dyDescent="0.5">
      <c r="A3709" s="15" t="str">
        <f t="shared" ca="1" si="58"/>
        <v/>
      </c>
    </row>
    <row r="3710" spans="1:1" x14ac:dyDescent="0.5">
      <c r="A3710" s="15" t="str">
        <f t="shared" ca="1" si="58"/>
        <v/>
      </c>
    </row>
    <row r="3711" spans="1:1" x14ac:dyDescent="0.5">
      <c r="A3711" s="15" t="str">
        <f t="shared" ca="1" si="58"/>
        <v/>
      </c>
    </row>
    <row r="3712" spans="1:1" x14ac:dyDescent="0.5">
      <c r="A3712" s="15" t="str">
        <f t="shared" ca="1" si="58"/>
        <v/>
      </c>
    </row>
    <row r="3713" spans="1:1" x14ac:dyDescent="0.5">
      <c r="A3713" s="15" t="str">
        <f t="shared" ca="1" si="58"/>
        <v/>
      </c>
    </row>
    <row r="3714" spans="1:1" x14ac:dyDescent="0.5">
      <c r="A3714" s="15" t="str">
        <f t="shared" ca="1" si="58"/>
        <v/>
      </c>
    </row>
    <row r="3715" spans="1:1" x14ac:dyDescent="0.5">
      <c r="A3715" s="15" t="str">
        <f t="shared" ca="1" si="58"/>
        <v/>
      </c>
    </row>
    <row r="3716" spans="1:1" x14ac:dyDescent="0.5">
      <c r="A3716" s="15" t="str">
        <f t="shared" ca="1" si="58"/>
        <v/>
      </c>
    </row>
    <row r="3717" spans="1:1" x14ac:dyDescent="0.5">
      <c r="A3717" s="15" t="str">
        <f t="shared" ca="1" si="58"/>
        <v/>
      </c>
    </row>
    <row r="3718" spans="1:1" x14ac:dyDescent="0.5">
      <c r="A3718" s="15" t="str">
        <f t="shared" ca="1" si="58"/>
        <v/>
      </c>
    </row>
    <row r="3719" spans="1:1" x14ac:dyDescent="0.5">
      <c r="A3719" s="15" t="str">
        <f t="shared" ca="1" si="58"/>
        <v/>
      </c>
    </row>
    <row r="3720" spans="1:1" x14ac:dyDescent="0.5">
      <c r="A3720" s="15" t="str">
        <f t="shared" ca="1" si="58"/>
        <v/>
      </c>
    </row>
    <row r="3721" spans="1:1" x14ac:dyDescent="0.5">
      <c r="A3721" s="15" t="str">
        <f t="shared" ca="1" si="58"/>
        <v/>
      </c>
    </row>
    <row r="3722" spans="1:1" x14ac:dyDescent="0.5">
      <c r="A3722" s="15" t="str">
        <f t="shared" ca="1" si="58"/>
        <v/>
      </c>
    </row>
    <row r="3723" spans="1:1" x14ac:dyDescent="0.5">
      <c r="A3723" s="15" t="str">
        <f t="shared" ca="1" si="58"/>
        <v/>
      </c>
    </row>
    <row r="3724" spans="1:1" x14ac:dyDescent="0.5">
      <c r="A3724" s="15" t="str">
        <f t="shared" ca="1" si="58"/>
        <v/>
      </c>
    </row>
    <row r="3725" spans="1:1" x14ac:dyDescent="0.5">
      <c r="A3725" s="15" t="str">
        <f t="shared" ref="A3725:A3788" ca="1" si="59">IF(ROW()-12&lt;=$B$7,_xlfn.NORM.INV(RAND(),$B$5,$B$6),"")</f>
        <v/>
      </c>
    </row>
    <row r="3726" spans="1:1" x14ac:dyDescent="0.5">
      <c r="A3726" s="15" t="str">
        <f t="shared" ca="1" si="59"/>
        <v/>
      </c>
    </row>
    <row r="3727" spans="1:1" x14ac:dyDescent="0.5">
      <c r="A3727" s="15" t="str">
        <f t="shared" ca="1" si="59"/>
        <v/>
      </c>
    </row>
    <row r="3728" spans="1:1" x14ac:dyDescent="0.5">
      <c r="A3728" s="15" t="str">
        <f t="shared" ca="1" si="59"/>
        <v/>
      </c>
    </row>
    <row r="3729" spans="1:1" x14ac:dyDescent="0.5">
      <c r="A3729" s="15" t="str">
        <f t="shared" ca="1" si="59"/>
        <v/>
      </c>
    </row>
    <row r="3730" spans="1:1" x14ac:dyDescent="0.5">
      <c r="A3730" s="15" t="str">
        <f t="shared" ca="1" si="59"/>
        <v/>
      </c>
    </row>
    <row r="3731" spans="1:1" x14ac:dyDescent="0.5">
      <c r="A3731" s="15" t="str">
        <f t="shared" ca="1" si="59"/>
        <v/>
      </c>
    </row>
    <row r="3732" spans="1:1" x14ac:dyDescent="0.5">
      <c r="A3732" s="15" t="str">
        <f t="shared" ca="1" si="59"/>
        <v/>
      </c>
    </row>
    <row r="3733" spans="1:1" x14ac:dyDescent="0.5">
      <c r="A3733" s="15" t="str">
        <f t="shared" ca="1" si="59"/>
        <v/>
      </c>
    </row>
    <row r="3734" spans="1:1" x14ac:dyDescent="0.5">
      <c r="A3734" s="15" t="str">
        <f t="shared" ca="1" si="59"/>
        <v/>
      </c>
    </row>
    <row r="3735" spans="1:1" x14ac:dyDescent="0.5">
      <c r="A3735" s="15" t="str">
        <f t="shared" ca="1" si="59"/>
        <v/>
      </c>
    </row>
    <row r="3736" spans="1:1" x14ac:dyDescent="0.5">
      <c r="A3736" s="15" t="str">
        <f t="shared" ca="1" si="59"/>
        <v/>
      </c>
    </row>
    <row r="3737" spans="1:1" x14ac:dyDescent="0.5">
      <c r="A3737" s="15" t="str">
        <f t="shared" ca="1" si="59"/>
        <v/>
      </c>
    </row>
    <row r="3738" spans="1:1" x14ac:dyDescent="0.5">
      <c r="A3738" s="15" t="str">
        <f t="shared" ca="1" si="59"/>
        <v/>
      </c>
    </row>
    <row r="3739" spans="1:1" x14ac:dyDescent="0.5">
      <c r="A3739" s="15" t="str">
        <f t="shared" ca="1" si="59"/>
        <v/>
      </c>
    </row>
    <row r="3740" spans="1:1" x14ac:dyDescent="0.5">
      <c r="A3740" s="15" t="str">
        <f t="shared" ca="1" si="59"/>
        <v/>
      </c>
    </row>
    <row r="3741" spans="1:1" x14ac:dyDescent="0.5">
      <c r="A3741" s="15" t="str">
        <f t="shared" ca="1" si="59"/>
        <v/>
      </c>
    </row>
    <row r="3742" spans="1:1" x14ac:dyDescent="0.5">
      <c r="A3742" s="15" t="str">
        <f t="shared" ca="1" si="59"/>
        <v/>
      </c>
    </row>
    <row r="3743" spans="1:1" x14ac:dyDescent="0.5">
      <c r="A3743" s="15" t="str">
        <f t="shared" ca="1" si="59"/>
        <v/>
      </c>
    </row>
    <row r="3744" spans="1:1" x14ac:dyDescent="0.5">
      <c r="A3744" s="15" t="str">
        <f t="shared" ca="1" si="59"/>
        <v/>
      </c>
    </row>
    <row r="3745" spans="1:1" x14ac:dyDescent="0.5">
      <c r="A3745" s="15" t="str">
        <f t="shared" ca="1" si="59"/>
        <v/>
      </c>
    </row>
    <row r="3746" spans="1:1" x14ac:dyDescent="0.5">
      <c r="A3746" s="15" t="str">
        <f t="shared" ca="1" si="59"/>
        <v/>
      </c>
    </row>
    <row r="3747" spans="1:1" x14ac:dyDescent="0.5">
      <c r="A3747" s="15" t="str">
        <f t="shared" ca="1" si="59"/>
        <v/>
      </c>
    </row>
    <row r="3748" spans="1:1" x14ac:dyDescent="0.5">
      <c r="A3748" s="15" t="str">
        <f t="shared" ca="1" si="59"/>
        <v/>
      </c>
    </row>
    <row r="3749" spans="1:1" x14ac:dyDescent="0.5">
      <c r="A3749" s="15" t="str">
        <f t="shared" ca="1" si="59"/>
        <v/>
      </c>
    </row>
    <row r="3750" spans="1:1" x14ac:dyDescent="0.5">
      <c r="A3750" s="15" t="str">
        <f t="shared" ca="1" si="59"/>
        <v/>
      </c>
    </row>
    <row r="3751" spans="1:1" x14ac:dyDescent="0.5">
      <c r="A3751" s="15" t="str">
        <f t="shared" ca="1" si="59"/>
        <v/>
      </c>
    </row>
    <row r="3752" spans="1:1" x14ac:dyDescent="0.5">
      <c r="A3752" s="15" t="str">
        <f t="shared" ca="1" si="59"/>
        <v/>
      </c>
    </row>
    <row r="3753" spans="1:1" x14ac:dyDescent="0.5">
      <c r="A3753" s="15" t="str">
        <f t="shared" ca="1" si="59"/>
        <v/>
      </c>
    </row>
    <row r="3754" spans="1:1" x14ac:dyDescent="0.5">
      <c r="A3754" s="15" t="str">
        <f t="shared" ca="1" si="59"/>
        <v/>
      </c>
    </row>
    <row r="3755" spans="1:1" x14ac:dyDescent="0.5">
      <c r="A3755" s="15" t="str">
        <f t="shared" ca="1" si="59"/>
        <v/>
      </c>
    </row>
    <row r="3756" spans="1:1" x14ac:dyDescent="0.5">
      <c r="A3756" s="15" t="str">
        <f t="shared" ca="1" si="59"/>
        <v/>
      </c>
    </row>
    <row r="3757" spans="1:1" x14ac:dyDescent="0.5">
      <c r="A3757" s="15" t="str">
        <f t="shared" ca="1" si="59"/>
        <v/>
      </c>
    </row>
    <row r="3758" spans="1:1" x14ac:dyDescent="0.5">
      <c r="A3758" s="15" t="str">
        <f t="shared" ca="1" si="59"/>
        <v/>
      </c>
    </row>
    <row r="3759" spans="1:1" x14ac:dyDescent="0.5">
      <c r="A3759" s="15" t="str">
        <f t="shared" ca="1" si="59"/>
        <v/>
      </c>
    </row>
    <row r="3760" spans="1:1" x14ac:dyDescent="0.5">
      <c r="A3760" s="15" t="str">
        <f t="shared" ca="1" si="59"/>
        <v/>
      </c>
    </row>
    <row r="3761" spans="1:1" x14ac:dyDescent="0.5">
      <c r="A3761" s="15" t="str">
        <f t="shared" ca="1" si="59"/>
        <v/>
      </c>
    </row>
    <row r="3762" spans="1:1" x14ac:dyDescent="0.5">
      <c r="A3762" s="15" t="str">
        <f t="shared" ca="1" si="59"/>
        <v/>
      </c>
    </row>
    <row r="3763" spans="1:1" x14ac:dyDescent="0.5">
      <c r="A3763" s="15" t="str">
        <f t="shared" ca="1" si="59"/>
        <v/>
      </c>
    </row>
    <row r="3764" spans="1:1" x14ac:dyDescent="0.5">
      <c r="A3764" s="15" t="str">
        <f t="shared" ca="1" si="59"/>
        <v/>
      </c>
    </row>
    <row r="3765" spans="1:1" x14ac:dyDescent="0.5">
      <c r="A3765" s="15" t="str">
        <f t="shared" ca="1" si="59"/>
        <v/>
      </c>
    </row>
    <row r="3766" spans="1:1" x14ac:dyDescent="0.5">
      <c r="A3766" s="15" t="str">
        <f t="shared" ca="1" si="59"/>
        <v/>
      </c>
    </row>
    <row r="3767" spans="1:1" x14ac:dyDescent="0.5">
      <c r="A3767" s="15" t="str">
        <f t="shared" ca="1" si="59"/>
        <v/>
      </c>
    </row>
    <row r="3768" spans="1:1" x14ac:dyDescent="0.5">
      <c r="A3768" s="15" t="str">
        <f t="shared" ca="1" si="59"/>
        <v/>
      </c>
    </row>
    <row r="3769" spans="1:1" x14ac:dyDescent="0.5">
      <c r="A3769" s="15" t="str">
        <f t="shared" ca="1" si="59"/>
        <v/>
      </c>
    </row>
    <row r="3770" spans="1:1" x14ac:dyDescent="0.5">
      <c r="A3770" s="15" t="str">
        <f t="shared" ca="1" si="59"/>
        <v/>
      </c>
    </row>
    <row r="3771" spans="1:1" x14ac:dyDescent="0.5">
      <c r="A3771" s="15" t="str">
        <f t="shared" ca="1" si="59"/>
        <v/>
      </c>
    </row>
    <row r="3772" spans="1:1" x14ac:dyDescent="0.5">
      <c r="A3772" s="15" t="str">
        <f t="shared" ca="1" si="59"/>
        <v/>
      </c>
    </row>
    <row r="3773" spans="1:1" x14ac:dyDescent="0.5">
      <c r="A3773" s="15" t="str">
        <f t="shared" ca="1" si="59"/>
        <v/>
      </c>
    </row>
    <row r="3774" spans="1:1" x14ac:dyDescent="0.5">
      <c r="A3774" s="15" t="str">
        <f t="shared" ca="1" si="59"/>
        <v/>
      </c>
    </row>
    <row r="3775" spans="1:1" x14ac:dyDescent="0.5">
      <c r="A3775" s="15" t="str">
        <f t="shared" ca="1" si="59"/>
        <v/>
      </c>
    </row>
    <row r="3776" spans="1:1" x14ac:dyDescent="0.5">
      <c r="A3776" s="15" t="str">
        <f t="shared" ca="1" si="59"/>
        <v/>
      </c>
    </row>
    <row r="3777" spans="1:1" x14ac:dyDescent="0.5">
      <c r="A3777" s="15" t="str">
        <f t="shared" ca="1" si="59"/>
        <v/>
      </c>
    </row>
    <row r="3778" spans="1:1" x14ac:dyDescent="0.5">
      <c r="A3778" s="15" t="str">
        <f t="shared" ca="1" si="59"/>
        <v/>
      </c>
    </row>
    <row r="3779" spans="1:1" x14ac:dyDescent="0.5">
      <c r="A3779" s="15" t="str">
        <f t="shared" ca="1" si="59"/>
        <v/>
      </c>
    </row>
    <row r="3780" spans="1:1" x14ac:dyDescent="0.5">
      <c r="A3780" s="15" t="str">
        <f t="shared" ca="1" si="59"/>
        <v/>
      </c>
    </row>
    <row r="3781" spans="1:1" x14ac:dyDescent="0.5">
      <c r="A3781" s="15" t="str">
        <f t="shared" ca="1" si="59"/>
        <v/>
      </c>
    </row>
    <row r="3782" spans="1:1" x14ac:dyDescent="0.5">
      <c r="A3782" s="15" t="str">
        <f t="shared" ca="1" si="59"/>
        <v/>
      </c>
    </row>
    <row r="3783" spans="1:1" x14ac:dyDescent="0.5">
      <c r="A3783" s="15" t="str">
        <f t="shared" ca="1" si="59"/>
        <v/>
      </c>
    </row>
    <row r="3784" spans="1:1" x14ac:dyDescent="0.5">
      <c r="A3784" s="15" t="str">
        <f t="shared" ca="1" si="59"/>
        <v/>
      </c>
    </row>
    <row r="3785" spans="1:1" x14ac:dyDescent="0.5">
      <c r="A3785" s="15" t="str">
        <f t="shared" ca="1" si="59"/>
        <v/>
      </c>
    </row>
    <row r="3786" spans="1:1" x14ac:dyDescent="0.5">
      <c r="A3786" s="15" t="str">
        <f t="shared" ca="1" si="59"/>
        <v/>
      </c>
    </row>
    <row r="3787" spans="1:1" x14ac:dyDescent="0.5">
      <c r="A3787" s="15" t="str">
        <f t="shared" ca="1" si="59"/>
        <v/>
      </c>
    </row>
    <row r="3788" spans="1:1" x14ac:dyDescent="0.5">
      <c r="A3788" s="15" t="str">
        <f t="shared" ca="1" si="59"/>
        <v/>
      </c>
    </row>
    <row r="3789" spans="1:1" x14ac:dyDescent="0.5">
      <c r="A3789" s="15" t="str">
        <f t="shared" ref="A3789:A3852" ca="1" si="60">IF(ROW()-12&lt;=$B$7,_xlfn.NORM.INV(RAND(),$B$5,$B$6),"")</f>
        <v/>
      </c>
    </row>
    <row r="3790" spans="1:1" x14ac:dyDescent="0.5">
      <c r="A3790" s="15" t="str">
        <f t="shared" ca="1" si="60"/>
        <v/>
      </c>
    </row>
    <row r="3791" spans="1:1" x14ac:dyDescent="0.5">
      <c r="A3791" s="15" t="str">
        <f t="shared" ca="1" si="60"/>
        <v/>
      </c>
    </row>
    <row r="3792" spans="1:1" x14ac:dyDescent="0.5">
      <c r="A3792" s="15" t="str">
        <f t="shared" ca="1" si="60"/>
        <v/>
      </c>
    </row>
    <row r="3793" spans="1:1" x14ac:dyDescent="0.5">
      <c r="A3793" s="15" t="str">
        <f t="shared" ca="1" si="60"/>
        <v/>
      </c>
    </row>
    <row r="3794" spans="1:1" x14ac:dyDescent="0.5">
      <c r="A3794" s="15" t="str">
        <f t="shared" ca="1" si="60"/>
        <v/>
      </c>
    </row>
    <row r="3795" spans="1:1" x14ac:dyDescent="0.5">
      <c r="A3795" s="15" t="str">
        <f t="shared" ca="1" si="60"/>
        <v/>
      </c>
    </row>
    <row r="3796" spans="1:1" x14ac:dyDescent="0.5">
      <c r="A3796" s="15" t="str">
        <f t="shared" ca="1" si="60"/>
        <v/>
      </c>
    </row>
    <row r="3797" spans="1:1" x14ac:dyDescent="0.5">
      <c r="A3797" s="15" t="str">
        <f t="shared" ca="1" si="60"/>
        <v/>
      </c>
    </row>
    <row r="3798" spans="1:1" x14ac:dyDescent="0.5">
      <c r="A3798" s="15" t="str">
        <f t="shared" ca="1" si="60"/>
        <v/>
      </c>
    </row>
    <row r="3799" spans="1:1" x14ac:dyDescent="0.5">
      <c r="A3799" s="15" t="str">
        <f t="shared" ca="1" si="60"/>
        <v/>
      </c>
    </row>
    <row r="3800" spans="1:1" x14ac:dyDescent="0.5">
      <c r="A3800" s="15" t="str">
        <f t="shared" ca="1" si="60"/>
        <v/>
      </c>
    </row>
    <row r="3801" spans="1:1" x14ac:dyDescent="0.5">
      <c r="A3801" s="15" t="str">
        <f t="shared" ca="1" si="60"/>
        <v/>
      </c>
    </row>
    <row r="3802" spans="1:1" x14ac:dyDescent="0.5">
      <c r="A3802" s="15" t="str">
        <f t="shared" ca="1" si="60"/>
        <v/>
      </c>
    </row>
    <row r="3803" spans="1:1" x14ac:dyDescent="0.5">
      <c r="A3803" s="15" t="str">
        <f t="shared" ca="1" si="60"/>
        <v/>
      </c>
    </row>
    <row r="3804" spans="1:1" x14ac:dyDescent="0.5">
      <c r="A3804" s="15" t="str">
        <f t="shared" ca="1" si="60"/>
        <v/>
      </c>
    </row>
    <row r="3805" spans="1:1" x14ac:dyDescent="0.5">
      <c r="A3805" s="15" t="str">
        <f t="shared" ca="1" si="60"/>
        <v/>
      </c>
    </row>
    <row r="3806" spans="1:1" x14ac:dyDescent="0.5">
      <c r="A3806" s="15" t="str">
        <f t="shared" ca="1" si="60"/>
        <v/>
      </c>
    </row>
    <row r="3807" spans="1:1" x14ac:dyDescent="0.5">
      <c r="A3807" s="15" t="str">
        <f t="shared" ca="1" si="60"/>
        <v/>
      </c>
    </row>
    <row r="3808" spans="1:1" x14ac:dyDescent="0.5">
      <c r="A3808" s="15" t="str">
        <f t="shared" ca="1" si="60"/>
        <v/>
      </c>
    </row>
    <row r="3809" spans="1:1" x14ac:dyDescent="0.5">
      <c r="A3809" s="15" t="str">
        <f t="shared" ca="1" si="60"/>
        <v/>
      </c>
    </row>
    <row r="3810" spans="1:1" x14ac:dyDescent="0.5">
      <c r="A3810" s="15" t="str">
        <f t="shared" ca="1" si="60"/>
        <v/>
      </c>
    </row>
    <row r="3811" spans="1:1" x14ac:dyDescent="0.5">
      <c r="A3811" s="15" t="str">
        <f t="shared" ca="1" si="60"/>
        <v/>
      </c>
    </row>
    <row r="3812" spans="1:1" x14ac:dyDescent="0.5">
      <c r="A3812" s="15" t="str">
        <f t="shared" ca="1" si="60"/>
        <v/>
      </c>
    </row>
    <row r="3813" spans="1:1" x14ac:dyDescent="0.5">
      <c r="A3813" s="15" t="str">
        <f t="shared" ca="1" si="60"/>
        <v/>
      </c>
    </row>
    <row r="3814" spans="1:1" x14ac:dyDescent="0.5">
      <c r="A3814" s="15" t="str">
        <f t="shared" ca="1" si="60"/>
        <v/>
      </c>
    </row>
    <row r="3815" spans="1:1" x14ac:dyDescent="0.5">
      <c r="A3815" s="15" t="str">
        <f t="shared" ca="1" si="60"/>
        <v/>
      </c>
    </row>
    <row r="3816" spans="1:1" x14ac:dyDescent="0.5">
      <c r="A3816" s="15" t="str">
        <f t="shared" ca="1" si="60"/>
        <v/>
      </c>
    </row>
    <row r="3817" spans="1:1" x14ac:dyDescent="0.5">
      <c r="A3817" s="15" t="str">
        <f t="shared" ca="1" si="60"/>
        <v/>
      </c>
    </row>
    <row r="3818" spans="1:1" x14ac:dyDescent="0.5">
      <c r="A3818" s="15" t="str">
        <f t="shared" ca="1" si="60"/>
        <v/>
      </c>
    </row>
    <row r="3819" spans="1:1" x14ac:dyDescent="0.5">
      <c r="A3819" s="15" t="str">
        <f t="shared" ca="1" si="60"/>
        <v/>
      </c>
    </row>
    <row r="3820" spans="1:1" x14ac:dyDescent="0.5">
      <c r="A3820" s="15" t="str">
        <f t="shared" ca="1" si="60"/>
        <v/>
      </c>
    </row>
    <row r="3821" spans="1:1" x14ac:dyDescent="0.5">
      <c r="A3821" s="15" t="str">
        <f t="shared" ca="1" si="60"/>
        <v/>
      </c>
    </row>
    <row r="3822" spans="1:1" x14ac:dyDescent="0.5">
      <c r="A3822" s="15" t="str">
        <f t="shared" ca="1" si="60"/>
        <v/>
      </c>
    </row>
    <row r="3823" spans="1:1" x14ac:dyDescent="0.5">
      <c r="A3823" s="15" t="str">
        <f t="shared" ca="1" si="60"/>
        <v/>
      </c>
    </row>
    <row r="3824" spans="1:1" x14ac:dyDescent="0.5">
      <c r="A3824" s="15" t="str">
        <f t="shared" ca="1" si="60"/>
        <v/>
      </c>
    </row>
    <row r="3825" spans="1:1" x14ac:dyDescent="0.5">
      <c r="A3825" s="15" t="str">
        <f t="shared" ca="1" si="60"/>
        <v/>
      </c>
    </row>
    <row r="3826" spans="1:1" x14ac:dyDescent="0.5">
      <c r="A3826" s="15" t="str">
        <f t="shared" ca="1" si="60"/>
        <v/>
      </c>
    </row>
    <row r="3827" spans="1:1" x14ac:dyDescent="0.5">
      <c r="A3827" s="15" t="str">
        <f t="shared" ca="1" si="60"/>
        <v/>
      </c>
    </row>
    <row r="3828" spans="1:1" x14ac:dyDescent="0.5">
      <c r="A3828" s="15" t="str">
        <f t="shared" ca="1" si="60"/>
        <v/>
      </c>
    </row>
    <row r="3829" spans="1:1" x14ac:dyDescent="0.5">
      <c r="A3829" s="15" t="str">
        <f t="shared" ca="1" si="60"/>
        <v/>
      </c>
    </row>
    <row r="3830" spans="1:1" x14ac:dyDescent="0.5">
      <c r="A3830" s="15" t="str">
        <f t="shared" ca="1" si="60"/>
        <v/>
      </c>
    </row>
    <row r="3831" spans="1:1" x14ac:dyDescent="0.5">
      <c r="A3831" s="15" t="str">
        <f t="shared" ca="1" si="60"/>
        <v/>
      </c>
    </row>
    <row r="3832" spans="1:1" x14ac:dyDescent="0.5">
      <c r="A3832" s="15" t="str">
        <f t="shared" ca="1" si="60"/>
        <v/>
      </c>
    </row>
    <row r="3833" spans="1:1" x14ac:dyDescent="0.5">
      <c r="A3833" s="15" t="str">
        <f t="shared" ca="1" si="60"/>
        <v/>
      </c>
    </row>
    <row r="3834" spans="1:1" x14ac:dyDescent="0.5">
      <c r="A3834" s="15" t="str">
        <f t="shared" ca="1" si="60"/>
        <v/>
      </c>
    </row>
    <row r="3835" spans="1:1" x14ac:dyDescent="0.5">
      <c r="A3835" s="15" t="str">
        <f t="shared" ca="1" si="60"/>
        <v/>
      </c>
    </row>
    <row r="3836" spans="1:1" x14ac:dyDescent="0.5">
      <c r="A3836" s="15" t="str">
        <f t="shared" ca="1" si="60"/>
        <v/>
      </c>
    </row>
    <row r="3837" spans="1:1" x14ac:dyDescent="0.5">
      <c r="A3837" s="15" t="str">
        <f t="shared" ca="1" si="60"/>
        <v/>
      </c>
    </row>
    <row r="3838" spans="1:1" x14ac:dyDescent="0.5">
      <c r="A3838" s="15" t="str">
        <f t="shared" ca="1" si="60"/>
        <v/>
      </c>
    </row>
    <row r="3839" spans="1:1" x14ac:dyDescent="0.5">
      <c r="A3839" s="15" t="str">
        <f t="shared" ca="1" si="60"/>
        <v/>
      </c>
    </row>
    <row r="3840" spans="1:1" x14ac:dyDescent="0.5">
      <c r="A3840" s="15" t="str">
        <f t="shared" ca="1" si="60"/>
        <v/>
      </c>
    </row>
    <row r="3841" spans="1:1" x14ac:dyDescent="0.5">
      <c r="A3841" s="15" t="str">
        <f t="shared" ca="1" si="60"/>
        <v/>
      </c>
    </row>
    <row r="3842" spans="1:1" x14ac:dyDescent="0.5">
      <c r="A3842" s="15" t="str">
        <f t="shared" ca="1" si="60"/>
        <v/>
      </c>
    </row>
    <row r="3843" spans="1:1" x14ac:dyDescent="0.5">
      <c r="A3843" s="15" t="str">
        <f t="shared" ca="1" si="60"/>
        <v/>
      </c>
    </row>
    <row r="3844" spans="1:1" x14ac:dyDescent="0.5">
      <c r="A3844" s="15" t="str">
        <f t="shared" ca="1" si="60"/>
        <v/>
      </c>
    </row>
    <row r="3845" spans="1:1" x14ac:dyDescent="0.5">
      <c r="A3845" s="15" t="str">
        <f t="shared" ca="1" si="60"/>
        <v/>
      </c>
    </row>
    <row r="3846" spans="1:1" x14ac:dyDescent="0.5">
      <c r="A3846" s="15" t="str">
        <f t="shared" ca="1" si="60"/>
        <v/>
      </c>
    </row>
    <row r="3847" spans="1:1" x14ac:dyDescent="0.5">
      <c r="A3847" s="15" t="str">
        <f t="shared" ca="1" si="60"/>
        <v/>
      </c>
    </row>
    <row r="3848" spans="1:1" x14ac:dyDescent="0.5">
      <c r="A3848" s="15" t="str">
        <f t="shared" ca="1" si="60"/>
        <v/>
      </c>
    </row>
    <row r="3849" spans="1:1" x14ac:dyDescent="0.5">
      <c r="A3849" s="15" t="str">
        <f t="shared" ca="1" si="60"/>
        <v/>
      </c>
    </row>
    <row r="3850" spans="1:1" x14ac:dyDescent="0.5">
      <c r="A3850" s="15" t="str">
        <f t="shared" ca="1" si="60"/>
        <v/>
      </c>
    </row>
    <row r="3851" spans="1:1" x14ac:dyDescent="0.5">
      <c r="A3851" s="15" t="str">
        <f t="shared" ca="1" si="60"/>
        <v/>
      </c>
    </row>
    <row r="3852" spans="1:1" x14ac:dyDescent="0.5">
      <c r="A3852" s="15" t="str">
        <f t="shared" ca="1" si="60"/>
        <v/>
      </c>
    </row>
    <row r="3853" spans="1:1" x14ac:dyDescent="0.5">
      <c r="A3853" s="15" t="str">
        <f t="shared" ref="A3853:A3916" ca="1" si="61">IF(ROW()-12&lt;=$B$7,_xlfn.NORM.INV(RAND(),$B$5,$B$6),"")</f>
        <v/>
      </c>
    </row>
    <row r="3854" spans="1:1" x14ac:dyDescent="0.5">
      <c r="A3854" s="15" t="str">
        <f t="shared" ca="1" si="61"/>
        <v/>
      </c>
    </row>
    <row r="3855" spans="1:1" x14ac:dyDescent="0.5">
      <c r="A3855" s="15" t="str">
        <f t="shared" ca="1" si="61"/>
        <v/>
      </c>
    </row>
    <row r="3856" spans="1:1" x14ac:dyDescent="0.5">
      <c r="A3856" s="15" t="str">
        <f t="shared" ca="1" si="61"/>
        <v/>
      </c>
    </row>
    <row r="3857" spans="1:1" x14ac:dyDescent="0.5">
      <c r="A3857" s="15" t="str">
        <f t="shared" ca="1" si="61"/>
        <v/>
      </c>
    </row>
    <row r="3858" spans="1:1" x14ac:dyDescent="0.5">
      <c r="A3858" s="15" t="str">
        <f t="shared" ca="1" si="61"/>
        <v/>
      </c>
    </row>
    <row r="3859" spans="1:1" x14ac:dyDescent="0.5">
      <c r="A3859" s="15" t="str">
        <f t="shared" ca="1" si="61"/>
        <v/>
      </c>
    </row>
    <row r="3860" spans="1:1" x14ac:dyDescent="0.5">
      <c r="A3860" s="15" t="str">
        <f t="shared" ca="1" si="61"/>
        <v/>
      </c>
    </row>
    <row r="3861" spans="1:1" x14ac:dyDescent="0.5">
      <c r="A3861" s="15" t="str">
        <f t="shared" ca="1" si="61"/>
        <v/>
      </c>
    </row>
    <row r="3862" spans="1:1" x14ac:dyDescent="0.5">
      <c r="A3862" s="15" t="str">
        <f t="shared" ca="1" si="61"/>
        <v/>
      </c>
    </row>
    <row r="3863" spans="1:1" x14ac:dyDescent="0.5">
      <c r="A3863" s="15" t="str">
        <f t="shared" ca="1" si="61"/>
        <v/>
      </c>
    </row>
    <row r="3864" spans="1:1" x14ac:dyDescent="0.5">
      <c r="A3864" s="15" t="str">
        <f t="shared" ca="1" si="61"/>
        <v/>
      </c>
    </row>
    <row r="3865" spans="1:1" x14ac:dyDescent="0.5">
      <c r="A3865" s="15" t="str">
        <f t="shared" ca="1" si="61"/>
        <v/>
      </c>
    </row>
    <row r="3866" spans="1:1" x14ac:dyDescent="0.5">
      <c r="A3866" s="15" t="str">
        <f t="shared" ca="1" si="61"/>
        <v/>
      </c>
    </row>
    <row r="3867" spans="1:1" x14ac:dyDescent="0.5">
      <c r="A3867" s="15" t="str">
        <f t="shared" ca="1" si="61"/>
        <v/>
      </c>
    </row>
    <row r="3868" spans="1:1" x14ac:dyDescent="0.5">
      <c r="A3868" s="15" t="str">
        <f t="shared" ca="1" si="61"/>
        <v/>
      </c>
    </row>
    <row r="3869" spans="1:1" x14ac:dyDescent="0.5">
      <c r="A3869" s="15" t="str">
        <f t="shared" ca="1" si="61"/>
        <v/>
      </c>
    </row>
    <row r="3870" spans="1:1" x14ac:dyDescent="0.5">
      <c r="A3870" s="15" t="str">
        <f t="shared" ca="1" si="61"/>
        <v/>
      </c>
    </row>
    <row r="3871" spans="1:1" x14ac:dyDescent="0.5">
      <c r="A3871" s="15" t="str">
        <f t="shared" ca="1" si="61"/>
        <v/>
      </c>
    </row>
    <row r="3872" spans="1:1" x14ac:dyDescent="0.5">
      <c r="A3872" s="15" t="str">
        <f t="shared" ca="1" si="61"/>
        <v/>
      </c>
    </row>
    <row r="3873" spans="1:1" x14ac:dyDescent="0.5">
      <c r="A3873" s="15" t="str">
        <f t="shared" ca="1" si="61"/>
        <v/>
      </c>
    </row>
    <row r="3874" spans="1:1" x14ac:dyDescent="0.5">
      <c r="A3874" s="15" t="str">
        <f t="shared" ca="1" si="61"/>
        <v/>
      </c>
    </row>
    <row r="3875" spans="1:1" x14ac:dyDescent="0.5">
      <c r="A3875" s="15" t="str">
        <f t="shared" ca="1" si="61"/>
        <v/>
      </c>
    </row>
    <row r="3876" spans="1:1" x14ac:dyDescent="0.5">
      <c r="A3876" s="15" t="str">
        <f t="shared" ca="1" si="61"/>
        <v/>
      </c>
    </row>
    <row r="3877" spans="1:1" x14ac:dyDescent="0.5">
      <c r="A3877" s="15" t="str">
        <f t="shared" ca="1" si="61"/>
        <v/>
      </c>
    </row>
    <row r="3878" spans="1:1" x14ac:dyDescent="0.5">
      <c r="A3878" s="15" t="str">
        <f t="shared" ca="1" si="61"/>
        <v/>
      </c>
    </row>
    <row r="3879" spans="1:1" x14ac:dyDescent="0.5">
      <c r="A3879" s="15" t="str">
        <f t="shared" ca="1" si="61"/>
        <v/>
      </c>
    </row>
    <row r="3880" spans="1:1" x14ac:dyDescent="0.5">
      <c r="A3880" s="15" t="str">
        <f t="shared" ca="1" si="61"/>
        <v/>
      </c>
    </row>
    <row r="3881" spans="1:1" x14ac:dyDescent="0.5">
      <c r="A3881" s="15" t="str">
        <f t="shared" ca="1" si="61"/>
        <v/>
      </c>
    </row>
    <row r="3882" spans="1:1" x14ac:dyDescent="0.5">
      <c r="A3882" s="15" t="str">
        <f t="shared" ca="1" si="61"/>
        <v/>
      </c>
    </row>
    <row r="3883" spans="1:1" x14ac:dyDescent="0.5">
      <c r="A3883" s="15" t="str">
        <f t="shared" ca="1" si="61"/>
        <v/>
      </c>
    </row>
    <row r="3884" spans="1:1" x14ac:dyDescent="0.5">
      <c r="A3884" s="15" t="str">
        <f t="shared" ca="1" si="61"/>
        <v/>
      </c>
    </row>
    <row r="3885" spans="1:1" x14ac:dyDescent="0.5">
      <c r="A3885" s="15" t="str">
        <f t="shared" ca="1" si="61"/>
        <v/>
      </c>
    </row>
    <row r="3886" spans="1:1" x14ac:dyDescent="0.5">
      <c r="A3886" s="15" t="str">
        <f t="shared" ca="1" si="61"/>
        <v/>
      </c>
    </row>
    <row r="3887" spans="1:1" x14ac:dyDescent="0.5">
      <c r="A3887" s="15" t="str">
        <f t="shared" ca="1" si="61"/>
        <v/>
      </c>
    </row>
    <row r="3888" spans="1:1" x14ac:dyDescent="0.5">
      <c r="A3888" s="15" t="str">
        <f t="shared" ca="1" si="61"/>
        <v/>
      </c>
    </row>
    <row r="3889" spans="1:1" x14ac:dyDescent="0.5">
      <c r="A3889" s="15" t="str">
        <f t="shared" ca="1" si="61"/>
        <v/>
      </c>
    </row>
    <row r="3890" spans="1:1" x14ac:dyDescent="0.5">
      <c r="A3890" s="15" t="str">
        <f t="shared" ca="1" si="61"/>
        <v/>
      </c>
    </row>
    <row r="3891" spans="1:1" x14ac:dyDescent="0.5">
      <c r="A3891" s="15" t="str">
        <f t="shared" ca="1" si="61"/>
        <v/>
      </c>
    </row>
    <row r="3892" spans="1:1" x14ac:dyDescent="0.5">
      <c r="A3892" s="15" t="str">
        <f t="shared" ca="1" si="61"/>
        <v/>
      </c>
    </row>
    <row r="3893" spans="1:1" x14ac:dyDescent="0.5">
      <c r="A3893" s="15" t="str">
        <f t="shared" ca="1" si="61"/>
        <v/>
      </c>
    </row>
    <row r="3894" spans="1:1" x14ac:dyDescent="0.5">
      <c r="A3894" s="15" t="str">
        <f t="shared" ca="1" si="61"/>
        <v/>
      </c>
    </row>
    <row r="3895" spans="1:1" x14ac:dyDescent="0.5">
      <c r="A3895" s="15" t="str">
        <f t="shared" ca="1" si="61"/>
        <v/>
      </c>
    </row>
    <row r="3896" spans="1:1" x14ac:dyDescent="0.5">
      <c r="A3896" s="15" t="str">
        <f t="shared" ca="1" si="61"/>
        <v/>
      </c>
    </row>
    <row r="3897" spans="1:1" x14ac:dyDescent="0.5">
      <c r="A3897" s="15" t="str">
        <f t="shared" ca="1" si="61"/>
        <v/>
      </c>
    </row>
    <row r="3898" spans="1:1" x14ac:dyDescent="0.5">
      <c r="A3898" s="15" t="str">
        <f t="shared" ca="1" si="61"/>
        <v/>
      </c>
    </row>
    <row r="3899" spans="1:1" x14ac:dyDescent="0.5">
      <c r="A3899" s="15" t="str">
        <f t="shared" ca="1" si="61"/>
        <v/>
      </c>
    </row>
    <row r="3900" spans="1:1" x14ac:dyDescent="0.5">
      <c r="A3900" s="15" t="str">
        <f t="shared" ca="1" si="61"/>
        <v/>
      </c>
    </row>
    <row r="3901" spans="1:1" x14ac:dyDescent="0.5">
      <c r="A3901" s="15" t="str">
        <f t="shared" ca="1" si="61"/>
        <v/>
      </c>
    </row>
    <row r="3902" spans="1:1" x14ac:dyDescent="0.5">
      <c r="A3902" s="15" t="str">
        <f t="shared" ca="1" si="61"/>
        <v/>
      </c>
    </row>
    <row r="3903" spans="1:1" x14ac:dyDescent="0.5">
      <c r="A3903" s="15" t="str">
        <f t="shared" ca="1" si="61"/>
        <v/>
      </c>
    </row>
    <row r="3904" spans="1:1" x14ac:dyDescent="0.5">
      <c r="A3904" s="15" t="str">
        <f t="shared" ca="1" si="61"/>
        <v/>
      </c>
    </row>
    <row r="3905" spans="1:1" x14ac:dyDescent="0.5">
      <c r="A3905" s="15" t="str">
        <f t="shared" ca="1" si="61"/>
        <v/>
      </c>
    </row>
    <row r="3906" spans="1:1" x14ac:dyDescent="0.5">
      <c r="A3906" s="15" t="str">
        <f t="shared" ca="1" si="61"/>
        <v/>
      </c>
    </row>
    <row r="3907" spans="1:1" x14ac:dyDescent="0.5">
      <c r="A3907" s="15" t="str">
        <f t="shared" ca="1" si="61"/>
        <v/>
      </c>
    </row>
    <row r="3908" spans="1:1" x14ac:dyDescent="0.5">
      <c r="A3908" s="15" t="str">
        <f t="shared" ca="1" si="61"/>
        <v/>
      </c>
    </row>
    <row r="3909" spans="1:1" x14ac:dyDescent="0.5">
      <c r="A3909" s="15" t="str">
        <f t="shared" ca="1" si="61"/>
        <v/>
      </c>
    </row>
    <row r="3910" spans="1:1" x14ac:dyDescent="0.5">
      <c r="A3910" s="15" t="str">
        <f t="shared" ca="1" si="61"/>
        <v/>
      </c>
    </row>
    <row r="3911" spans="1:1" x14ac:dyDescent="0.5">
      <c r="A3911" s="15" t="str">
        <f t="shared" ca="1" si="61"/>
        <v/>
      </c>
    </row>
    <row r="3912" spans="1:1" x14ac:dyDescent="0.5">
      <c r="A3912" s="15" t="str">
        <f t="shared" ca="1" si="61"/>
        <v/>
      </c>
    </row>
    <row r="3913" spans="1:1" x14ac:dyDescent="0.5">
      <c r="A3913" s="15" t="str">
        <f t="shared" ca="1" si="61"/>
        <v/>
      </c>
    </row>
    <row r="3914" spans="1:1" x14ac:dyDescent="0.5">
      <c r="A3914" s="15" t="str">
        <f t="shared" ca="1" si="61"/>
        <v/>
      </c>
    </row>
    <row r="3915" spans="1:1" x14ac:dyDescent="0.5">
      <c r="A3915" s="15" t="str">
        <f t="shared" ca="1" si="61"/>
        <v/>
      </c>
    </row>
    <row r="3916" spans="1:1" x14ac:dyDescent="0.5">
      <c r="A3916" s="15" t="str">
        <f t="shared" ca="1" si="61"/>
        <v/>
      </c>
    </row>
    <row r="3917" spans="1:1" x14ac:dyDescent="0.5">
      <c r="A3917" s="15" t="str">
        <f t="shared" ref="A3917:A3980" ca="1" si="62">IF(ROW()-12&lt;=$B$7,_xlfn.NORM.INV(RAND(),$B$5,$B$6),"")</f>
        <v/>
      </c>
    </row>
    <row r="3918" spans="1:1" x14ac:dyDescent="0.5">
      <c r="A3918" s="15" t="str">
        <f t="shared" ca="1" si="62"/>
        <v/>
      </c>
    </row>
    <row r="3919" spans="1:1" x14ac:dyDescent="0.5">
      <c r="A3919" s="15" t="str">
        <f t="shared" ca="1" si="62"/>
        <v/>
      </c>
    </row>
    <row r="3920" spans="1:1" x14ac:dyDescent="0.5">
      <c r="A3920" s="15" t="str">
        <f t="shared" ca="1" si="62"/>
        <v/>
      </c>
    </row>
    <row r="3921" spans="1:1" x14ac:dyDescent="0.5">
      <c r="A3921" s="15" t="str">
        <f t="shared" ca="1" si="62"/>
        <v/>
      </c>
    </row>
    <row r="3922" spans="1:1" x14ac:dyDescent="0.5">
      <c r="A3922" s="15" t="str">
        <f t="shared" ca="1" si="62"/>
        <v/>
      </c>
    </row>
    <row r="3923" spans="1:1" x14ac:dyDescent="0.5">
      <c r="A3923" s="15" t="str">
        <f t="shared" ca="1" si="62"/>
        <v/>
      </c>
    </row>
    <row r="3924" spans="1:1" x14ac:dyDescent="0.5">
      <c r="A3924" s="15" t="str">
        <f t="shared" ca="1" si="62"/>
        <v/>
      </c>
    </row>
    <row r="3925" spans="1:1" x14ac:dyDescent="0.5">
      <c r="A3925" s="15" t="str">
        <f t="shared" ca="1" si="62"/>
        <v/>
      </c>
    </row>
    <row r="3926" spans="1:1" x14ac:dyDescent="0.5">
      <c r="A3926" s="15" t="str">
        <f t="shared" ca="1" si="62"/>
        <v/>
      </c>
    </row>
    <row r="3927" spans="1:1" x14ac:dyDescent="0.5">
      <c r="A3927" s="15" t="str">
        <f t="shared" ca="1" si="62"/>
        <v/>
      </c>
    </row>
    <row r="3928" spans="1:1" x14ac:dyDescent="0.5">
      <c r="A3928" s="15" t="str">
        <f t="shared" ca="1" si="62"/>
        <v/>
      </c>
    </row>
    <row r="3929" spans="1:1" x14ac:dyDescent="0.5">
      <c r="A3929" s="15" t="str">
        <f t="shared" ca="1" si="62"/>
        <v/>
      </c>
    </row>
    <row r="3930" spans="1:1" x14ac:dyDescent="0.5">
      <c r="A3930" s="15" t="str">
        <f t="shared" ca="1" si="62"/>
        <v/>
      </c>
    </row>
    <row r="3931" spans="1:1" x14ac:dyDescent="0.5">
      <c r="A3931" s="15" t="str">
        <f t="shared" ca="1" si="62"/>
        <v/>
      </c>
    </row>
    <row r="3932" spans="1:1" x14ac:dyDescent="0.5">
      <c r="A3932" s="15" t="str">
        <f t="shared" ca="1" si="62"/>
        <v/>
      </c>
    </row>
    <row r="3933" spans="1:1" x14ac:dyDescent="0.5">
      <c r="A3933" s="15" t="str">
        <f t="shared" ca="1" si="62"/>
        <v/>
      </c>
    </row>
    <row r="3934" spans="1:1" x14ac:dyDescent="0.5">
      <c r="A3934" s="15" t="str">
        <f t="shared" ca="1" si="62"/>
        <v/>
      </c>
    </row>
    <row r="3935" spans="1:1" x14ac:dyDescent="0.5">
      <c r="A3935" s="15" t="str">
        <f t="shared" ca="1" si="62"/>
        <v/>
      </c>
    </row>
    <row r="3936" spans="1:1" x14ac:dyDescent="0.5">
      <c r="A3936" s="15" t="str">
        <f t="shared" ca="1" si="62"/>
        <v/>
      </c>
    </row>
    <row r="3937" spans="1:1" x14ac:dyDescent="0.5">
      <c r="A3937" s="15" t="str">
        <f t="shared" ca="1" si="62"/>
        <v/>
      </c>
    </row>
    <row r="3938" spans="1:1" x14ac:dyDescent="0.5">
      <c r="A3938" s="15" t="str">
        <f t="shared" ca="1" si="62"/>
        <v/>
      </c>
    </row>
    <row r="3939" spans="1:1" x14ac:dyDescent="0.5">
      <c r="A3939" s="15" t="str">
        <f t="shared" ca="1" si="62"/>
        <v/>
      </c>
    </row>
    <row r="3940" spans="1:1" x14ac:dyDescent="0.5">
      <c r="A3940" s="15" t="str">
        <f t="shared" ca="1" si="62"/>
        <v/>
      </c>
    </row>
    <row r="3941" spans="1:1" x14ac:dyDescent="0.5">
      <c r="A3941" s="15" t="str">
        <f t="shared" ca="1" si="62"/>
        <v/>
      </c>
    </row>
    <row r="3942" spans="1:1" x14ac:dyDescent="0.5">
      <c r="A3942" s="15" t="str">
        <f t="shared" ca="1" si="62"/>
        <v/>
      </c>
    </row>
    <row r="3943" spans="1:1" x14ac:dyDescent="0.5">
      <c r="A3943" s="15" t="str">
        <f t="shared" ca="1" si="62"/>
        <v/>
      </c>
    </row>
    <row r="3944" spans="1:1" x14ac:dyDescent="0.5">
      <c r="A3944" s="15" t="str">
        <f t="shared" ca="1" si="62"/>
        <v/>
      </c>
    </row>
    <row r="3945" spans="1:1" x14ac:dyDescent="0.5">
      <c r="A3945" s="15" t="str">
        <f t="shared" ca="1" si="62"/>
        <v/>
      </c>
    </row>
    <row r="3946" spans="1:1" x14ac:dyDescent="0.5">
      <c r="A3946" s="15" t="str">
        <f t="shared" ca="1" si="62"/>
        <v/>
      </c>
    </row>
    <row r="3947" spans="1:1" x14ac:dyDescent="0.5">
      <c r="A3947" s="15" t="str">
        <f t="shared" ca="1" si="62"/>
        <v/>
      </c>
    </row>
    <row r="3948" spans="1:1" x14ac:dyDescent="0.5">
      <c r="A3948" s="15" t="str">
        <f t="shared" ca="1" si="62"/>
        <v/>
      </c>
    </row>
    <row r="3949" spans="1:1" x14ac:dyDescent="0.5">
      <c r="A3949" s="15" t="str">
        <f t="shared" ca="1" si="62"/>
        <v/>
      </c>
    </row>
    <row r="3950" spans="1:1" x14ac:dyDescent="0.5">
      <c r="A3950" s="15" t="str">
        <f t="shared" ca="1" si="62"/>
        <v/>
      </c>
    </row>
    <row r="3951" spans="1:1" x14ac:dyDescent="0.5">
      <c r="A3951" s="15" t="str">
        <f t="shared" ca="1" si="62"/>
        <v/>
      </c>
    </row>
    <row r="3952" spans="1:1" x14ac:dyDescent="0.5">
      <c r="A3952" s="15" t="str">
        <f t="shared" ca="1" si="62"/>
        <v/>
      </c>
    </row>
    <row r="3953" spans="1:1" x14ac:dyDescent="0.5">
      <c r="A3953" s="15" t="str">
        <f t="shared" ca="1" si="62"/>
        <v/>
      </c>
    </row>
    <row r="3954" spans="1:1" x14ac:dyDescent="0.5">
      <c r="A3954" s="15" t="str">
        <f t="shared" ca="1" si="62"/>
        <v/>
      </c>
    </row>
    <row r="3955" spans="1:1" x14ac:dyDescent="0.5">
      <c r="A3955" s="15" t="str">
        <f t="shared" ca="1" si="62"/>
        <v/>
      </c>
    </row>
    <row r="3956" spans="1:1" x14ac:dyDescent="0.5">
      <c r="A3956" s="15" t="str">
        <f t="shared" ca="1" si="62"/>
        <v/>
      </c>
    </row>
    <row r="3957" spans="1:1" x14ac:dyDescent="0.5">
      <c r="A3957" s="15" t="str">
        <f t="shared" ca="1" si="62"/>
        <v/>
      </c>
    </row>
    <row r="3958" spans="1:1" x14ac:dyDescent="0.5">
      <c r="A3958" s="15" t="str">
        <f t="shared" ca="1" si="62"/>
        <v/>
      </c>
    </row>
    <row r="3959" spans="1:1" x14ac:dyDescent="0.5">
      <c r="A3959" s="15" t="str">
        <f t="shared" ca="1" si="62"/>
        <v/>
      </c>
    </row>
    <row r="3960" spans="1:1" x14ac:dyDescent="0.5">
      <c r="A3960" s="15" t="str">
        <f t="shared" ca="1" si="62"/>
        <v/>
      </c>
    </row>
    <row r="3961" spans="1:1" x14ac:dyDescent="0.5">
      <c r="A3961" s="15" t="str">
        <f t="shared" ca="1" si="62"/>
        <v/>
      </c>
    </row>
    <row r="3962" spans="1:1" x14ac:dyDescent="0.5">
      <c r="A3962" s="15" t="str">
        <f t="shared" ca="1" si="62"/>
        <v/>
      </c>
    </row>
    <row r="3963" spans="1:1" x14ac:dyDescent="0.5">
      <c r="A3963" s="15" t="str">
        <f t="shared" ca="1" si="62"/>
        <v/>
      </c>
    </row>
    <row r="3964" spans="1:1" x14ac:dyDescent="0.5">
      <c r="A3964" s="15" t="str">
        <f t="shared" ca="1" si="62"/>
        <v/>
      </c>
    </row>
    <row r="3965" spans="1:1" x14ac:dyDescent="0.5">
      <c r="A3965" s="15" t="str">
        <f t="shared" ca="1" si="62"/>
        <v/>
      </c>
    </row>
    <row r="3966" spans="1:1" x14ac:dyDescent="0.5">
      <c r="A3966" s="15" t="str">
        <f t="shared" ca="1" si="62"/>
        <v/>
      </c>
    </row>
    <row r="3967" spans="1:1" x14ac:dyDescent="0.5">
      <c r="A3967" s="15" t="str">
        <f t="shared" ca="1" si="62"/>
        <v/>
      </c>
    </row>
    <row r="3968" spans="1:1" x14ac:dyDescent="0.5">
      <c r="A3968" s="15" t="str">
        <f t="shared" ca="1" si="62"/>
        <v/>
      </c>
    </row>
    <row r="3969" spans="1:1" x14ac:dyDescent="0.5">
      <c r="A3969" s="15" t="str">
        <f t="shared" ca="1" si="62"/>
        <v/>
      </c>
    </row>
    <row r="3970" spans="1:1" x14ac:dyDescent="0.5">
      <c r="A3970" s="15" t="str">
        <f t="shared" ca="1" si="62"/>
        <v/>
      </c>
    </row>
    <row r="3971" spans="1:1" x14ac:dyDescent="0.5">
      <c r="A3971" s="15" t="str">
        <f t="shared" ca="1" si="62"/>
        <v/>
      </c>
    </row>
    <row r="3972" spans="1:1" x14ac:dyDescent="0.5">
      <c r="A3972" s="15" t="str">
        <f t="shared" ca="1" si="62"/>
        <v/>
      </c>
    </row>
    <row r="3973" spans="1:1" x14ac:dyDescent="0.5">
      <c r="A3973" s="15" t="str">
        <f t="shared" ca="1" si="62"/>
        <v/>
      </c>
    </row>
    <row r="3974" spans="1:1" x14ac:dyDescent="0.5">
      <c r="A3974" s="15" t="str">
        <f t="shared" ca="1" si="62"/>
        <v/>
      </c>
    </row>
    <row r="3975" spans="1:1" x14ac:dyDescent="0.5">
      <c r="A3975" s="15" t="str">
        <f t="shared" ca="1" si="62"/>
        <v/>
      </c>
    </row>
    <row r="3976" spans="1:1" x14ac:dyDescent="0.5">
      <c r="A3976" s="15" t="str">
        <f t="shared" ca="1" si="62"/>
        <v/>
      </c>
    </row>
    <row r="3977" spans="1:1" x14ac:dyDescent="0.5">
      <c r="A3977" s="15" t="str">
        <f t="shared" ca="1" si="62"/>
        <v/>
      </c>
    </row>
    <row r="3978" spans="1:1" x14ac:dyDescent="0.5">
      <c r="A3978" s="15" t="str">
        <f t="shared" ca="1" si="62"/>
        <v/>
      </c>
    </row>
    <row r="3979" spans="1:1" x14ac:dyDescent="0.5">
      <c r="A3979" s="15" t="str">
        <f t="shared" ca="1" si="62"/>
        <v/>
      </c>
    </row>
    <row r="3980" spans="1:1" x14ac:dyDescent="0.5">
      <c r="A3980" s="15" t="str">
        <f t="shared" ca="1" si="62"/>
        <v/>
      </c>
    </row>
    <row r="3981" spans="1:1" x14ac:dyDescent="0.5">
      <c r="A3981" s="15" t="str">
        <f t="shared" ref="A3981:A4044" ca="1" si="63">IF(ROW()-12&lt;=$B$7,_xlfn.NORM.INV(RAND(),$B$5,$B$6),"")</f>
        <v/>
      </c>
    </row>
    <row r="3982" spans="1:1" x14ac:dyDescent="0.5">
      <c r="A3982" s="15" t="str">
        <f t="shared" ca="1" si="63"/>
        <v/>
      </c>
    </row>
    <row r="3983" spans="1:1" x14ac:dyDescent="0.5">
      <c r="A3983" s="15" t="str">
        <f t="shared" ca="1" si="63"/>
        <v/>
      </c>
    </row>
    <row r="3984" spans="1:1" x14ac:dyDescent="0.5">
      <c r="A3984" s="15" t="str">
        <f t="shared" ca="1" si="63"/>
        <v/>
      </c>
    </row>
    <row r="3985" spans="1:1" x14ac:dyDescent="0.5">
      <c r="A3985" s="15" t="str">
        <f t="shared" ca="1" si="63"/>
        <v/>
      </c>
    </row>
    <row r="3986" spans="1:1" x14ac:dyDescent="0.5">
      <c r="A3986" s="15" t="str">
        <f t="shared" ca="1" si="63"/>
        <v/>
      </c>
    </row>
    <row r="3987" spans="1:1" x14ac:dyDescent="0.5">
      <c r="A3987" s="15" t="str">
        <f t="shared" ca="1" si="63"/>
        <v/>
      </c>
    </row>
    <row r="3988" spans="1:1" x14ac:dyDescent="0.5">
      <c r="A3988" s="15" t="str">
        <f t="shared" ca="1" si="63"/>
        <v/>
      </c>
    </row>
    <row r="3989" spans="1:1" x14ac:dyDescent="0.5">
      <c r="A3989" s="15" t="str">
        <f t="shared" ca="1" si="63"/>
        <v/>
      </c>
    </row>
    <row r="3990" spans="1:1" x14ac:dyDescent="0.5">
      <c r="A3990" s="15" t="str">
        <f t="shared" ca="1" si="63"/>
        <v/>
      </c>
    </row>
    <row r="3991" spans="1:1" x14ac:dyDescent="0.5">
      <c r="A3991" s="15" t="str">
        <f t="shared" ca="1" si="63"/>
        <v/>
      </c>
    </row>
    <row r="3992" spans="1:1" x14ac:dyDescent="0.5">
      <c r="A3992" s="15" t="str">
        <f t="shared" ca="1" si="63"/>
        <v/>
      </c>
    </row>
    <row r="3993" spans="1:1" x14ac:dyDescent="0.5">
      <c r="A3993" s="15" t="str">
        <f t="shared" ca="1" si="63"/>
        <v/>
      </c>
    </row>
    <row r="3994" spans="1:1" x14ac:dyDescent="0.5">
      <c r="A3994" s="15" t="str">
        <f t="shared" ca="1" si="63"/>
        <v/>
      </c>
    </row>
    <row r="3995" spans="1:1" x14ac:dyDescent="0.5">
      <c r="A3995" s="15" t="str">
        <f t="shared" ca="1" si="63"/>
        <v/>
      </c>
    </row>
    <row r="3996" spans="1:1" x14ac:dyDescent="0.5">
      <c r="A3996" s="15" t="str">
        <f t="shared" ca="1" si="63"/>
        <v/>
      </c>
    </row>
    <row r="3997" spans="1:1" x14ac:dyDescent="0.5">
      <c r="A3997" s="15" t="str">
        <f t="shared" ca="1" si="63"/>
        <v/>
      </c>
    </row>
    <row r="3998" spans="1:1" x14ac:dyDescent="0.5">
      <c r="A3998" s="15" t="str">
        <f t="shared" ca="1" si="63"/>
        <v/>
      </c>
    </row>
    <row r="3999" spans="1:1" x14ac:dyDescent="0.5">
      <c r="A3999" s="15" t="str">
        <f t="shared" ca="1" si="63"/>
        <v/>
      </c>
    </row>
    <row r="4000" spans="1:1" x14ac:dyDescent="0.5">
      <c r="A4000" s="15" t="str">
        <f t="shared" ca="1" si="63"/>
        <v/>
      </c>
    </row>
    <row r="4001" spans="1:1" x14ac:dyDescent="0.5">
      <c r="A4001" s="15" t="str">
        <f t="shared" ca="1" si="63"/>
        <v/>
      </c>
    </row>
    <row r="4002" spans="1:1" x14ac:dyDescent="0.5">
      <c r="A4002" s="15" t="str">
        <f t="shared" ca="1" si="63"/>
        <v/>
      </c>
    </row>
    <row r="4003" spans="1:1" x14ac:dyDescent="0.5">
      <c r="A4003" s="15" t="str">
        <f t="shared" ca="1" si="63"/>
        <v/>
      </c>
    </row>
    <row r="4004" spans="1:1" x14ac:dyDescent="0.5">
      <c r="A4004" s="15" t="str">
        <f t="shared" ca="1" si="63"/>
        <v/>
      </c>
    </row>
    <row r="4005" spans="1:1" x14ac:dyDescent="0.5">
      <c r="A4005" s="15" t="str">
        <f t="shared" ca="1" si="63"/>
        <v/>
      </c>
    </row>
    <row r="4006" spans="1:1" x14ac:dyDescent="0.5">
      <c r="A4006" s="15" t="str">
        <f t="shared" ca="1" si="63"/>
        <v/>
      </c>
    </row>
    <row r="4007" spans="1:1" x14ac:dyDescent="0.5">
      <c r="A4007" s="15" t="str">
        <f t="shared" ca="1" si="63"/>
        <v/>
      </c>
    </row>
    <row r="4008" spans="1:1" x14ac:dyDescent="0.5">
      <c r="A4008" s="15" t="str">
        <f t="shared" ca="1" si="63"/>
        <v/>
      </c>
    </row>
    <row r="4009" spans="1:1" x14ac:dyDescent="0.5">
      <c r="A4009" s="15" t="str">
        <f t="shared" ca="1" si="63"/>
        <v/>
      </c>
    </row>
    <row r="4010" spans="1:1" x14ac:dyDescent="0.5">
      <c r="A4010" s="15" t="str">
        <f t="shared" ca="1" si="63"/>
        <v/>
      </c>
    </row>
    <row r="4011" spans="1:1" x14ac:dyDescent="0.5">
      <c r="A4011" s="15" t="str">
        <f t="shared" ca="1" si="63"/>
        <v/>
      </c>
    </row>
    <row r="4012" spans="1:1" x14ac:dyDescent="0.5">
      <c r="A4012" s="15" t="str">
        <f t="shared" ca="1" si="63"/>
        <v/>
      </c>
    </row>
    <row r="4013" spans="1:1" x14ac:dyDescent="0.5">
      <c r="A4013" s="15" t="str">
        <f t="shared" ca="1" si="63"/>
        <v/>
      </c>
    </row>
    <row r="4014" spans="1:1" x14ac:dyDescent="0.5">
      <c r="A4014" s="15" t="str">
        <f t="shared" ca="1" si="63"/>
        <v/>
      </c>
    </row>
    <row r="4015" spans="1:1" x14ac:dyDescent="0.5">
      <c r="A4015" s="15" t="str">
        <f t="shared" ca="1" si="63"/>
        <v/>
      </c>
    </row>
    <row r="4016" spans="1:1" x14ac:dyDescent="0.5">
      <c r="A4016" s="15" t="str">
        <f t="shared" ca="1" si="63"/>
        <v/>
      </c>
    </row>
    <row r="4017" spans="1:1" x14ac:dyDescent="0.5">
      <c r="A4017" s="15" t="str">
        <f t="shared" ca="1" si="63"/>
        <v/>
      </c>
    </row>
    <row r="4018" spans="1:1" x14ac:dyDescent="0.5">
      <c r="A4018" s="15" t="str">
        <f t="shared" ca="1" si="63"/>
        <v/>
      </c>
    </row>
    <row r="4019" spans="1:1" x14ac:dyDescent="0.5">
      <c r="A4019" s="15" t="str">
        <f t="shared" ca="1" si="63"/>
        <v/>
      </c>
    </row>
    <row r="4020" spans="1:1" x14ac:dyDescent="0.5">
      <c r="A4020" s="15" t="str">
        <f t="shared" ca="1" si="63"/>
        <v/>
      </c>
    </row>
    <row r="4021" spans="1:1" x14ac:dyDescent="0.5">
      <c r="A4021" s="15" t="str">
        <f t="shared" ca="1" si="63"/>
        <v/>
      </c>
    </row>
    <row r="4022" spans="1:1" x14ac:dyDescent="0.5">
      <c r="A4022" s="15" t="str">
        <f t="shared" ca="1" si="63"/>
        <v/>
      </c>
    </row>
    <row r="4023" spans="1:1" x14ac:dyDescent="0.5">
      <c r="A4023" s="15" t="str">
        <f t="shared" ca="1" si="63"/>
        <v/>
      </c>
    </row>
    <row r="4024" spans="1:1" x14ac:dyDescent="0.5">
      <c r="A4024" s="15" t="str">
        <f t="shared" ca="1" si="63"/>
        <v/>
      </c>
    </row>
    <row r="4025" spans="1:1" x14ac:dyDescent="0.5">
      <c r="A4025" s="15" t="str">
        <f t="shared" ca="1" si="63"/>
        <v/>
      </c>
    </row>
    <row r="4026" spans="1:1" x14ac:dyDescent="0.5">
      <c r="A4026" s="15" t="str">
        <f t="shared" ca="1" si="63"/>
        <v/>
      </c>
    </row>
    <row r="4027" spans="1:1" x14ac:dyDescent="0.5">
      <c r="A4027" s="15" t="str">
        <f t="shared" ca="1" si="63"/>
        <v/>
      </c>
    </row>
    <row r="4028" spans="1:1" x14ac:dyDescent="0.5">
      <c r="A4028" s="15" t="str">
        <f t="shared" ca="1" si="63"/>
        <v/>
      </c>
    </row>
    <row r="4029" spans="1:1" x14ac:dyDescent="0.5">
      <c r="A4029" s="15" t="str">
        <f t="shared" ca="1" si="63"/>
        <v/>
      </c>
    </row>
    <row r="4030" spans="1:1" x14ac:dyDescent="0.5">
      <c r="A4030" s="15" t="str">
        <f t="shared" ca="1" si="63"/>
        <v/>
      </c>
    </row>
    <row r="4031" spans="1:1" x14ac:dyDescent="0.5">
      <c r="A4031" s="15" t="str">
        <f t="shared" ca="1" si="63"/>
        <v/>
      </c>
    </row>
    <row r="4032" spans="1:1" x14ac:dyDescent="0.5">
      <c r="A4032" s="15" t="str">
        <f t="shared" ca="1" si="63"/>
        <v/>
      </c>
    </row>
    <row r="4033" spans="1:1" x14ac:dyDescent="0.5">
      <c r="A4033" s="15" t="str">
        <f t="shared" ca="1" si="63"/>
        <v/>
      </c>
    </row>
    <row r="4034" spans="1:1" x14ac:dyDescent="0.5">
      <c r="A4034" s="15" t="str">
        <f t="shared" ca="1" si="63"/>
        <v/>
      </c>
    </row>
    <row r="4035" spans="1:1" x14ac:dyDescent="0.5">
      <c r="A4035" s="15" t="str">
        <f t="shared" ca="1" si="63"/>
        <v/>
      </c>
    </row>
    <row r="4036" spans="1:1" x14ac:dyDescent="0.5">
      <c r="A4036" s="15" t="str">
        <f t="shared" ca="1" si="63"/>
        <v/>
      </c>
    </row>
    <row r="4037" spans="1:1" x14ac:dyDescent="0.5">
      <c r="A4037" s="15" t="str">
        <f t="shared" ca="1" si="63"/>
        <v/>
      </c>
    </row>
    <row r="4038" spans="1:1" x14ac:dyDescent="0.5">
      <c r="A4038" s="15" t="str">
        <f t="shared" ca="1" si="63"/>
        <v/>
      </c>
    </row>
    <row r="4039" spans="1:1" x14ac:dyDescent="0.5">
      <c r="A4039" s="15" t="str">
        <f t="shared" ca="1" si="63"/>
        <v/>
      </c>
    </row>
    <row r="4040" spans="1:1" x14ac:dyDescent="0.5">
      <c r="A4040" s="15" t="str">
        <f t="shared" ca="1" si="63"/>
        <v/>
      </c>
    </row>
    <row r="4041" spans="1:1" x14ac:dyDescent="0.5">
      <c r="A4041" s="15" t="str">
        <f t="shared" ca="1" si="63"/>
        <v/>
      </c>
    </row>
    <row r="4042" spans="1:1" x14ac:dyDescent="0.5">
      <c r="A4042" s="15" t="str">
        <f t="shared" ca="1" si="63"/>
        <v/>
      </c>
    </row>
    <row r="4043" spans="1:1" x14ac:dyDescent="0.5">
      <c r="A4043" s="15" t="str">
        <f t="shared" ca="1" si="63"/>
        <v/>
      </c>
    </row>
    <row r="4044" spans="1:1" x14ac:dyDescent="0.5">
      <c r="A4044" s="15" t="str">
        <f t="shared" ca="1" si="63"/>
        <v/>
      </c>
    </row>
    <row r="4045" spans="1:1" x14ac:dyDescent="0.5">
      <c r="A4045" s="15" t="str">
        <f t="shared" ref="A4045:A4108" ca="1" si="64">IF(ROW()-12&lt;=$B$7,_xlfn.NORM.INV(RAND(),$B$5,$B$6),"")</f>
        <v/>
      </c>
    </row>
    <row r="4046" spans="1:1" x14ac:dyDescent="0.5">
      <c r="A4046" s="15" t="str">
        <f t="shared" ca="1" si="64"/>
        <v/>
      </c>
    </row>
    <row r="4047" spans="1:1" x14ac:dyDescent="0.5">
      <c r="A4047" s="15" t="str">
        <f t="shared" ca="1" si="64"/>
        <v/>
      </c>
    </row>
    <row r="4048" spans="1:1" x14ac:dyDescent="0.5">
      <c r="A4048" s="15" t="str">
        <f t="shared" ca="1" si="64"/>
        <v/>
      </c>
    </row>
    <row r="4049" spans="1:1" x14ac:dyDescent="0.5">
      <c r="A4049" s="15" t="str">
        <f t="shared" ca="1" si="64"/>
        <v/>
      </c>
    </row>
    <row r="4050" spans="1:1" x14ac:dyDescent="0.5">
      <c r="A4050" s="15" t="str">
        <f t="shared" ca="1" si="64"/>
        <v/>
      </c>
    </row>
    <row r="4051" spans="1:1" x14ac:dyDescent="0.5">
      <c r="A4051" s="15" t="str">
        <f t="shared" ca="1" si="64"/>
        <v/>
      </c>
    </row>
    <row r="4052" spans="1:1" x14ac:dyDescent="0.5">
      <c r="A4052" s="15" t="str">
        <f t="shared" ca="1" si="64"/>
        <v/>
      </c>
    </row>
    <row r="4053" spans="1:1" x14ac:dyDescent="0.5">
      <c r="A4053" s="15" t="str">
        <f t="shared" ca="1" si="64"/>
        <v/>
      </c>
    </row>
    <row r="4054" spans="1:1" x14ac:dyDescent="0.5">
      <c r="A4054" s="15" t="str">
        <f t="shared" ca="1" si="64"/>
        <v/>
      </c>
    </row>
    <row r="4055" spans="1:1" x14ac:dyDescent="0.5">
      <c r="A4055" s="15" t="str">
        <f t="shared" ca="1" si="64"/>
        <v/>
      </c>
    </row>
    <row r="4056" spans="1:1" x14ac:dyDescent="0.5">
      <c r="A4056" s="15" t="str">
        <f t="shared" ca="1" si="64"/>
        <v/>
      </c>
    </row>
    <row r="4057" spans="1:1" x14ac:dyDescent="0.5">
      <c r="A4057" s="15" t="str">
        <f t="shared" ca="1" si="64"/>
        <v/>
      </c>
    </row>
    <row r="4058" spans="1:1" x14ac:dyDescent="0.5">
      <c r="A4058" s="15" t="str">
        <f t="shared" ca="1" si="64"/>
        <v/>
      </c>
    </row>
    <row r="4059" spans="1:1" x14ac:dyDescent="0.5">
      <c r="A4059" s="15" t="str">
        <f t="shared" ca="1" si="64"/>
        <v/>
      </c>
    </row>
    <row r="4060" spans="1:1" x14ac:dyDescent="0.5">
      <c r="A4060" s="15" t="str">
        <f t="shared" ca="1" si="64"/>
        <v/>
      </c>
    </row>
    <row r="4061" spans="1:1" x14ac:dyDescent="0.5">
      <c r="A4061" s="15" t="str">
        <f t="shared" ca="1" si="64"/>
        <v/>
      </c>
    </row>
    <row r="4062" spans="1:1" x14ac:dyDescent="0.5">
      <c r="A4062" s="15" t="str">
        <f t="shared" ca="1" si="64"/>
        <v/>
      </c>
    </row>
    <row r="4063" spans="1:1" x14ac:dyDescent="0.5">
      <c r="A4063" s="15" t="str">
        <f t="shared" ca="1" si="64"/>
        <v/>
      </c>
    </row>
    <row r="4064" spans="1:1" x14ac:dyDescent="0.5">
      <c r="A4064" s="15" t="str">
        <f t="shared" ca="1" si="64"/>
        <v/>
      </c>
    </row>
    <row r="4065" spans="1:1" x14ac:dyDescent="0.5">
      <c r="A4065" s="15" t="str">
        <f t="shared" ca="1" si="64"/>
        <v/>
      </c>
    </row>
    <row r="4066" spans="1:1" x14ac:dyDescent="0.5">
      <c r="A4066" s="15" t="str">
        <f t="shared" ca="1" si="64"/>
        <v/>
      </c>
    </row>
    <row r="4067" spans="1:1" x14ac:dyDescent="0.5">
      <c r="A4067" s="15" t="str">
        <f t="shared" ca="1" si="64"/>
        <v/>
      </c>
    </row>
    <row r="4068" spans="1:1" x14ac:dyDescent="0.5">
      <c r="A4068" s="15" t="str">
        <f t="shared" ca="1" si="64"/>
        <v/>
      </c>
    </row>
    <row r="4069" spans="1:1" x14ac:dyDescent="0.5">
      <c r="A4069" s="15" t="str">
        <f t="shared" ca="1" si="64"/>
        <v/>
      </c>
    </row>
    <row r="4070" spans="1:1" x14ac:dyDescent="0.5">
      <c r="A4070" s="15" t="str">
        <f t="shared" ca="1" si="64"/>
        <v/>
      </c>
    </row>
    <row r="4071" spans="1:1" x14ac:dyDescent="0.5">
      <c r="A4071" s="15" t="str">
        <f t="shared" ca="1" si="64"/>
        <v/>
      </c>
    </row>
    <row r="4072" spans="1:1" x14ac:dyDescent="0.5">
      <c r="A4072" s="15" t="str">
        <f t="shared" ca="1" si="64"/>
        <v/>
      </c>
    </row>
    <row r="4073" spans="1:1" x14ac:dyDescent="0.5">
      <c r="A4073" s="15" t="str">
        <f t="shared" ca="1" si="64"/>
        <v/>
      </c>
    </row>
    <row r="4074" spans="1:1" x14ac:dyDescent="0.5">
      <c r="A4074" s="15" t="str">
        <f t="shared" ca="1" si="64"/>
        <v/>
      </c>
    </row>
    <row r="4075" spans="1:1" x14ac:dyDescent="0.5">
      <c r="A4075" s="15" t="str">
        <f t="shared" ca="1" si="64"/>
        <v/>
      </c>
    </row>
    <row r="4076" spans="1:1" x14ac:dyDescent="0.5">
      <c r="A4076" s="15" t="str">
        <f t="shared" ca="1" si="64"/>
        <v/>
      </c>
    </row>
    <row r="4077" spans="1:1" x14ac:dyDescent="0.5">
      <c r="A4077" s="15" t="str">
        <f t="shared" ca="1" si="64"/>
        <v/>
      </c>
    </row>
    <row r="4078" spans="1:1" x14ac:dyDescent="0.5">
      <c r="A4078" s="15" t="str">
        <f t="shared" ca="1" si="64"/>
        <v/>
      </c>
    </row>
    <row r="4079" spans="1:1" x14ac:dyDescent="0.5">
      <c r="A4079" s="15" t="str">
        <f t="shared" ca="1" si="64"/>
        <v/>
      </c>
    </row>
    <row r="4080" spans="1:1" x14ac:dyDescent="0.5">
      <c r="A4080" s="15" t="str">
        <f t="shared" ca="1" si="64"/>
        <v/>
      </c>
    </row>
    <row r="4081" spans="1:1" x14ac:dyDescent="0.5">
      <c r="A4081" s="15" t="str">
        <f t="shared" ca="1" si="64"/>
        <v/>
      </c>
    </row>
    <row r="4082" spans="1:1" x14ac:dyDescent="0.5">
      <c r="A4082" s="15" t="str">
        <f t="shared" ca="1" si="64"/>
        <v/>
      </c>
    </row>
    <row r="4083" spans="1:1" x14ac:dyDescent="0.5">
      <c r="A4083" s="15" t="str">
        <f t="shared" ca="1" si="64"/>
        <v/>
      </c>
    </row>
    <row r="4084" spans="1:1" x14ac:dyDescent="0.5">
      <c r="A4084" s="15" t="str">
        <f t="shared" ca="1" si="64"/>
        <v/>
      </c>
    </row>
    <row r="4085" spans="1:1" x14ac:dyDescent="0.5">
      <c r="A4085" s="15" t="str">
        <f t="shared" ca="1" si="64"/>
        <v/>
      </c>
    </row>
    <row r="4086" spans="1:1" x14ac:dyDescent="0.5">
      <c r="A4086" s="15" t="str">
        <f t="shared" ca="1" si="64"/>
        <v/>
      </c>
    </row>
    <row r="4087" spans="1:1" x14ac:dyDescent="0.5">
      <c r="A4087" s="15" t="str">
        <f t="shared" ca="1" si="64"/>
        <v/>
      </c>
    </row>
    <row r="4088" spans="1:1" x14ac:dyDescent="0.5">
      <c r="A4088" s="15" t="str">
        <f t="shared" ca="1" si="64"/>
        <v/>
      </c>
    </row>
    <row r="4089" spans="1:1" x14ac:dyDescent="0.5">
      <c r="A4089" s="15" t="str">
        <f t="shared" ca="1" si="64"/>
        <v/>
      </c>
    </row>
    <row r="4090" spans="1:1" x14ac:dyDescent="0.5">
      <c r="A4090" s="15" t="str">
        <f t="shared" ca="1" si="64"/>
        <v/>
      </c>
    </row>
    <row r="4091" spans="1:1" x14ac:dyDescent="0.5">
      <c r="A4091" s="15" t="str">
        <f t="shared" ca="1" si="64"/>
        <v/>
      </c>
    </row>
    <row r="4092" spans="1:1" x14ac:dyDescent="0.5">
      <c r="A4092" s="15" t="str">
        <f t="shared" ca="1" si="64"/>
        <v/>
      </c>
    </row>
    <row r="4093" spans="1:1" x14ac:dyDescent="0.5">
      <c r="A4093" s="15" t="str">
        <f t="shared" ca="1" si="64"/>
        <v/>
      </c>
    </row>
    <row r="4094" spans="1:1" x14ac:dyDescent="0.5">
      <c r="A4094" s="15" t="str">
        <f t="shared" ca="1" si="64"/>
        <v/>
      </c>
    </row>
    <row r="4095" spans="1:1" x14ac:dyDescent="0.5">
      <c r="A4095" s="15" t="str">
        <f t="shared" ca="1" si="64"/>
        <v/>
      </c>
    </row>
    <row r="4096" spans="1:1" x14ac:dyDescent="0.5">
      <c r="A4096" s="15" t="str">
        <f t="shared" ca="1" si="64"/>
        <v/>
      </c>
    </row>
    <row r="4097" spans="1:1" x14ac:dyDescent="0.5">
      <c r="A4097" s="15" t="str">
        <f t="shared" ca="1" si="64"/>
        <v/>
      </c>
    </row>
    <row r="4098" spans="1:1" x14ac:dyDescent="0.5">
      <c r="A4098" s="15" t="str">
        <f t="shared" ca="1" si="64"/>
        <v/>
      </c>
    </row>
    <row r="4099" spans="1:1" x14ac:dyDescent="0.5">
      <c r="A4099" s="15" t="str">
        <f t="shared" ca="1" si="64"/>
        <v/>
      </c>
    </row>
    <row r="4100" spans="1:1" x14ac:dyDescent="0.5">
      <c r="A4100" s="15" t="str">
        <f t="shared" ca="1" si="64"/>
        <v/>
      </c>
    </row>
    <row r="4101" spans="1:1" x14ac:dyDescent="0.5">
      <c r="A4101" s="15" t="str">
        <f t="shared" ca="1" si="64"/>
        <v/>
      </c>
    </row>
    <row r="4102" spans="1:1" x14ac:dyDescent="0.5">
      <c r="A4102" s="15" t="str">
        <f t="shared" ca="1" si="64"/>
        <v/>
      </c>
    </row>
    <row r="4103" spans="1:1" x14ac:dyDescent="0.5">
      <c r="A4103" s="15" t="str">
        <f t="shared" ca="1" si="64"/>
        <v/>
      </c>
    </row>
    <row r="4104" spans="1:1" x14ac:dyDescent="0.5">
      <c r="A4104" s="15" t="str">
        <f t="shared" ca="1" si="64"/>
        <v/>
      </c>
    </row>
    <row r="4105" spans="1:1" x14ac:dyDescent="0.5">
      <c r="A4105" s="15" t="str">
        <f t="shared" ca="1" si="64"/>
        <v/>
      </c>
    </row>
    <row r="4106" spans="1:1" x14ac:dyDescent="0.5">
      <c r="A4106" s="15" t="str">
        <f t="shared" ca="1" si="64"/>
        <v/>
      </c>
    </row>
    <row r="4107" spans="1:1" x14ac:dyDescent="0.5">
      <c r="A4107" s="15" t="str">
        <f t="shared" ca="1" si="64"/>
        <v/>
      </c>
    </row>
    <row r="4108" spans="1:1" x14ac:dyDescent="0.5">
      <c r="A4108" s="15" t="str">
        <f t="shared" ca="1" si="64"/>
        <v/>
      </c>
    </row>
    <row r="4109" spans="1:1" x14ac:dyDescent="0.5">
      <c r="A4109" s="15" t="str">
        <f t="shared" ref="A4109:A4172" ca="1" si="65">IF(ROW()-12&lt;=$B$7,_xlfn.NORM.INV(RAND(),$B$5,$B$6),"")</f>
        <v/>
      </c>
    </row>
    <row r="4110" spans="1:1" x14ac:dyDescent="0.5">
      <c r="A4110" s="15" t="str">
        <f t="shared" ca="1" si="65"/>
        <v/>
      </c>
    </row>
    <row r="4111" spans="1:1" x14ac:dyDescent="0.5">
      <c r="A4111" s="15" t="str">
        <f t="shared" ca="1" si="65"/>
        <v/>
      </c>
    </row>
    <row r="4112" spans="1:1" x14ac:dyDescent="0.5">
      <c r="A4112" s="15" t="str">
        <f t="shared" ca="1" si="65"/>
        <v/>
      </c>
    </row>
    <row r="4113" spans="1:1" x14ac:dyDescent="0.5">
      <c r="A4113" s="15" t="str">
        <f t="shared" ca="1" si="65"/>
        <v/>
      </c>
    </row>
    <row r="4114" spans="1:1" x14ac:dyDescent="0.5">
      <c r="A4114" s="15" t="str">
        <f t="shared" ca="1" si="65"/>
        <v/>
      </c>
    </row>
    <row r="4115" spans="1:1" x14ac:dyDescent="0.5">
      <c r="A4115" s="15" t="str">
        <f t="shared" ca="1" si="65"/>
        <v/>
      </c>
    </row>
    <row r="4116" spans="1:1" x14ac:dyDescent="0.5">
      <c r="A4116" s="15" t="str">
        <f t="shared" ca="1" si="65"/>
        <v/>
      </c>
    </row>
    <row r="4117" spans="1:1" x14ac:dyDescent="0.5">
      <c r="A4117" s="15" t="str">
        <f t="shared" ca="1" si="65"/>
        <v/>
      </c>
    </row>
    <row r="4118" spans="1:1" x14ac:dyDescent="0.5">
      <c r="A4118" s="15" t="str">
        <f t="shared" ca="1" si="65"/>
        <v/>
      </c>
    </row>
    <row r="4119" spans="1:1" x14ac:dyDescent="0.5">
      <c r="A4119" s="15" t="str">
        <f t="shared" ca="1" si="65"/>
        <v/>
      </c>
    </row>
    <row r="4120" spans="1:1" x14ac:dyDescent="0.5">
      <c r="A4120" s="15" t="str">
        <f t="shared" ca="1" si="65"/>
        <v/>
      </c>
    </row>
    <row r="4121" spans="1:1" x14ac:dyDescent="0.5">
      <c r="A4121" s="15" t="str">
        <f t="shared" ca="1" si="65"/>
        <v/>
      </c>
    </row>
    <row r="4122" spans="1:1" x14ac:dyDescent="0.5">
      <c r="A4122" s="15" t="str">
        <f t="shared" ca="1" si="65"/>
        <v/>
      </c>
    </row>
    <row r="4123" spans="1:1" x14ac:dyDescent="0.5">
      <c r="A4123" s="15" t="str">
        <f t="shared" ca="1" si="65"/>
        <v/>
      </c>
    </row>
    <row r="4124" spans="1:1" x14ac:dyDescent="0.5">
      <c r="A4124" s="15" t="str">
        <f t="shared" ca="1" si="65"/>
        <v/>
      </c>
    </row>
    <row r="4125" spans="1:1" x14ac:dyDescent="0.5">
      <c r="A4125" s="15" t="str">
        <f t="shared" ca="1" si="65"/>
        <v/>
      </c>
    </row>
    <row r="4126" spans="1:1" x14ac:dyDescent="0.5">
      <c r="A4126" s="15" t="str">
        <f t="shared" ca="1" si="65"/>
        <v/>
      </c>
    </row>
    <row r="4127" spans="1:1" x14ac:dyDescent="0.5">
      <c r="A4127" s="15" t="str">
        <f t="shared" ca="1" si="65"/>
        <v/>
      </c>
    </row>
    <row r="4128" spans="1:1" x14ac:dyDescent="0.5">
      <c r="A4128" s="15" t="str">
        <f t="shared" ca="1" si="65"/>
        <v/>
      </c>
    </row>
    <row r="4129" spans="1:1" x14ac:dyDescent="0.5">
      <c r="A4129" s="15" t="str">
        <f t="shared" ca="1" si="65"/>
        <v/>
      </c>
    </row>
    <row r="4130" spans="1:1" x14ac:dyDescent="0.5">
      <c r="A4130" s="15" t="str">
        <f t="shared" ca="1" si="65"/>
        <v/>
      </c>
    </row>
    <row r="4131" spans="1:1" x14ac:dyDescent="0.5">
      <c r="A4131" s="15" t="str">
        <f t="shared" ca="1" si="65"/>
        <v/>
      </c>
    </row>
    <row r="4132" spans="1:1" x14ac:dyDescent="0.5">
      <c r="A4132" s="15" t="str">
        <f t="shared" ca="1" si="65"/>
        <v/>
      </c>
    </row>
    <row r="4133" spans="1:1" x14ac:dyDescent="0.5">
      <c r="A4133" s="15" t="str">
        <f t="shared" ca="1" si="65"/>
        <v/>
      </c>
    </row>
    <row r="4134" spans="1:1" x14ac:dyDescent="0.5">
      <c r="A4134" s="15" t="str">
        <f t="shared" ca="1" si="65"/>
        <v/>
      </c>
    </row>
    <row r="4135" spans="1:1" x14ac:dyDescent="0.5">
      <c r="A4135" s="15" t="str">
        <f t="shared" ca="1" si="65"/>
        <v/>
      </c>
    </row>
    <row r="4136" spans="1:1" x14ac:dyDescent="0.5">
      <c r="A4136" s="15" t="str">
        <f t="shared" ca="1" si="65"/>
        <v/>
      </c>
    </row>
    <row r="4137" spans="1:1" x14ac:dyDescent="0.5">
      <c r="A4137" s="15" t="str">
        <f t="shared" ca="1" si="65"/>
        <v/>
      </c>
    </row>
    <row r="4138" spans="1:1" x14ac:dyDescent="0.5">
      <c r="A4138" s="15" t="str">
        <f t="shared" ca="1" si="65"/>
        <v/>
      </c>
    </row>
    <row r="4139" spans="1:1" x14ac:dyDescent="0.5">
      <c r="A4139" s="15" t="str">
        <f t="shared" ca="1" si="65"/>
        <v/>
      </c>
    </row>
    <row r="4140" spans="1:1" x14ac:dyDescent="0.5">
      <c r="A4140" s="15" t="str">
        <f t="shared" ca="1" si="65"/>
        <v/>
      </c>
    </row>
    <row r="4141" spans="1:1" x14ac:dyDescent="0.5">
      <c r="A4141" s="15" t="str">
        <f t="shared" ca="1" si="65"/>
        <v/>
      </c>
    </row>
    <row r="4142" spans="1:1" x14ac:dyDescent="0.5">
      <c r="A4142" s="15" t="str">
        <f t="shared" ca="1" si="65"/>
        <v/>
      </c>
    </row>
    <row r="4143" spans="1:1" x14ac:dyDescent="0.5">
      <c r="A4143" s="15" t="str">
        <f t="shared" ca="1" si="65"/>
        <v/>
      </c>
    </row>
    <row r="4144" spans="1:1" x14ac:dyDescent="0.5">
      <c r="A4144" s="15" t="str">
        <f t="shared" ca="1" si="65"/>
        <v/>
      </c>
    </row>
    <row r="4145" spans="1:1" x14ac:dyDescent="0.5">
      <c r="A4145" s="15" t="str">
        <f t="shared" ca="1" si="65"/>
        <v/>
      </c>
    </row>
    <row r="4146" spans="1:1" x14ac:dyDescent="0.5">
      <c r="A4146" s="15" t="str">
        <f t="shared" ca="1" si="65"/>
        <v/>
      </c>
    </row>
    <row r="4147" spans="1:1" x14ac:dyDescent="0.5">
      <c r="A4147" s="15" t="str">
        <f t="shared" ca="1" si="65"/>
        <v/>
      </c>
    </row>
    <row r="4148" spans="1:1" x14ac:dyDescent="0.5">
      <c r="A4148" s="15" t="str">
        <f t="shared" ca="1" si="65"/>
        <v/>
      </c>
    </row>
    <row r="4149" spans="1:1" x14ac:dyDescent="0.5">
      <c r="A4149" s="15" t="str">
        <f t="shared" ca="1" si="65"/>
        <v/>
      </c>
    </row>
    <row r="4150" spans="1:1" x14ac:dyDescent="0.5">
      <c r="A4150" s="15" t="str">
        <f t="shared" ca="1" si="65"/>
        <v/>
      </c>
    </row>
    <row r="4151" spans="1:1" x14ac:dyDescent="0.5">
      <c r="A4151" s="15" t="str">
        <f t="shared" ca="1" si="65"/>
        <v/>
      </c>
    </row>
    <row r="4152" spans="1:1" x14ac:dyDescent="0.5">
      <c r="A4152" s="15" t="str">
        <f t="shared" ca="1" si="65"/>
        <v/>
      </c>
    </row>
    <row r="4153" spans="1:1" x14ac:dyDescent="0.5">
      <c r="A4153" s="15" t="str">
        <f t="shared" ca="1" si="65"/>
        <v/>
      </c>
    </row>
    <row r="4154" spans="1:1" x14ac:dyDescent="0.5">
      <c r="A4154" s="15" t="str">
        <f t="shared" ca="1" si="65"/>
        <v/>
      </c>
    </row>
    <row r="4155" spans="1:1" x14ac:dyDescent="0.5">
      <c r="A4155" s="15" t="str">
        <f t="shared" ca="1" si="65"/>
        <v/>
      </c>
    </row>
    <row r="4156" spans="1:1" x14ac:dyDescent="0.5">
      <c r="A4156" s="15" t="str">
        <f t="shared" ca="1" si="65"/>
        <v/>
      </c>
    </row>
    <row r="4157" spans="1:1" x14ac:dyDescent="0.5">
      <c r="A4157" s="15" t="str">
        <f t="shared" ca="1" si="65"/>
        <v/>
      </c>
    </row>
    <row r="4158" spans="1:1" x14ac:dyDescent="0.5">
      <c r="A4158" s="15" t="str">
        <f t="shared" ca="1" si="65"/>
        <v/>
      </c>
    </row>
    <row r="4159" spans="1:1" x14ac:dyDescent="0.5">
      <c r="A4159" s="15" t="str">
        <f t="shared" ca="1" si="65"/>
        <v/>
      </c>
    </row>
    <row r="4160" spans="1:1" x14ac:dyDescent="0.5">
      <c r="A4160" s="15" t="str">
        <f t="shared" ca="1" si="65"/>
        <v/>
      </c>
    </row>
    <row r="4161" spans="1:1" x14ac:dyDescent="0.5">
      <c r="A4161" s="15" t="str">
        <f t="shared" ca="1" si="65"/>
        <v/>
      </c>
    </row>
    <row r="4162" spans="1:1" x14ac:dyDescent="0.5">
      <c r="A4162" s="15" t="str">
        <f t="shared" ca="1" si="65"/>
        <v/>
      </c>
    </row>
    <row r="4163" spans="1:1" x14ac:dyDescent="0.5">
      <c r="A4163" s="15" t="str">
        <f t="shared" ca="1" si="65"/>
        <v/>
      </c>
    </row>
    <row r="4164" spans="1:1" x14ac:dyDescent="0.5">
      <c r="A4164" s="15" t="str">
        <f t="shared" ca="1" si="65"/>
        <v/>
      </c>
    </row>
    <row r="4165" spans="1:1" x14ac:dyDescent="0.5">
      <c r="A4165" s="15" t="str">
        <f t="shared" ca="1" si="65"/>
        <v/>
      </c>
    </row>
    <row r="4166" spans="1:1" x14ac:dyDescent="0.5">
      <c r="A4166" s="15" t="str">
        <f t="shared" ca="1" si="65"/>
        <v/>
      </c>
    </row>
    <row r="4167" spans="1:1" x14ac:dyDescent="0.5">
      <c r="A4167" s="15" t="str">
        <f t="shared" ca="1" si="65"/>
        <v/>
      </c>
    </row>
    <row r="4168" spans="1:1" x14ac:dyDescent="0.5">
      <c r="A4168" s="15" t="str">
        <f t="shared" ca="1" si="65"/>
        <v/>
      </c>
    </row>
    <row r="4169" spans="1:1" x14ac:dyDescent="0.5">
      <c r="A4169" s="15" t="str">
        <f t="shared" ca="1" si="65"/>
        <v/>
      </c>
    </row>
    <row r="4170" spans="1:1" x14ac:dyDescent="0.5">
      <c r="A4170" s="15" t="str">
        <f t="shared" ca="1" si="65"/>
        <v/>
      </c>
    </row>
    <row r="4171" spans="1:1" x14ac:dyDescent="0.5">
      <c r="A4171" s="15" t="str">
        <f t="shared" ca="1" si="65"/>
        <v/>
      </c>
    </row>
    <row r="4172" spans="1:1" x14ac:dyDescent="0.5">
      <c r="A4172" s="15" t="str">
        <f t="shared" ca="1" si="65"/>
        <v/>
      </c>
    </row>
    <row r="4173" spans="1:1" x14ac:dyDescent="0.5">
      <c r="A4173" s="15" t="str">
        <f t="shared" ref="A4173:A4236" ca="1" si="66">IF(ROW()-12&lt;=$B$7,_xlfn.NORM.INV(RAND(),$B$5,$B$6),"")</f>
        <v/>
      </c>
    </row>
    <row r="4174" spans="1:1" x14ac:dyDescent="0.5">
      <c r="A4174" s="15" t="str">
        <f t="shared" ca="1" si="66"/>
        <v/>
      </c>
    </row>
    <row r="4175" spans="1:1" x14ac:dyDescent="0.5">
      <c r="A4175" s="15" t="str">
        <f t="shared" ca="1" si="66"/>
        <v/>
      </c>
    </row>
    <row r="4176" spans="1:1" x14ac:dyDescent="0.5">
      <c r="A4176" s="15" t="str">
        <f t="shared" ca="1" si="66"/>
        <v/>
      </c>
    </row>
    <row r="4177" spans="1:1" x14ac:dyDescent="0.5">
      <c r="A4177" s="15" t="str">
        <f t="shared" ca="1" si="66"/>
        <v/>
      </c>
    </row>
    <row r="4178" spans="1:1" x14ac:dyDescent="0.5">
      <c r="A4178" s="15" t="str">
        <f t="shared" ca="1" si="66"/>
        <v/>
      </c>
    </row>
    <row r="4179" spans="1:1" x14ac:dyDescent="0.5">
      <c r="A4179" s="15" t="str">
        <f t="shared" ca="1" si="66"/>
        <v/>
      </c>
    </row>
    <row r="4180" spans="1:1" x14ac:dyDescent="0.5">
      <c r="A4180" s="15" t="str">
        <f t="shared" ca="1" si="66"/>
        <v/>
      </c>
    </row>
    <row r="4181" spans="1:1" x14ac:dyDescent="0.5">
      <c r="A4181" s="15" t="str">
        <f t="shared" ca="1" si="66"/>
        <v/>
      </c>
    </row>
    <row r="4182" spans="1:1" x14ac:dyDescent="0.5">
      <c r="A4182" s="15" t="str">
        <f t="shared" ca="1" si="66"/>
        <v/>
      </c>
    </row>
    <row r="4183" spans="1:1" x14ac:dyDescent="0.5">
      <c r="A4183" s="15" t="str">
        <f t="shared" ca="1" si="66"/>
        <v/>
      </c>
    </row>
    <row r="4184" spans="1:1" x14ac:dyDescent="0.5">
      <c r="A4184" s="15" t="str">
        <f t="shared" ca="1" si="66"/>
        <v/>
      </c>
    </row>
    <row r="4185" spans="1:1" x14ac:dyDescent="0.5">
      <c r="A4185" s="15" t="str">
        <f t="shared" ca="1" si="66"/>
        <v/>
      </c>
    </row>
    <row r="4186" spans="1:1" x14ac:dyDescent="0.5">
      <c r="A4186" s="15" t="str">
        <f t="shared" ca="1" si="66"/>
        <v/>
      </c>
    </row>
    <row r="4187" spans="1:1" x14ac:dyDescent="0.5">
      <c r="A4187" s="15" t="str">
        <f t="shared" ca="1" si="66"/>
        <v/>
      </c>
    </row>
    <row r="4188" spans="1:1" x14ac:dyDescent="0.5">
      <c r="A4188" s="15" t="str">
        <f t="shared" ca="1" si="66"/>
        <v/>
      </c>
    </row>
    <row r="4189" spans="1:1" x14ac:dyDescent="0.5">
      <c r="A4189" s="15" t="str">
        <f t="shared" ca="1" si="66"/>
        <v/>
      </c>
    </row>
    <row r="4190" spans="1:1" x14ac:dyDescent="0.5">
      <c r="A4190" s="15" t="str">
        <f t="shared" ca="1" si="66"/>
        <v/>
      </c>
    </row>
    <row r="4191" spans="1:1" x14ac:dyDescent="0.5">
      <c r="A4191" s="15" t="str">
        <f t="shared" ca="1" si="66"/>
        <v/>
      </c>
    </row>
    <row r="4192" spans="1:1" x14ac:dyDescent="0.5">
      <c r="A4192" s="15" t="str">
        <f t="shared" ca="1" si="66"/>
        <v/>
      </c>
    </row>
    <row r="4193" spans="1:1" x14ac:dyDescent="0.5">
      <c r="A4193" s="15" t="str">
        <f t="shared" ca="1" si="66"/>
        <v/>
      </c>
    </row>
    <row r="4194" spans="1:1" x14ac:dyDescent="0.5">
      <c r="A4194" s="15" t="str">
        <f t="shared" ca="1" si="66"/>
        <v/>
      </c>
    </row>
    <row r="4195" spans="1:1" x14ac:dyDescent="0.5">
      <c r="A4195" s="15" t="str">
        <f t="shared" ca="1" si="66"/>
        <v/>
      </c>
    </row>
    <row r="4196" spans="1:1" x14ac:dyDescent="0.5">
      <c r="A4196" s="15" t="str">
        <f t="shared" ca="1" si="66"/>
        <v/>
      </c>
    </row>
    <row r="4197" spans="1:1" x14ac:dyDescent="0.5">
      <c r="A4197" s="15" t="str">
        <f t="shared" ca="1" si="66"/>
        <v/>
      </c>
    </row>
    <row r="4198" spans="1:1" x14ac:dyDescent="0.5">
      <c r="A4198" s="15" t="str">
        <f t="shared" ca="1" si="66"/>
        <v/>
      </c>
    </row>
    <row r="4199" spans="1:1" x14ac:dyDescent="0.5">
      <c r="A4199" s="15" t="str">
        <f t="shared" ca="1" si="66"/>
        <v/>
      </c>
    </row>
    <row r="4200" spans="1:1" x14ac:dyDescent="0.5">
      <c r="A4200" s="15" t="str">
        <f t="shared" ca="1" si="66"/>
        <v/>
      </c>
    </row>
    <row r="4201" spans="1:1" x14ac:dyDescent="0.5">
      <c r="A4201" s="15" t="str">
        <f t="shared" ca="1" si="66"/>
        <v/>
      </c>
    </row>
    <row r="4202" spans="1:1" x14ac:dyDescent="0.5">
      <c r="A4202" s="15" t="str">
        <f t="shared" ca="1" si="66"/>
        <v/>
      </c>
    </row>
    <row r="4203" spans="1:1" x14ac:dyDescent="0.5">
      <c r="A4203" s="15" t="str">
        <f t="shared" ca="1" si="66"/>
        <v/>
      </c>
    </row>
    <row r="4204" spans="1:1" x14ac:dyDescent="0.5">
      <c r="A4204" s="15" t="str">
        <f t="shared" ca="1" si="66"/>
        <v/>
      </c>
    </row>
    <row r="4205" spans="1:1" x14ac:dyDescent="0.5">
      <c r="A4205" s="15" t="str">
        <f t="shared" ca="1" si="66"/>
        <v/>
      </c>
    </row>
    <row r="4206" spans="1:1" x14ac:dyDescent="0.5">
      <c r="A4206" s="15" t="str">
        <f t="shared" ca="1" si="66"/>
        <v/>
      </c>
    </row>
    <row r="4207" spans="1:1" x14ac:dyDescent="0.5">
      <c r="A4207" s="15" t="str">
        <f t="shared" ca="1" si="66"/>
        <v/>
      </c>
    </row>
    <row r="4208" spans="1:1" x14ac:dyDescent="0.5">
      <c r="A4208" s="15" t="str">
        <f t="shared" ca="1" si="66"/>
        <v/>
      </c>
    </row>
    <row r="4209" spans="1:1" x14ac:dyDescent="0.5">
      <c r="A4209" s="15" t="str">
        <f t="shared" ca="1" si="66"/>
        <v/>
      </c>
    </row>
    <row r="4210" spans="1:1" x14ac:dyDescent="0.5">
      <c r="A4210" s="15" t="str">
        <f t="shared" ca="1" si="66"/>
        <v/>
      </c>
    </row>
    <row r="4211" spans="1:1" x14ac:dyDescent="0.5">
      <c r="A4211" s="15" t="str">
        <f t="shared" ca="1" si="66"/>
        <v/>
      </c>
    </row>
    <row r="4212" spans="1:1" x14ac:dyDescent="0.5">
      <c r="A4212" s="15" t="str">
        <f t="shared" ca="1" si="66"/>
        <v/>
      </c>
    </row>
    <row r="4213" spans="1:1" x14ac:dyDescent="0.5">
      <c r="A4213" s="15" t="str">
        <f t="shared" ca="1" si="66"/>
        <v/>
      </c>
    </row>
    <row r="4214" spans="1:1" x14ac:dyDescent="0.5">
      <c r="A4214" s="15" t="str">
        <f t="shared" ca="1" si="66"/>
        <v/>
      </c>
    </row>
    <row r="4215" spans="1:1" x14ac:dyDescent="0.5">
      <c r="A4215" s="15" t="str">
        <f t="shared" ca="1" si="66"/>
        <v/>
      </c>
    </row>
    <row r="4216" spans="1:1" x14ac:dyDescent="0.5">
      <c r="A4216" s="15" t="str">
        <f t="shared" ca="1" si="66"/>
        <v/>
      </c>
    </row>
    <row r="4217" spans="1:1" x14ac:dyDescent="0.5">
      <c r="A4217" s="15" t="str">
        <f t="shared" ca="1" si="66"/>
        <v/>
      </c>
    </row>
    <row r="4218" spans="1:1" x14ac:dyDescent="0.5">
      <c r="A4218" s="15" t="str">
        <f t="shared" ca="1" si="66"/>
        <v/>
      </c>
    </row>
    <row r="4219" spans="1:1" x14ac:dyDescent="0.5">
      <c r="A4219" s="15" t="str">
        <f t="shared" ca="1" si="66"/>
        <v/>
      </c>
    </row>
    <row r="4220" spans="1:1" x14ac:dyDescent="0.5">
      <c r="A4220" s="15" t="str">
        <f t="shared" ca="1" si="66"/>
        <v/>
      </c>
    </row>
    <row r="4221" spans="1:1" x14ac:dyDescent="0.5">
      <c r="A4221" s="15" t="str">
        <f t="shared" ca="1" si="66"/>
        <v/>
      </c>
    </row>
    <row r="4222" spans="1:1" x14ac:dyDescent="0.5">
      <c r="A4222" s="15" t="str">
        <f t="shared" ca="1" si="66"/>
        <v/>
      </c>
    </row>
    <row r="4223" spans="1:1" x14ac:dyDescent="0.5">
      <c r="A4223" s="15" t="str">
        <f t="shared" ca="1" si="66"/>
        <v/>
      </c>
    </row>
    <row r="4224" spans="1:1" x14ac:dyDescent="0.5">
      <c r="A4224" s="15" t="str">
        <f t="shared" ca="1" si="66"/>
        <v/>
      </c>
    </row>
    <row r="4225" spans="1:1" x14ac:dyDescent="0.5">
      <c r="A4225" s="15" t="str">
        <f t="shared" ca="1" si="66"/>
        <v/>
      </c>
    </row>
    <row r="4226" spans="1:1" x14ac:dyDescent="0.5">
      <c r="A4226" s="15" t="str">
        <f t="shared" ca="1" si="66"/>
        <v/>
      </c>
    </row>
    <row r="4227" spans="1:1" x14ac:dyDescent="0.5">
      <c r="A4227" s="15" t="str">
        <f t="shared" ca="1" si="66"/>
        <v/>
      </c>
    </row>
    <row r="4228" spans="1:1" x14ac:dyDescent="0.5">
      <c r="A4228" s="15" t="str">
        <f t="shared" ca="1" si="66"/>
        <v/>
      </c>
    </row>
    <row r="4229" spans="1:1" x14ac:dyDescent="0.5">
      <c r="A4229" s="15" t="str">
        <f t="shared" ca="1" si="66"/>
        <v/>
      </c>
    </row>
    <row r="4230" spans="1:1" x14ac:dyDescent="0.5">
      <c r="A4230" s="15" t="str">
        <f t="shared" ca="1" si="66"/>
        <v/>
      </c>
    </row>
    <row r="4231" spans="1:1" x14ac:dyDescent="0.5">
      <c r="A4231" s="15" t="str">
        <f t="shared" ca="1" si="66"/>
        <v/>
      </c>
    </row>
    <row r="4232" spans="1:1" x14ac:dyDescent="0.5">
      <c r="A4232" s="15" t="str">
        <f t="shared" ca="1" si="66"/>
        <v/>
      </c>
    </row>
    <row r="4233" spans="1:1" x14ac:dyDescent="0.5">
      <c r="A4233" s="15" t="str">
        <f t="shared" ca="1" si="66"/>
        <v/>
      </c>
    </row>
    <row r="4234" spans="1:1" x14ac:dyDescent="0.5">
      <c r="A4234" s="15" t="str">
        <f t="shared" ca="1" si="66"/>
        <v/>
      </c>
    </row>
    <row r="4235" spans="1:1" x14ac:dyDescent="0.5">
      <c r="A4235" s="15" t="str">
        <f t="shared" ca="1" si="66"/>
        <v/>
      </c>
    </row>
    <row r="4236" spans="1:1" x14ac:dyDescent="0.5">
      <c r="A4236" s="15" t="str">
        <f t="shared" ca="1" si="66"/>
        <v/>
      </c>
    </row>
    <row r="4237" spans="1:1" x14ac:dyDescent="0.5">
      <c r="A4237" s="15" t="str">
        <f t="shared" ref="A4237:A4300" ca="1" si="67">IF(ROW()-12&lt;=$B$7,_xlfn.NORM.INV(RAND(),$B$5,$B$6),"")</f>
        <v/>
      </c>
    </row>
    <row r="4238" spans="1:1" x14ac:dyDescent="0.5">
      <c r="A4238" s="15" t="str">
        <f t="shared" ca="1" si="67"/>
        <v/>
      </c>
    </row>
    <row r="4239" spans="1:1" x14ac:dyDescent="0.5">
      <c r="A4239" s="15" t="str">
        <f t="shared" ca="1" si="67"/>
        <v/>
      </c>
    </row>
    <row r="4240" spans="1:1" x14ac:dyDescent="0.5">
      <c r="A4240" s="15" t="str">
        <f t="shared" ca="1" si="67"/>
        <v/>
      </c>
    </row>
    <row r="4241" spans="1:1" x14ac:dyDescent="0.5">
      <c r="A4241" s="15" t="str">
        <f t="shared" ca="1" si="67"/>
        <v/>
      </c>
    </row>
    <row r="4242" spans="1:1" x14ac:dyDescent="0.5">
      <c r="A4242" s="15" t="str">
        <f t="shared" ca="1" si="67"/>
        <v/>
      </c>
    </row>
    <row r="4243" spans="1:1" x14ac:dyDescent="0.5">
      <c r="A4243" s="15" t="str">
        <f t="shared" ca="1" si="67"/>
        <v/>
      </c>
    </row>
    <row r="4244" spans="1:1" x14ac:dyDescent="0.5">
      <c r="A4244" s="15" t="str">
        <f t="shared" ca="1" si="67"/>
        <v/>
      </c>
    </row>
    <row r="4245" spans="1:1" x14ac:dyDescent="0.5">
      <c r="A4245" s="15" t="str">
        <f t="shared" ca="1" si="67"/>
        <v/>
      </c>
    </row>
    <row r="4246" spans="1:1" x14ac:dyDescent="0.5">
      <c r="A4246" s="15" t="str">
        <f t="shared" ca="1" si="67"/>
        <v/>
      </c>
    </row>
    <row r="4247" spans="1:1" x14ac:dyDescent="0.5">
      <c r="A4247" s="15" t="str">
        <f t="shared" ca="1" si="67"/>
        <v/>
      </c>
    </row>
    <row r="4248" spans="1:1" x14ac:dyDescent="0.5">
      <c r="A4248" s="15" t="str">
        <f t="shared" ca="1" si="67"/>
        <v/>
      </c>
    </row>
    <row r="4249" spans="1:1" x14ac:dyDescent="0.5">
      <c r="A4249" s="15" t="str">
        <f t="shared" ca="1" si="67"/>
        <v/>
      </c>
    </row>
    <row r="4250" spans="1:1" x14ac:dyDescent="0.5">
      <c r="A4250" s="15" t="str">
        <f t="shared" ca="1" si="67"/>
        <v/>
      </c>
    </row>
    <row r="4251" spans="1:1" x14ac:dyDescent="0.5">
      <c r="A4251" s="15" t="str">
        <f t="shared" ca="1" si="67"/>
        <v/>
      </c>
    </row>
    <row r="4252" spans="1:1" x14ac:dyDescent="0.5">
      <c r="A4252" s="15" t="str">
        <f t="shared" ca="1" si="67"/>
        <v/>
      </c>
    </row>
    <row r="4253" spans="1:1" x14ac:dyDescent="0.5">
      <c r="A4253" s="15" t="str">
        <f t="shared" ca="1" si="67"/>
        <v/>
      </c>
    </row>
    <row r="4254" spans="1:1" x14ac:dyDescent="0.5">
      <c r="A4254" s="15" t="str">
        <f t="shared" ca="1" si="67"/>
        <v/>
      </c>
    </row>
    <row r="4255" spans="1:1" x14ac:dyDescent="0.5">
      <c r="A4255" s="15" t="str">
        <f t="shared" ca="1" si="67"/>
        <v/>
      </c>
    </row>
    <row r="4256" spans="1:1" x14ac:dyDescent="0.5">
      <c r="A4256" s="15" t="str">
        <f t="shared" ca="1" si="67"/>
        <v/>
      </c>
    </row>
    <row r="4257" spans="1:1" x14ac:dyDescent="0.5">
      <c r="A4257" s="15" t="str">
        <f t="shared" ca="1" si="67"/>
        <v/>
      </c>
    </row>
    <row r="4258" spans="1:1" x14ac:dyDescent="0.5">
      <c r="A4258" s="15" t="str">
        <f t="shared" ca="1" si="67"/>
        <v/>
      </c>
    </row>
    <row r="4259" spans="1:1" x14ac:dyDescent="0.5">
      <c r="A4259" s="15" t="str">
        <f t="shared" ca="1" si="67"/>
        <v/>
      </c>
    </row>
    <row r="4260" spans="1:1" x14ac:dyDescent="0.5">
      <c r="A4260" s="15" t="str">
        <f t="shared" ca="1" si="67"/>
        <v/>
      </c>
    </row>
    <row r="4261" spans="1:1" x14ac:dyDescent="0.5">
      <c r="A4261" s="15" t="str">
        <f t="shared" ca="1" si="67"/>
        <v/>
      </c>
    </row>
    <row r="4262" spans="1:1" x14ac:dyDescent="0.5">
      <c r="A4262" s="15" t="str">
        <f t="shared" ca="1" si="67"/>
        <v/>
      </c>
    </row>
    <row r="4263" spans="1:1" x14ac:dyDescent="0.5">
      <c r="A4263" s="15" t="str">
        <f t="shared" ca="1" si="67"/>
        <v/>
      </c>
    </row>
    <row r="4264" spans="1:1" x14ac:dyDescent="0.5">
      <c r="A4264" s="15" t="str">
        <f t="shared" ca="1" si="67"/>
        <v/>
      </c>
    </row>
    <row r="4265" spans="1:1" x14ac:dyDescent="0.5">
      <c r="A4265" s="15" t="str">
        <f t="shared" ca="1" si="67"/>
        <v/>
      </c>
    </row>
    <row r="4266" spans="1:1" x14ac:dyDescent="0.5">
      <c r="A4266" s="15" t="str">
        <f t="shared" ca="1" si="67"/>
        <v/>
      </c>
    </row>
    <row r="4267" spans="1:1" x14ac:dyDescent="0.5">
      <c r="A4267" s="15" t="str">
        <f t="shared" ca="1" si="67"/>
        <v/>
      </c>
    </row>
    <row r="4268" spans="1:1" x14ac:dyDescent="0.5">
      <c r="A4268" s="15" t="str">
        <f t="shared" ca="1" si="67"/>
        <v/>
      </c>
    </row>
    <row r="4269" spans="1:1" x14ac:dyDescent="0.5">
      <c r="A4269" s="15" t="str">
        <f t="shared" ca="1" si="67"/>
        <v/>
      </c>
    </row>
    <row r="4270" spans="1:1" x14ac:dyDescent="0.5">
      <c r="A4270" s="15" t="str">
        <f t="shared" ca="1" si="67"/>
        <v/>
      </c>
    </row>
    <row r="4271" spans="1:1" x14ac:dyDescent="0.5">
      <c r="A4271" s="15" t="str">
        <f t="shared" ca="1" si="67"/>
        <v/>
      </c>
    </row>
    <row r="4272" spans="1:1" x14ac:dyDescent="0.5">
      <c r="A4272" s="15" t="str">
        <f t="shared" ca="1" si="67"/>
        <v/>
      </c>
    </row>
    <row r="4273" spans="1:1" x14ac:dyDescent="0.5">
      <c r="A4273" s="15" t="str">
        <f t="shared" ca="1" si="67"/>
        <v/>
      </c>
    </row>
    <row r="4274" spans="1:1" x14ac:dyDescent="0.5">
      <c r="A4274" s="15" t="str">
        <f t="shared" ca="1" si="67"/>
        <v/>
      </c>
    </row>
    <row r="4275" spans="1:1" x14ac:dyDescent="0.5">
      <c r="A4275" s="15" t="str">
        <f t="shared" ca="1" si="67"/>
        <v/>
      </c>
    </row>
    <row r="4276" spans="1:1" x14ac:dyDescent="0.5">
      <c r="A4276" s="15" t="str">
        <f t="shared" ca="1" si="67"/>
        <v/>
      </c>
    </row>
    <row r="4277" spans="1:1" x14ac:dyDescent="0.5">
      <c r="A4277" s="15" t="str">
        <f t="shared" ca="1" si="67"/>
        <v/>
      </c>
    </row>
    <row r="4278" spans="1:1" x14ac:dyDescent="0.5">
      <c r="A4278" s="15" t="str">
        <f t="shared" ca="1" si="67"/>
        <v/>
      </c>
    </row>
    <row r="4279" spans="1:1" x14ac:dyDescent="0.5">
      <c r="A4279" s="15" t="str">
        <f t="shared" ca="1" si="67"/>
        <v/>
      </c>
    </row>
    <row r="4280" spans="1:1" x14ac:dyDescent="0.5">
      <c r="A4280" s="15" t="str">
        <f t="shared" ca="1" si="67"/>
        <v/>
      </c>
    </row>
    <row r="4281" spans="1:1" x14ac:dyDescent="0.5">
      <c r="A4281" s="15" t="str">
        <f t="shared" ca="1" si="67"/>
        <v/>
      </c>
    </row>
    <row r="4282" spans="1:1" x14ac:dyDescent="0.5">
      <c r="A4282" s="15" t="str">
        <f t="shared" ca="1" si="67"/>
        <v/>
      </c>
    </row>
    <row r="4283" spans="1:1" x14ac:dyDescent="0.5">
      <c r="A4283" s="15" t="str">
        <f t="shared" ca="1" si="67"/>
        <v/>
      </c>
    </row>
    <row r="4284" spans="1:1" x14ac:dyDescent="0.5">
      <c r="A4284" s="15" t="str">
        <f t="shared" ca="1" si="67"/>
        <v/>
      </c>
    </row>
    <row r="4285" spans="1:1" x14ac:dyDescent="0.5">
      <c r="A4285" s="15" t="str">
        <f t="shared" ca="1" si="67"/>
        <v/>
      </c>
    </row>
    <row r="4286" spans="1:1" x14ac:dyDescent="0.5">
      <c r="A4286" s="15" t="str">
        <f t="shared" ca="1" si="67"/>
        <v/>
      </c>
    </row>
    <row r="4287" spans="1:1" x14ac:dyDescent="0.5">
      <c r="A4287" s="15" t="str">
        <f t="shared" ca="1" si="67"/>
        <v/>
      </c>
    </row>
    <row r="4288" spans="1:1" x14ac:dyDescent="0.5">
      <c r="A4288" s="15" t="str">
        <f t="shared" ca="1" si="67"/>
        <v/>
      </c>
    </row>
    <row r="4289" spans="1:1" x14ac:dyDescent="0.5">
      <c r="A4289" s="15" t="str">
        <f t="shared" ca="1" si="67"/>
        <v/>
      </c>
    </row>
    <row r="4290" spans="1:1" x14ac:dyDescent="0.5">
      <c r="A4290" s="15" t="str">
        <f t="shared" ca="1" si="67"/>
        <v/>
      </c>
    </row>
    <row r="4291" spans="1:1" x14ac:dyDescent="0.5">
      <c r="A4291" s="15" t="str">
        <f t="shared" ca="1" si="67"/>
        <v/>
      </c>
    </row>
    <row r="4292" spans="1:1" x14ac:dyDescent="0.5">
      <c r="A4292" s="15" t="str">
        <f t="shared" ca="1" si="67"/>
        <v/>
      </c>
    </row>
    <row r="4293" spans="1:1" x14ac:dyDescent="0.5">
      <c r="A4293" s="15" t="str">
        <f t="shared" ca="1" si="67"/>
        <v/>
      </c>
    </row>
    <row r="4294" spans="1:1" x14ac:dyDescent="0.5">
      <c r="A4294" s="15" t="str">
        <f t="shared" ca="1" si="67"/>
        <v/>
      </c>
    </row>
    <row r="4295" spans="1:1" x14ac:dyDescent="0.5">
      <c r="A4295" s="15" t="str">
        <f t="shared" ca="1" si="67"/>
        <v/>
      </c>
    </row>
    <row r="4296" spans="1:1" x14ac:dyDescent="0.5">
      <c r="A4296" s="15" t="str">
        <f t="shared" ca="1" si="67"/>
        <v/>
      </c>
    </row>
    <row r="4297" spans="1:1" x14ac:dyDescent="0.5">
      <c r="A4297" s="15" t="str">
        <f t="shared" ca="1" si="67"/>
        <v/>
      </c>
    </row>
    <row r="4298" spans="1:1" x14ac:dyDescent="0.5">
      <c r="A4298" s="15" t="str">
        <f t="shared" ca="1" si="67"/>
        <v/>
      </c>
    </row>
    <row r="4299" spans="1:1" x14ac:dyDescent="0.5">
      <c r="A4299" s="15" t="str">
        <f t="shared" ca="1" si="67"/>
        <v/>
      </c>
    </row>
    <row r="4300" spans="1:1" x14ac:dyDescent="0.5">
      <c r="A4300" s="15" t="str">
        <f t="shared" ca="1" si="67"/>
        <v/>
      </c>
    </row>
    <row r="4301" spans="1:1" x14ac:dyDescent="0.5">
      <c r="A4301" s="15" t="str">
        <f t="shared" ref="A4301:A4364" ca="1" si="68">IF(ROW()-12&lt;=$B$7,_xlfn.NORM.INV(RAND(),$B$5,$B$6),"")</f>
        <v/>
      </c>
    </row>
    <row r="4302" spans="1:1" x14ac:dyDescent="0.5">
      <c r="A4302" s="15" t="str">
        <f t="shared" ca="1" si="68"/>
        <v/>
      </c>
    </row>
    <row r="4303" spans="1:1" x14ac:dyDescent="0.5">
      <c r="A4303" s="15" t="str">
        <f t="shared" ca="1" si="68"/>
        <v/>
      </c>
    </row>
    <row r="4304" spans="1:1" x14ac:dyDescent="0.5">
      <c r="A4304" s="15" t="str">
        <f t="shared" ca="1" si="68"/>
        <v/>
      </c>
    </row>
    <row r="4305" spans="1:1" x14ac:dyDescent="0.5">
      <c r="A4305" s="15" t="str">
        <f t="shared" ca="1" si="68"/>
        <v/>
      </c>
    </row>
    <row r="4306" spans="1:1" x14ac:dyDescent="0.5">
      <c r="A4306" s="15" t="str">
        <f t="shared" ca="1" si="68"/>
        <v/>
      </c>
    </row>
    <row r="4307" spans="1:1" x14ac:dyDescent="0.5">
      <c r="A4307" s="15" t="str">
        <f t="shared" ca="1" si="68"/>
        <v/>
      </c>
    </row>
    <row r="4308" spans="1:1" x14ac:dyDescent="0.5">
      <c r="A4308" s="15" t="str">
        <f t="shared" ca="1" si="68"/>
        <v/>
      </c>
    </row>
    <row r="4309" spans="1:1" x14ac:dyDescent="0.5">
      <c r="A4309" s="15" t="str">
        <f t="shared" ca="1" si="68"/>
        <v/>
      </c>
    </row>
    <row r="4310" spans="1:1" x14ac:dyDescent="0.5">
      <c r="A4310" s="15" t="str">
        <f t="shared" ca="1" si="68"/>
        <v/>
      </c>
    </row>
    <row r="4311" spans="1:1" x14ac:dyDescent="0.5">
      <c r="A4311" s="15" t="str">
        <f t="shared" ca="1" si="68"/>
        <v/>
      </c>
    </row>
    <row r="4312" spans="1:1" x14ac:dyDescent="0.5">
      <c r="A4312" s="15" t="str">
        <f t="shared" ca="1" si="68"/>
        <v/>
      </c>
    </row>
    <row r="4313" spans="1:1" x14ac:dyDescent="0.5">
      <c r="A4313" s="15" t="str">
        <f t="shared" ca="1" si="68"/>
        <v/>
      </c>
    </row>
    <row r="4314" spans="1:1" x14ac:dyDescent="0.5">
      <c r="A4314" s="15" t="str">
        <f t="shared" ca="1" si="68"/>
        <v/>
      </c>
    </row>
    <row r="4315" spans="1:1" x14ac:dyDescent="0.5">
      <c r="A4315" s="15" t="str">
        <f t="shared" ca="1" si="68"/>
        <v/>
      </c>
    </row>
    <row r="4316" spans="1:1" x14ac:dyDescent="0.5">
      <c r="A4316" s="15" t="str">
        <f t="shared" ca="1" si="68"/>
        <v/>
      </c>
    </row>
    <row r="4317" spans="1:1" x14ac:dyDescent="0.5">
      <c r="A4317" s="15" t="str">
        <f t="shared" ca="1" si="68"/>
        <v/>
      </c>
    </row>
    <row r="4318" spans="1:1" x14ac:dyDescent="0.5">
      <c r="A4318" s="15" t="str">
        <f t="shared" ca="1" si="68"/>
        <v/>
      </c>
    </row>
    <row r="4319" spans="1:1" x14ac:dyDescent="0.5">
      <c r="A4319" s="15" t="str">
        <f t="shared" ca="1" si="68"/>
        <v/>
      </c>
    </row>
    <row r="4320" spans="1:1" x14ac:dyDescent="0.5">
      <c r="A4320" s="15" t="str">
        <f t="shared" ca="1" si="68"/>
        <v/>
      </c>
    </row>
    <row r="4321" spans="1:1" x14ac:dyDescent="0.5">
      <c r="A4321" s="15" t="str">
        <f t="shared" ca="1" si="68"/>
        <v/>
      </c>
    </row>
    <row r="4322" spans="1:1" x14ac:dyDescent="0.5">
      <c r="A4322" s="15" t="str">
        <f t="shared" ca="1" si="68"/>
        <v/>
      </c>
    </row>
    <row r="4323" spans="1:1" x14ac:dyDescent="0.5">
      <c r="A4323" s="15" t="str">
        <f t="shared" ca="1" si="68"/>
        <v/>
      </c>
    </row>
    <row r="4324" spans="1:1" x14ac:dyDescent="0.5">
      <c r="A4324" s="15" t="str">
        <f t="shared" ca="1" si="68"/>
        <v/>
      </c>
    </row>
    <row r="4325" spans="1:1" x14ac:dyDescent="0.5">
      <c r="A4325" s="15" t="str">
        <f t="shared" ca="1" si="68"/>
        <v/>
      </c>
    </row>
    <row r="4326" spans="1:1" x14ac:dyDescent="0.5">
      <c r="A4326" s="15" t="str">
        <f t="shared" ca="1" si="68"/>
        <v/>
      </c>
    </row>
    <row r="4327" spans="1:1" x14ac:dyDescent="0.5">
      <c r="A4327" s="15" t="str">
        <f t="shared" ca="1" si="68"/>
        <v/>
      </c>
    </row>
    <row r="4328" spans="1:1" x14ac:dyDescent="0.5">
      <c r="A4328" s="15" t="str">
        <f t="shared" ca="1" si="68"/>
        <v/>
      </c>
    </row>
    <row r="4329" spans="1:1" x14ac:dyDescent="0.5">
      <c r="A4329" s="15" t="str">
        <f t="shared" ca="1" si="68"/>
        <v/>
      </c>
    </row>
    <row r="4330" spans="1:1" x14ac:dyDescent="0.5">
      <c r="A4330" s="15" t="str">
        <f t="shared" ca="1" si="68"/>
        <v/>
      </c>
    </row>
    <row r="4331" spans="1:1" x14ac:dyDescent="0.5">
      <c r="A4331" s="15" t="str">
        <f t="shared" ca="1" si="68"/>
        <v/>
      </c>
    </row>
    <row r="4332" spans="1:1" x14ac:dyDescent="0.5">
      <c r="A4332" s="15" t="str">
        <f t="shared" ca="1" si="68"/>
        <v/>
      </c>
    </row>
    <row r="4333" spans="1:1" x14ac:dyDescent="0.5">
      <c r="A4333" s="15" t="str">
        <f t="shared" ca="1" si="68"/>
        <v/>
      </c>
    </row>
    <row r="4334" spans="1:1" x14ac:dyDescent="0.5">
      <c r="A4334" s="15" t="str">
        <f t="shared" ca="1" si="68"/>
        <v/>
      </c>
    </row>
    <row r="4335" spans="1:1" x14ac:dyDescent="0.5">
      <c r="A4335" s="15" t="str">
        <f t="shared" ca="1" si="68"/>
        <v/>
      </c>
    </row>
    <row r="4336" spans="1:1" x14ac:dyDescent="0.5">
      <c r="A4336" s="15" t="str">
        <f t="shared" ca="1" si="68"/>
        <v/>
      </c>
    </row>
    <row r="4337" spans="1:1" x14ac:dyDescent="0.5">
      <c r="A4337" s="15" t="str">
        <f t="shared" ca="1" si="68"/>
        <v/>
      </c>
    </row>
    <row r="4338" spans="1:1" x14ac:dyDescent="0.5">
      <c r="A4338" s="15" t="str">
        <f t="shared" ca="1" si="68"/>
        <v/>
      </c>
    </row>
    <row r="4339" spans="1:1" x14ac:dyDescent="0.5">
      <c r="A4339" s="15" t="str">
        <f t="shared" ca="1" si="68"/>
        <v/>
      </c>
    </row>
    <row r="4340" spans="1:1" x14ac:dyDescent="0.5">
      <c r="A4340" s="15" t="str">
        <f t="shared" ca="1" si="68"/>
        <v/>
      </c>
    </row>
    <row r="4341" spans="1:1" x14ac:dyDescent="0.5">
      <c r="A4341" s="15" t="str">
        <f t="shared" ca="1" si="68"/>
        <v/>
      </c>
    </row>
    <row r="4342" spans="1:1" x14ac:dyDescent="0.5">
      <c r="A4342" s="15" t="str">
        <f t="shared" ca="1" si="68"/>
        <v/>
      </c>
    </row>
    <row r="4343" spans="1:1" x14ac:dyDescent="0.5">
      <c r="A4343" s="15" t="str">
        <f t="shared" ca="1" si="68"/>
        <v/>
      </c>
    </row>
    <row r="4344" spans="1:1" x14ac:dyDescent="0.5">
      <c r="A4344" s="15" t="str">
        <f t="shared" ca="1" si="68"/>
        <v/>
      </c>
    </row>
    <row r="4345" spans="1:1" x14ac:dyDescent="0.5">
      <c r="A4345" s="15" t="str">
        <f t="shared" ca="1" si="68"/>
        <v/>
      </c>
    </row>
    <row r="4346" spans="1:1" x14ac:dyDescent="0.5">
      <c r="A4346" s="15" t="str">
        <f t="shared" ca="1" si="68"/>
        <v/>
      </c>
    </row>
    <row r="4347" spans="1:1" x14ac:dyDescent="0.5">
      <c r="A4347" s="15" t="str">
        <f t="shared" ca="1" si="68"/>
        <v/>
      </c>
    </row>
    <row r="4348" spans="1:1" x14ac:dyDescent="0.5">
      <c r="A4348" s="15" t="str">
        <f t="shared" ca="1" si="68"/>
        <v/>
      </c>
    </row>
    <row r="4349" spans="1:1" x14ac:dyDescent="0.5">
      <c r="A4349" s="15" t="str">
        <f t="shared" ca="1" si="68"/>
        <v/>
      </c>
    </row>
    <row r="4350" spans="1:1" x14ac:dyDescent="0.5">
      <c r="A4350" s="15" t="str">
        <f t="shared" ca="1" si="68"/>
        <v/>
      </c>
    </row>
    <row r="4351" spans="1:1" x14ac:dyDescent="0.5">
      <c r="A4351" s="15" t="str">
        <f t="shared" ca="1" si="68"/>
        <v/>
      </c>
    </row>
    <row r="4352" spans="1:1" x14ac:dyDescent="0.5">
      <c r="A4352" s="15" t="str">
        <f t="shared" ca="1" si="68"/>
        <v/>
      </c>
    </row>
    <row r="4353" spans="1:1" x14ac:dyDescent="0.5">
      <c r="A4353" s="15" t="str">
        <f t="shared" ca="1" si="68"/>
        <v/>
      </c>
    </row>
    <row r="4354" spans="1:1" x14ac:dyDescent="0.5">
      <c r="A4354" s="15" t="str">
        <f t="shared" ca="1" si="68"/>
        <v/>
      </c>
    </row>
    <row r="4355" spans="1:1" x14ac:dyDescent="0.5">
      <c r="A4355" s="15" t="str">
        <f t="shared" ca="1" si="68"/>
        <v/>
      </c>
    </row>
    <row r="4356" spans="1:1" x14ac:dyDescent="0.5">
      <c r="A4356" s="15" t="str">
        <f t="shared" ca="1" si="68"/>
        <v/>
      </c>
    </row>
    <row r="4357" spans="1:1" x14ac:dyDescent="0.5">
      <c r="A4357" s="15" t="str">
        <f t="shared" ca="1" si="68"/>
        <v/>
      </c>
    </row>
    <row r="4358" spans="1:1" x14ac:dyDescent="0.5">
      <c r="A4358" s="15" t="str">
        <f t="shared" ca="1" si="68"/>
        <v/>
      </c>
    </row>
    <row r="4359" spans="1:1" x14ac:dyDescent="0.5">
      <c r="A4359" s="15" t="str">
        <f t="shared" ca="1" si="68"/>
        <v/>
      </c>
    </row>
    <row r="4360" spans="1:1" x14ac:dyDescent="0.5">
      <c r="A4360" s="15" t="str">
        <f t="shared" ca="1" si="68"/>
        <v/>
      </c>
    </row>
    <row r="4361" spans="1:1" x14ac:dyDescent="0.5">
      <c r="A4361" s="15" t="str">
        <f t="shared" ca="1" si="68"/>
        <v/>
      </c>
    </row>
    <row r="4362" spans="1:1" x14ac:dyDescent="0.5">
      <c r="A4362" s="15" t="str">
        <f t="shared" ca="1" si="68"/>
        <v/>
      </c>
    </row>
    <row r="4363" spans="1:1" x14ac:dyDescent="0.5">
      <c r="A4363" s="15" t="str">
        <f t="shared" ca="1" si="68"/>
        <v/>
      </c>
    </row>
    <row r="4364" spans="1:1" x14ac:dyDescent="0.5">
      <c r="A4364" s="15" t="str">
        <f t="shared" ca="1" si="68"/>
        <v/>
      </c>
    </row>
    <row r="4365" spans="1:1" x14ac:dyDescent="0.5">
      <c r="A4365" s="15" t="str">
        <f t="shared" ref="A4365:A4428" ca="1" si="69">IF(ROW()-12&lt;=$B$7,_xlfn.NORM.INV(RAND(),$B$5,$B$6),"")</f>
        <v/>
      </c>
    </row>
    <row r="4366" spans="1:1" x14ac:dyDescent="0.5">
      <c r="A4366" s="15" t="str">
        <f t="shared" ca="1" si="69"/>
        <v/>
      </c>
    </row>
    <row r="4367" spans="1:1" x14ac:dyDescent="0.5">
      <c r="A4367" s="15" t="str">
        <f t="shared" ca="1" si="69"/>
        <v/>
      </c>
    </row>
    <row r="4368" spans="1:1" x14ac:dyDescent="0.5">
      <c r="A4368" s="15" t="str">
        <f t="shared" ca="1" si="69"/>
        <v/>
      </c>
    </row>
    <row r="4369" spans="1:1" x14ac:dyDescent="0.5">
      <c r="A4369" s="15" t="str">
        <f t="shared" ca="1" si="69"/>
        <v/>
      </c>
    </row>
    <row r="4370" spans="1:1" x14ac:dyDescent="0.5">
      <c r="A4370" s="15" t="str">
        <f t="shared" ca="1" si="69"/>
        <v/>
      </c>
    </row>
    <row r="4371" spans="1:1" x14ac:dyDescent="0.5">
      <c r="A4371" s="15" t="str">
        <f t="shared" ca="1" si="69"/>
        <v/>
      </c>
    </row>
    <row r="4372" spans="1:1" x14ac:dyDescent="0.5">
      <c r="A4372" s="15" t="str">
        <f t="shared" ca="1" si="69"/>
        <v/>
      </c>
    </row>
    <row r="4373" spans="1:1" x14ac:dyDescent="0.5">
      <c r="A4373" s="15" t="str">
        <f t="shared" ca="1" si="69"/>
        <v/>
      </c>
    </row>
    <row r="4374" spans="1:1" x14ac:dyDescent="0.5">
      <c r="A4374" s="15" t="str">
        <f t="shared" ca="1" si="69"/>
        <v/>
      </c>
    </row>
    <row r="4375" spans="1:1" x14ac:dyDescent="0.5">
      <c r="A4375" s="15" t="str">
        <f t="shared" ca="1" si="69"/>
        <v/>
      </c>
    </row>
    <row r="4376" spans="1:1" x14ac:dyDescent="0.5">
      <c r="A4376" s="15" t="str">
        <f t="shared" ca="1" si="69"/>
        <v/>
      </c>
    </row>
    <row r="4377" spans="1:1" x14ac:dyDescent="0.5">
      <c r="A4377" s="15" t="str">
        <f t="shared" ca="1" si="69"/>
        <v/>
      </c>
    </row>
    <row r="4378" spans="1:1" x14ac:dyDescent="0.5">
      <c r="A4378" s="15" t="str">
        <f t="shared" ca="1" si="69"/>
        <v/>
      </c>
    </row>
    <row r="4379" spans="1:1" x14ac:dyDescent="0.5">
      <c r="A4379" s="15" t="str">
        <f t="shared" ca="1" si="69"/>
        <v/>
      </c>
    </row>
    <row r="4380" spans="1:1" x14ac:dyDescent="0.5">
      <c r="A4380" s="15" t="str">
        <f t="shared" ca="1" si="69"/>
        <v/>
      </c>
    </row>
    <row r="4381" spans="1:1" x14ac:dyDescent="0.5">
      <c r="A4381" s="15" t="str">
        <f t="shared" ca="1" si="69"/>
        <v/>
      </c>
    </row>
    <row r="4382" spans="1:1" x14ac:dyDescent="0.5">
      <c r="A4382" s="15" t="str">
        <f t="shared" ca="1" si="69"/>
        <v/>
      </c>
    </row>
    <row r="4383" spans="1:1" x14ac:dyDescent="0.5">
      <c r="A4383" s="15" t="str">
        <f t="shared" ca="1" si="69"/>
        <v/>
      </c>
    </row>
    <row r="4384" spans="1:1" x14ac:dyDescent="0.5">
      <c r="A4384" s="15" t="str">
        <f t="shared" ca="1" si="69"/>
        <v/>
      </c>
    </row>
    <row r="4385" spans="1:1" x14ac:dyDescent="0.5">
      <c r="A4385" s="15" t="str">
        <f t="shared" ca="1" si="69"/>
        <v/>
      </c>
    </row>
    <row r="4386" spans="1:1" x14ac:dyDescent="0.5">
      <c r="A4386" s="15" t="str">
        <f t="shared" ca="1" si="69"/>
        <v/>
      </c>
    </row>
    <row r="4387" spans="1:1" x14ac:dyDescent="0.5">
      <c r="A4387" s="15" t="str">
        <f t="shared" ca="1" si="69"/>
        <v/>
      </c>
    </row>
    <row r="4388" spans="1:1" x14ac:dyDescent="0.5">
      <c r="A4388" s="15" t="str">
        <f t="shared" ca="1" si="69"/>
        <v/>
      </c>
    </row>
    <row r="4389" spans="1:1" x14ac:dyDescent="0.5">
      <c r="A4389" s="15" t="str">
        <f t="shared" ca="1" si="69"/>
        <v/>
      </c>
    </row>
    <row r="4390" spans="1:1" x14ac:dyDescent="0.5">
      <c r="A4390" s="15" t="str">
        <f t="shared" ca="1" si="69"/>
        <v/>
      </c>
    </row>
    <row r="4391" spans="1:1" x14ac:dyDescent="0.5">
      <c r="A4391" s="15" t="str">
        <f t="shared" ca="1" si="69"/>
        <v/>
      </c>
    </row>
    <row r="4392" spans="1:1" x14ac:dyDescent="0.5">
      <c r="A4392" s="15" t="str">
        <f t="shared" ca="1" si="69"/>
        <v/>
      </c>
    </row>
    <row r="4393" spans="1:1" x14ac:dyDescent="0.5">
      <c r="A4393" s="15" t="str">
        <f t="shared" ca="1" si="69"/>
        <v/>
      </c>
    </row>
    <row r="4394" spans="1:1" x14ac:dyDescent="0.5">
      <c r="A4394" s="15" t="str">
        <f t="shared" ca="1" si="69"/>
        <v/>
      </c>
    </row>
    <row r="4395" spans="1:1" x14ac:dyDescent="0.5">
      <c r="A4395" s="15" t="str">
        <f t="shared" ca="1" si="69"/>
        <v/>
      </c>
    </row>
    <row r="4396" spans="1:1" x14ac:dyDescent="0.5">
      <c r="A4396" s="15" t="str">
        <f t="shared" ca="1" si="69"/>
        <v/>
      </c>
    </row>
    <row r="4397" spans="1:1" x14ac:dyDescent="0.5">
      <c r="A4397" s="15" t="str">
        <f t="shared" ca="1" si="69"/>
        <v/>
      </c>
    </row>
    <row r="4398" spans="1:1" x14ac:dyDescent="0.5">
      <c r="A4398" s="15" t="str">
        <f t="shared" ca="1" si="69"/>
        <v/>
      </c>
    </row>
    <row r="4399" spans="1:1" x14ac:dyDescent="0.5">
      <c r="A4399" s="15" t="str">
        <f t="shared" ca="1" si="69"/>
        <v/>
      </c>
    </row>
    <row r="4400" spans="1:1" x14ac:dyDescent="0.5">
      <c r="A4400" s="15" t="str">
        <f t="shared" ca="1" si="69"/>
        <v/>
      </c>
    </row>
    <row r="4401" spans="1:1" x14ac:dyDescent="0.5">
      <c r="A4401" s="15" t="str">
        <f t="shared" ca="1" si="69"/>
        <v/>
      </c>
    </row>
    <row r="4402" spans="1:1" x14ac:dyDescent="0.5">
      <c r="A4402" s="15" t="str">
        <f t="shared" ca="1" si="69"/>
        <v/>
      </c>
    </row>
    <row r="4403" spans="1:1" x14ac:dyDescent="0.5">
      <c r="A4403" s="15" t="str">
        <f t="shared" ca="1" si="69"/>
        <v/>
      </c>
    </row>
    <row r="4404" spans="1:1" x14ac:dyDescent="0.5">
      <c r="A4404" s="15" t="str">
        <f t="shared" ca="1" si="69"/>
        <v/>
      </c>
    </row>
    <row r="4405" spans="1:1" x14ac:dyDescent="0.5">
      <c r="A4405" s="15" t="str">
        <f t="shared" ca="1" si="69"/>
        <v/>
      </c>
    </row>
    <row r="4406" spans="1:1" x14ac:dyDescent="0.5">
      <c r="A4406" s="15" t="str">
        <f t="shared" ca="1" si="69"/>
        <v/>
      </c>
    </row>
    <row r="4407" spans="1:1" x14ac:dyDescent="0.5">
      <c r="A4407" s="15" t="str">
        <f t="shared" ca="1" si="69"/>
        <v/>
      </c>
    </row>
    <row r="4408" spans="1:1" x14ac:dyDescent="0.5">
      <c r="A4408" s="15" t="str">
        <f t="shared" ca="1" si="69"/>
        <v/>
      </c>
    </row>
    <row r="4409" spans="1:1" x14ac:dyDescent="0.5">
      <c r="A4409" s="15" t="str">
        <f t="shared" ca="1" si="69"/>
        <v/>
      </c>
    </row>
    <row r="4410" spans="1:1" x14ac:dyDescent="0.5">
      <c r="A4410" s="15" t="str">
        <f t="shared" ca="1" si="69"/>
        <v/>
      </c>
    </row>
    <row r="4411" spans="1:1" x14ac:dyDescent="0.5">
      <c r="A4411" s="15" t="str">
        <f t="shared" ca="1" si="69"/>
        <v/>
      </c>
    </row>
    <row r="4412" spans="1:1" x14ac:dyDescent="0.5">
      <c r="A4412" s="15" t="str">
        <f t="shared" ca="1" si="69"/>
        <v/>
      </c>
    </row>
    <row r="4413" spans="1:1" x14ac:dyDescent="0.5">
      <c r="A4413" s="15" t="str">
        <f t="shared" ca="1" si="69"/>
        <v/>
      </c>
    </row>
    <row r="4414" spans="1:1" x14ac:dyDescent="0.5">
      <c r="A4414" s="15" t="str">
        <f t="shared" ca="1" si="69"/>
        <v/>
      </c>
    </row>
    <row r="4415" spans="1:1" x14ac:dyDescent="0.5">
      <c r="A4415" s="15" t="str">
        <f t="shared" ca="1" si="69"/>
        <v/>
      </c>
    </row>
    <row r="4416" spans="1:1" x14ac:dyDescent="0.5">
      <c r="A4416" s="15" t="str">
        <f t="shared" ca="1" si="69"/>
        <v/>
      </c>
    </row>
    <row r="4417" spans="1:1" x14ac:dyDescent="0.5">
      <c r="A4417" s="15" t="str">
        <f t="shared" ca="1" si="69"/>
        <v/>
      </c>
    </row>
    <row r="4418" spans="1:1" x14ac:dyDescent="0.5">
      <c r="A4418" s="15" t="str">
        <f t="shared" ca="1" si="69"/>
        <v/>
      </c>
    </row>
    <row r="4419" spans="1:1" x14ac:dyDescent="0.5">
      <c r="A4419" s="15" t="str">
        <f t="shared" ca="1" si="69"/>
        <v/>
      </c>
    </row>
    <row r="4420" spans="1:1" x14ac:dyDescent="0.5">
      <c r="A4420" s="15" t="str">
        <f t="shared" ca="1" si="69"/>
        <v/>
      </c>
    </row>
    <row r="4421" spans="1:1" x14ac:dyDescent="0.5">
      <c r="A4421" s="15" t="str">
        <f t="shared" ca="1" si="69"/>
        <v/>
      </c>
    </row>
    <row r="4422" spans="1:1" x14ac:dyDescent="0.5">
      <c r="A4422" s="15" t="str">
        <f t="shared" ca="1" si="69"/>
        <v/>
      </c>
    </row>
    <row r="4423" spans="1:1" x14ac:dyDescent="0.5">
      <c r="A4423" s="15" t="str">
        <f t="shared" ca="1" si="69"/>
        <v/>
      </c>
    </row>
    <row r="4424" spans="1:1" x14ac:dyDescent="0.5">
      <c r="A4424" s="15" t="str">
        <f t="shared" ca="1" si="69"/>
        <v/>
      </c>
    </row>
    <row r="4425" spans="1:1" x14ac:dyDescent="0.5">
      <c r="A4425" s="15" t="str">
        <f t="shared" ca="1" si="69"/>
        <v/>
      </c>
    </row>
    <row r="4426" spans="1:1" x14ac:dyDescent="0.5">
      <c r="A4426" s="15" t="str">
        <f t="shared" ca="1" si="69"/>
        <v/>
      </c>
    </row>
    <row r="4427" spans="1:1" x14ac:dyDescent="0.5">
      <c r="A4427" s="15" t="str">
        <f t="shared" ca="1" si="69"/>
        <v/>
      </c>
    </row>
    <row r="4428" spans="1:1" x14ac:dyDescent="0.5">
      <c r="A4428" s="15" t="str">
        <f t="shared" ca="1" si="69"/>
        <v/>
      </c>
    </row>
    <row r="4429" spans="1:1" x14ac:dyDescent="0.5">
      <c r="A4429" s="15" t="str">
        <f t="shared" ref="A4429:A4492" ca="1" si="70">IF(ROW()-12&lt;=$B$7,_xlfn.NORM.INV(RAND(),$B$5,$B$6),"")</f>
        <v/>
      </c>
    </row>
    <row r="4430" spans="1:1" x14ac:dyDescent="0.5">
      <c r="A4430" s="15" t="str">
        <f t="shared" ca="1" si="70"/>
        <v/>
      </c>
    </row>
    <row r="4431" spans="1:1" x14ac:dyDescent="0.5">
      <c r="A4431" s="15" t="str">
        <f t="shared" ca="1" si="70"/>
        <v/>
      </c>
    </row>
    <row r="4432" spans="1:1" x14ac:dyDescent="0.5">
      <c r="A4432" s="15" t="str">
        <f t="shared" ca="1" si="70"/>
        <v/>
      </c>
    </row>
    <row r="4433" spans="1:1" x14ac:dyDescent="0.5">
      <c r="A4433" s="15" t="str">
        <f t="shared" ca="1" si="70"/>
        <v/>
      </c>
    </row>
    <row r="4434" spans="1:1" x14ac:dyDescent="0.5">
      <c r="A4434" s="15" t="str">
        <f t="shared" ca="1" si="70"/>
        <v/>
      </c>
    </row>
    <row r="4435" spans="1:1" x14ac:dyDescent="0.5">
      <c r="A4435" s="15" t="str">
        <f t="shared" ca="1" si="70"/>
        <v/>
      </c>
    </row>
    <row r="4436" spans="1:1" x14ac:dyDescent="0.5">
      <c r="A4436" s="15" t="str">
        <f t="shared" ca="1" si="70"/>
        <v/>
      </c>
    </row>
    <row r="4437" spans="1:1" x14ac:dyDescent="0.5">
      <c r="A4437" s="15" t="str">
        <f t="shared" ca="1" si="70"/>
        <v/>
      </c>
    </row>
    <row r="4438" spans="1:1" x14ac:dyDescent="0.5">
      <c r="A4438" s="15" t="str">
        <f t="shared" ca="1" si="70"/>
        <v/>
      </c>
    </row>
    <row r="4439" spans="1:1" x14ac:dyDescent="0.5">
      <c r="A4439" s="15" t="str">
        <f t="shared" ca="1" si="70"/>
        <v/>
      </c>
    </row>
    <row r="4440" spans="1:1" x14ac:dyDescent="0.5">
      <c r="A4440" s="15" t="str">
        <f t="shared" ca="1" si="70"/>
        <v/>
      </c>
    </row>
    <row r="4441" spans="1:1" x14ac:dyDescent="0.5">
      <c r="A4441" s="15" t="str">
        <f t="shared" ca="1" si="70"/>
        <v/>
      </c>
    </row>
    <row r="4442" spans="1:1" x14ac:dyDescent="0.5">
      <c r="A4442" s="15" t="str">
        <f t="shared" ca="1" si="70"/>
        <v/>
      </c>
    </row>
    <row r="4443" spans="1:1" x14ac:dyDescent="0.5">
      <c r="A4443" s="15" t="str">
        <f t="shared" ca="1" si="70"/>
        <v/>
      </c>
    </row>
    <row r="4444" spans="1:1" x14ac:dyDescent="0.5">
      <c r="A4444" s="15" t="str">
        <f t="shared" ca="1" si="70"/>
        <v/>
      </c>
    </row>
    <row r="4445" spans="1:1" x14ac:dyDescent="0.5">
      <c r="A4445" s="15" t="str">
        <f t="shared" ca="1" si="70"/>
        <v/>
      </c>
    </row>
    <row r="4446" spans="1:1" x14ac:dyDescent="0.5">
      <c r="A4446" s="15" t="str">
        <f t="shared" ca="1" si="70"/>
        <v/>
      </c>
    </row>
    <row r="4447" spans="1:1" x14ac:dyDescent="0.5">
      <c r="A4447" s="15" t="str">
        <f t="shared" ca="1" si="70"/>
        <v/>
      </c>
    </row>
    <row r="4448" spans="1:1" x14ac:dyDescent="0.5">
      <c r="A4448" s="15" t="str">
        <f t="shared" ca="1" si="70"/>
        <v/>
      </c>
    </row>
    <row r="4449" spans="1:1" x14ac:dyDescent="0.5">
      <c r="A4449" s="15" t="str">
        <f t="shared" ca="1" si="70"/>
        <v/>
      </c>
    </row>
    <row r="4450" spans="1:1" x14ac:dyDescent="0.5">
      <c r="A4450" s="15" t="str">
        <f t="shared" ca="1" si="70"/>
        <v/>
      </c>
    </row>
    <row r="4451" spans="1:1" x14ac:dyDescent="0.5">
      <c r="A4451" s="15" t="str">
        <f t="shared" ca="1" si="70"/>
        <v/>
      </c>
    </row>
    <row r="4452" spans="1:1" x14ac:dyDescent="0.5">
      <c r="A4452" s="15" t="str">
        <f t="shared" ca="1" si="70"/>
        <v/>
      </c>
    </row>
    <row r="4453" spans="1:1" x14ac:dyDescent="0.5">
      <c r="A4453" s="15" t="str">
        <f t="shared" ca="1" si="70"/>
        <v/>
      </c>
    </row>
    <row r="4454" spans="1:1" x14ac:dyDescent="0.5">
      <c r="A4454" s="15" t="str">
        <f t="shared" ca="1" si="70"/>
        <v/>
      </c>
    </row>
    <row r="4455" spans="1:1" x14ac:dyDescent="0.5">
      <c r="A4455" s="15" t="str">
        <f t="shared" ca="1" si="70"/>
        <v/>
      </c>
    </row>
    <row r="4456" spans="1:1" x14ac:dyDescent="0.5">
      <c r="A4456" s="15" t="str">
        <f t="shared" ca="1" si="70"/>
        <v/>
      </c>
    </row>
    <row r="4457" spans="1:1" x14ac:dyDescent="0.5">
      <c r="A4457" s="15" t="str">
        <f t="shared" ca="1" si="70"/>
        <v/>
      </c>
    </row>
    <row r="4458" spans="1:1" x14ac:dyDescent="0.5">
      <c r="A4458" s="15" t="str">
        <f t="shared" ca="1" si="70"/>
        <v/>
      </c>
    </row>
    <row r="4459" spans="1:1" x14ac:dyDescent="0.5">
      <c r="A4459" s="15" t="str">
        <f t="shared" ca="1" si="70"/>
        <v/>
      </c>
    </row>
    <row r="4460" spans="1:1" x14ac:dyDescent="0.5">
      <c r="A4460" s="15" t="str">
        <f t="shared" ca="1" si="70"/>
        <v/>
      </c>
    </row>
    <row r="4461" spans="1:1" x14ac:dyDescent="0.5">
      <c r="A4461" s="15" t="str">
        <f t="shared" ca="1" si="70"/>
        <v/>
      </c>
    </row>
    <row r="4462" spans="1:1" x14ac:dyDescent="0.5">
      <c r="A4462" s="15" t="str">
        <f t="shared" ca="1" si="70"/>
        <v/>
      </c>
    </row>
    <row r="4463" spans="1:1" x14ac:dyDescent="0.5">
      <c r="A4463" s="15" t="str">
        <f t="shared" ca="1" si="70"/>
        <v/>
      </c>
    </row>
    <row r="4464" spans="1:1" x14ac:dyDescent="0.5">
      <c r="A4464" s="15" t="str">
        <f t="shared" ca="1" si="70"/>
        <v/>
      </c>
    </row>
    <row r="4465" spans="1:1" x14ac:dyDescent="0.5">
      <c r="A4465" s="15" t="str">
        <f t="shared" ca="1" si="70"/>
        <v/>
      </c>
    </row>
    <row r="4466" spans="1:1" x14ac:dyDescent="0.5">
      <c r="A4466" s="15" t="str">
        <f t="shared" ca="1" si="70"/>
        <v/>
      </c>
    </row>
    <row r="4467" spans="1:1" x14ac:dyDescent="0.5">
      <c r="A4467" s="15" t="str">
        <f t="shared" ca="1" si="70"/>
        <v/>
      </c>
    </row>
    <row r="4468" spans="1:1" x14ac:dyDescent="0.5">
      <c r="A4468" s="15" t="str">
        <f t="shared" ca="1" si="70"/>
        <v/>
      </c>
    </row>
    <row r="4469" spans="1:1" x14ac:dyDescent="0.5">
      <c r="A4469" s="15" t="str">
        <f t="shared" ca="1" si="70"/>
        <v/>
      </c>
    </row>
    <row r="4470" spans="1:1" x14ac:dyDescent="0.5">
      <c r="A4470" s="15" t="str">
        <f t="shared" ca="1" si="70"/>
        <v/>
      </c>
    </row>
    <row r="4471" spans="1:1" x14ac:dyDescent="0.5">
      <c r="A4471" s="15" t="str">
        <f t="shared" ca="1" si="70"/>
        <v/>
      </c>
    </row>
    <row r="4472" spans="1:1" x14ac:dyDescent="0.5">
      <c r="A4472" s="15" t="str">
        <f t="shared" ca="1" si="70"/>
        <v/>
      </c>
    </row>
    <row r="4473" spans="1:1" x14ac:dyDescent="0.5">
      <c r="A4473" s="15" t="str">
        <f t="shared" ca="1" si="70"/>
        <v/>
      </c>
    </row>
    <row r="4474" spans="1:1" x14ac:dyDescent="0.5">
      <c r="A4474" s="15" t="str">
        <f t="shared" ca="1" si="70"/>
        <v/>
      </c>
    </row>
    <row r="4475" spans="1:1" x14ac:dyDescent="0.5">
      <c r="A4475" s="15" t="str">
        <f t="shared" ca="1" si="70"/>
        <v/>
      </c>
    </row>
    <row r="4476" spans="1:1" x14ac:dyDescent="0.5">
      <c r="A4476" s="15" t="str">
        <f t="shared" ca="1" si="70"/>
        <v/>
      </c>
    </row>
    <row r="4477" spans="1:1" x14ac:dyDescent="0.5">
      <c r="A4477" s="15" t="str">
        <f t="shared" ca="1" si="70"/>
        <v/>
      </c>
    </row>
    <row r="4478" spans="1:1" x14ac:dyDescent="0.5">
      <c r="A4478" s="15" t="str">
        <f t="shared" ca="1" si="70"/>
        <v/>
      </c>
    </row>
    <row r="4479" spans="1:1" x14ac:dyDescent="0.5">
      <c r="A4479" s="15" t="str">
        <f t="shared" ca="1" si="70"/>
        <v/>
      </c>
    </row>
    <row r="4480" spans="1:1" x14ac:dyDescent="0.5">
      <c r="A4480" s="15" t="str">
        <f t="shared" ca="1" si="70"/>
        <v/>
      </c>
    </row>
    <row r="4481" spans="1:1" x14ac:dyDescent="0.5">
      <c r="A4481" s="15" t="str">
        <f t="shared" ca="1" si="70"/>
        <v/>
      </c>
    </row>
    <row r="4482" spans="1:1" x14ac:dyDescent="0.5">
      <c r="A4482" s="15" t="str">
        <f t="shared" ca="1" si="70"/>
        <v/>
      </c>
    </row>
    <row r="4483" spans="1:1" x14ac:dyDescent="0.5">
      <c r="A4483" s="15" t="str">
        <f t="shared" ca="1" si="70"/>
        <v/>
      </c>
    </row>
    <row r="4484" spans="1:1" x14ac:dyDescent="0.5">
      <c r="A4484" s="15" t="str">
        <f t="shared" ca="1" si="70"/>
        <v/>
      </c>
    </row>
    <row r="4485" spans="1:1" x14ac:dyDescent="0.5">
      <c r="A4485" s="15" t="str">
        <f t="shared" ca="1" si="70"/>
        <v/>
      </c>
    </row>
    <row r="4486" spans="1:1" x14ac:dyDescent="0.5">
      <c r="A4486" s="15" t="str">
        <f t="shared" ca="1" si="70"/>
        <v/>
      </c>
    </row>
    <row r="4487" spans="1:1" x14ac:dyDescent="0.5">
      <c r="A4487" s="15" t="str">
        <f t="shared" ca="1" si="70"/>
        <v/>
      </c>
    </row>
    <row r="4488" spans="1:1" x14ac:dyDescent="0.5">
      <c r="A4488" s="15" t="str">
        <f t="shared" ca="1" si="70"/>
        <v/>
      </c>
    </row>
    <row r="4489" spans="1:1" x14ac:dyDescent="0.5">
      <c r="A4489" s="15" t="str">
        <f t="shared" ca="1" si="70"/>
        <v/>
      </c>
    </row>
    <row r="4490" spans="1:1" x14ac:dyDescent="0.5">
      <c r="A4490" s="15" t="str">
        <f t="shared" ca="1" si="70"/>
        <v/>
      </c>
    </row>
    <row r="4491" spans="1:1" x14ac:dyDescent="0.5">
      <c r="A4491" s="15" t="str">
        <f t="shared" ca="1" si="70"/>
        <v/>
      </c>
    </row>
    <row r="4492" spans="1:1" x14ac:dyDescent="0.5">
      <c r="A4492" s="15" t="str">
        <f t="shared" ca="1" si="70"/>
        <v/>
      </c>
    </row>
    <row r="4493" spans="1:1" x14ac:dyDescent="0.5">
      <c r="A4493" s="15" t="str">
        <f t="shared" ref="A4493:A4556" ca="1" si="71">IF(ROW()-12&lt;=$B$7,_xlfn.NORM.INV(RAND(),$B$5,$B$6),"")</f>
        <v/>
      </c>
    </row>
    <row r="4494" spans="1:1" x14ac:dyDescent="0.5">
      <c r="A4494" s="15" t="str">
        <f t="shared" ca="1" si="71"/>
        <v/>
      </c>
    </row>
    <row r="4495" spans="1:1" x14ac:dyDescent="0.5">
      <c r="A4495" s="15" t="str">
        <f t="shared" ca="1" si="71"/>
        <v/>
      </c>
    </row>
    <row r="4496" spans="1:1" x14ac:dyDescent="0.5">
      <c r="A4496" s="15" t="str">
        <f t="shared" ca="1" si="71"/>
        <v/>
      </c>
    </row>
    <row r="4497" spans="1:1" x14ac:dyDescent="0.5">
      <c r="A4497" s="15" t="str">
        <f t="shared" ca="1" si="71"/>
        <v/>
      </c>
    </row>
    <row r="4498" spans="1:1" x14ac:dyDescent="0.5">
      <c r="A4498" s="15" t="str">
        <f t="shared" ca="1" si="71"/>
        <v/>
      </c>
    </row>
    <row r="4499" spans="1:1" x14ac:dyDescent="0.5">
      <c r="A4499" s="15" t="str">
        <f t="shared" ca="1" si="71"/>
        <v/>
      </c>
    </row>
    <row r="4500" spans="1:1" x14ac:dyDescent="0.5">
      <c r="A4500" s="15" t="str">
        <f t="shared" ca="1" si="71"/>
        <v/>
      </c>
    </row>
    <row r="4501" spans="1:1" x14ac:dyDescent="0.5">
      <c r="A4501" s="15" t="str">
        <f t="shared" ca="1" si="71"/>
        <v/>
      </c>
    </row>
    <row r="4502" spans="1:1" x14ac:dyDescent="0.5">
      <c r="A4502" s="15" t="str">
        <f t="shared" ca="1" si="71"/>
        <v/>
      </c>
    </row>
    <row r="4503" spans="1:1" x14ac:dyDescent="0.5">
      <c r="A4503" s="15" t="str">
        <f t="shared" ca="1" si="71"/>
        <v/>
      </c>
    </row>
    <row r="4504" spans="1:1" x14ac:dyDescent="0.5">
      <c r="A4504" s="15" t="str">
        <f t="shared" ca="1" si="71"/>
        <v/>
      </c>
    </row>
    <row r="4505" spans="1:1" x14ac:dyDescent="0.5">
      <c r="A4505" s="15" t="str">
        <f t="shared" ca="1" si="71"/>
        <v/>
      </c>
    </row>
    <row r="4506" spans="1:1" x14ac:dyDescent="0.5">
      <c r="A4506" s="15" t="str">
        <f t="shared" ca="1" si="71"/>
        <v/>
      </c>
    </row>
    <row r="4507" spans="1:1" x14ac:dyDescent="0.5">
      <c r="A4507" s="15" t="str">
        <f t="shared" ca="1" si="71"/>
        <v/>
      </c>
    </row>
    <row r="4508" spans="1:1" x14ac:dyDescent="0.5">
      <c r="A4508" s="15" t="str">
        <f t="shared" ca="1" si="71"/>
        <v/>
      </c>
    </row>
    <row r="4509" spans="1:1" x14ac:dyDescent="0.5">
      <c r="A4509" s="15" t="str">
        <f t="shared" ca="1" si="71"/>
        <v/>
      </c>
    </row>
    <row r="4510" spans="1:1" x14ac:dyDescent="0.5">
      <c r="A4510" s="15" t="str">
        <f t="shared" ca="1" si="71"/>
        <v/>
      </c>
    </row>
    <row r="4511" spans="1:1" x14ac:dyDescent="0.5">
      <c r="A4511" s="15" t="str">
        <f t="shared" ca="1" si="71"/>
        <v/>
      </c>
    </row>
    <row r="4512" spans="1:1" x14ac:dyDescent="0.5">
      <c r="A4512" s="15" t="str">
        <f t="shared" ca="1" si="71"/>
        <v/>
      </c>
    </row>
    <row r="4513" spans="1:1" x14ac:dyDescent="0.5">
      <c r="A4513" s="15" t="str">
        <f t="shared" ca="1" si="71"/>
        <v/>
      </c>
    </row>
    <row r="4514" spans="1:1" x14ac:dyDescent="0.5">
      <c r="A4514" s="15" t="str">
        <f t="shared" ca="1" si="71"/>
        <v/>
      </c>
    </row>
    <row r="4515" spans="1:1" x14ac:dyDescent="0.5">
      <c r="A4515" s="15" t="str">
        <f t="shared" ca="1" si="71"/>
        <v/>
      </c>
    </row>
    <row r="4516" spans="1:1" x14ac:dyDescent="0.5">
      <c r="A4516" s="15" t="str">
        <f t="shared" ca="1" si="71"/>
        <v/>
      </c>
    </row>
    <row r="4517" spans="1:1" x14ac:dyDescent="0.5">
      <c r="A4517" s="15" t="str">
        <f t="shared" ca="1" si="71"/>
        <v/>
      </c>
    </row>
    <row r="4518" spans="1:1" x14ac:dyDescent="0.5">
      <c r="A4518" s="15" t="str">
        <f t="shared" ca="1" si="71"/>
        <v/>
      </c>
    </row>
    <row r="4519" spans="1:1" x14ac:dyDescent="0.5">
      <c r="A4519" s="15" t="str">
        <f t="shared" ca="1" si="71"/>
        <v/>
      </c>
    </row>
    <row r="4520" spans="1:1" x14ac:dyDescent="0.5">
      <c r="A4520" s="15" t="str">
        <f t="shared" ca="1" si="71"/>
        <v/>
      </c>
    </row>
    <row r="4521" spans="1:1" x14ac:dyDescent="0.5">
      <c r="A4521" s="15" t="str">
        <f t="shared" ca="1" si="71"/>
        <v/>
      </c>
    </row>
    <row r="4522" spans="1:1" x14ac:dyDescent="0.5">
      <c r="A4522" s="15" t="str">
        <f t="shared" ca="1" si="71"/>
        <v/>
      </c>
    </row>
    <row r="4523" spans="1:1" x14ac:dyDescent="0.5">
      <c r="A4523" s="15" t="str">
        <f t="shared" ca="1" si="71"/>
        <v/>
      </c>
    </row>
    <row r="4524" spans="1:1" x14ac:dyDescent="0.5">
      <c r="A4524" s="15" t="str">
        <f t="shared" ca="1" si="71"/>
        <v/>
      </c>
    </row>
    <row r="4525" spans="1:1" x14ac:dyDescent="0.5">
      <c r="A4525" s="15" t="str">
        <f t="shared" ca="1" si="71"/>
        <v/>
      </c>
    </row>
    <row r="4526" spans="1:1" x14ac:dyDescent="0.5">
      <c r="A4526" s="15" t="str">
        <f t="shared" ca="1" si="71"/>
        <v/>
      </c>
    </row>
    <row r="4527" spans="1:1" x14ac:dyDescent="0.5">
      <c r="A4527" s="15" t="str">
        <f t="shared" ca="1" si="71"/>
        <v/>
      </c>
    </row>
    <row r="4528" spans="1:1" x14ac:dyDescent="0.5">
      <c r="A4528" s="15" t="str">
        <f t="shared" ca="1" si="71"/>
        <v/>
      </c>
    </row>
    <row r="4529" spans="1:1" x14ac:dyDescent="0.5">
      <c r="A4529" s="15" t="str">
        <f t="shared" ca="1" si="71"/>
        <v/>
      </c>
    </row>
    <row r="4530" spans="1:1" x14ac:dyDescent="0.5">
      <c r="A4530" s="15" t="str">
        <f t="shared" ca="1" si="71"/>
        <v/>
      </c>
    </row>
    <row r="4531" spans="1:1" x14ac:dyDescent="0.5">
      <c r="A4531" s="15" t="str">
        <f t="shared" ca="1" si="71"/>
        <v/>
      </c>
    </row>
    <row r="4532" spans="1:1" x14ac:dyDescent="0.5">
      <c r="A4532" s="15" t="str">
        <f t="shared" ca="1" si="71"/>
        <v/>
      </c>
    </row>
    <row r="4533" spans="1:1" x14ac:dyDescent="0.5">
      <c r="A4533" s="15" t="str">
        <f t="shared" ca="1" si="71"/>
        <v/>
      </c>
    </row>
    <row r="4534" spans="1:1" x14ac:dyDescent="0.5">
      <c r="A4534" s="15" t="str">
        <f t="shared" ca="1" si="71"/>
        <v/>
      </c>
    </row>
    <row r="4535" spans="1:1" x14ac:dyDescent="0.5">
      <c r="A4535" s="15" t="str">
        <f t="shared" ca="1" si="71"/>
        <v/>
      </c>
    </row>
    <row r="4536" spans="1:1" x14ac:dyDescent="0.5">
      <c r="A4536" s="15" t="str">
        <f t="shared" ca="1" si="71"/>
        <v/>
      </c>
    </row>
    <row r="4537" spans="1:1" x14ac:dyDescent="0.5">
      <c r="A4537" s="15" t="str">
        <f t="shared" ca="1" si="71"/>
        <v/>
      </c>
    </row>
    <row r="4538" spans="1:1" x14ac:dyDescent="0.5">
      <c r="A4538" s="15" t="str">
        <f t="shared" ca="1" si="71"/>
        <v/>
      </c>
    </row>
    <row r="4539" spans="1:1" x14ac:dyDescent="0.5">
      <c r="A4539" s="15" t="str">
        <f t="shared" ca="1" si="71"/>
        <v/>
      </c>
    </row>
    <row r="4540" spans="1:1" x14ac:dyDescent="0.5">
      <c r="A4540" s="15" t="str">
        <f t="shared" ca="1" si="71"/>
        <v/>
      </c>
    </row>
    <row r="4541" spans="1:1" x14ac:dyDescent="0.5">
      <c r="A4541" s="15" t="str">
        <f t="shared" ca="1" si="71"/>
        <v/>
      </c>
    </row>
    <row r="4542" spans="1:1" x14ac:dyDescent="0.5">
      <c r="A4542" s="15" t="str">
        <f t="shared" ca="1" si="71"/>
        <v/>
      </c>
    </row>
    <row r="4543" spans="1:1" x14ac:dyDescent="0.5">
      <c r="A4543" s="15" t="str">
        <f t="shared" ca="1" si="71"/>
        <v/>
      </c>
    </row>
    <row r="4544" spans="1:1" x14ac:dyDescent="0.5">
      <c r="A4544" s="15" t="str">
        <f t="shared" ca="1" si="71"/>
        <v/>
      </c>
    </row>
    <row r="4545" spans="1:1" x14ac:dyDescent="0.5">
      <c r="A4545" s="15" t="str">
        <f t="shared" ca="1" si="71"/>
        <v/>
      </c>
    </row>
    <row r="4546" spans="1:1" x14ac:dyDescent="0.5">
      <c r="A4546" s="15" t="str">
        <f t="shared" ca="1" si="71"/>
        <v/>
      </c>
    </row>
    <row r="4547" spans="1:1" x14ac:dyDescent="0.5">
      <c r="A4547" s="15" t="str">
        <f t="shared" ca="1" si="71"/>
        <v/>
      </c>
    </row>
    <row r="4548" spans="1:1" x14ac:dyDescent="0.5">
      <c r="A4548" s="15" t="str">
        <f t="shared" ca="1" si="71"/>
        <v/>
      </c>
    </row>
    <row r="4549" spans="1:1" x14ac:dyDescent="0.5">
      <c r="A4549" s="15" t="str">
        <f t="shared" ca="1" si="71"/>
        <v/>
      </c>
    </row>
    <row r="4550" spans="1:1" x14ac:dyDescent="0.5">
      <c r="A4550" s="15" t="str">
        <f t="shared" ca="1" si="71"/>
        <v/>
      </c>
    </row>
    <row r="4551" spans="1:1" x14ac:dyDescent="0.5">
      <c r="A4551" s="15" t="str">
        <f t="shared" ca="1" si="71"/>
        <v/>
      </c>
    </row>
    <row r="4552" spans="1:1" x14ac:dyDescent="0.5">
      <c r="A4552" s="15" t="str">
        <f t="shared" ca="1" si="71"/>
        <v/>
      </c>
    </row>
    <row r="4553" spans="1:1" x14ac:dyDescent="0.5">
      <c r="A4553" s="15" t="str">
        <f t="shared" ca="1" si="71"/>
        <v/>
      </c>
    </row>
    <row r="4554" spans="1:1" x14ac:dyDescent="0.5">
      <c r="A4554" s="15" t="str">
        <f t="shared" ca="1" si="71"/>
        <v/>
      </c>
    </row>
    <row r="4555" spans="1:1" x14ac:dyDescent="0.5">
      <c r="A4555" s="15" t="str">
        <f t="shared" ca="1" si="71"/>
        <v/>
      </c>
    </row>
    <row r="4556" spans="1:1" x14ac:dyDescent="0.5">
      <c r="A4556" s="15" t="str">
        <f t="shared" ca="1" si="71"/>
        <v/>
      </c>
    </row>
    <row r="4557" spans="1:1" x14ac:dyDescent="0.5">
      <c r="A4557" s="15" t="str">
        <f t="shared" ref="A4557:A4620" ca="1" si="72">IF(ROW()-12&lt;=$B$7,_xlfn.NORM.INV(RAND(),$B$5,$B$6),"")</f>
        <v/>
      </c>
    </row>
    <row r="4558" spans="1:1" x14ac:dyDescent="0.5">
      <c r="A4558" s="15" t="str">
        <f t="shared" ca="1" si="72"/>
        <v/>
      </c>
    </row>
    <row r="4559" spans="1:1" x14ac:dyDescent="0.5">
      <c r="A4559" s="15" t="str">
        <f t="shared" ca="1" si="72"/>
        <v/>
      </c>
    </row>
    <row r="4560" spans="1:1" x14ac:dyDescent="0.5">
      <c r="A4560" s="15" t="str">
        <f t="shared" ca="1" si="72"/>
        <v/>
      </c>
    </row>
    <row r="4561" spans="1:1" x14ac:dyDescent="0.5">
      <c r="A4561" s="15" t="str">
        <f t="shared" ca="1" si="72"/>
        <v/>
      </c>
    </row>
    <row r="4562" spans="1:1" x14ac:dyDescent="0.5">
      <c r="A4562" s="15" t="str">
        <f t="shared" ca="1" si="72"/>
        <v/>
      </c>
    </row>
    <row r="4563" spans="1:1" x14ac:dyDescent="0.5">
      <c r="A4563" s="15" t="str">
        <f t="shared" ca="1" si="72"/>
        <v/>
      </c>
    </row>
    <row r="4564" spans="1:1" x14ac:dyDescent="0.5">
      <c r="A4564" s="15" t="str">
        <f t="shared" ca="1" si="72"/>
        <v/>
      </c>
    </row>
    <row r="4565" spans="1:1" x14ac:dyDescent="0.5">
      <c r="A4565" s="15" t="str">
        <f t="shared" ca="1" si="72"/>
        <v/>
      </c>
    </row>
    <row r="4566" spans="1:1" x14ac:dyDescent="0.5">
      <c r="A4566" s="15" t="str">
        <f t="shared" ca="1" si="72"/>
        <v/>
      </c>
    </row>
    <row r="4567" spans="1:1" x14ac:dyDescent="0.5">
      <c r="A4567" s="15" t="str">
        <f t="shared" ca="1" si="72"/>
        <v/>
      </c>
    </row>
    <row r="4568" spans="1:1" x14ac:dyDescent="0.5">
      <c r="A4568" s="15" t="str">
        <f t="shared" ca="1" si="72"/>
        <v/>
      </c>
    </row>
    <row r="4569" spans="1:1" x14ac:dyDescent="0.5">
      <c r="A4569" s="15" t="str">
        <f t="shared" ca="1" si="72"/>
        <v/>
      </c>
    </row>
    <row r="4570" spans="1:1" x14ac:dyDescent="0.5">
      <c r="A4570" s="15" t="str">
        <f t="shared" ca="1" si="72"/>
        <v/>
      </c>
    </row>
    <row r="4571" spans="1:1" x14ac:dyDescent="0.5">
      <c r="A4571" s="15" t="str">
        <f t="shared" ca="1" si="72"/>
        <v/>
      </c>
    </row>
    <row r="4572" spans="1:1" x14ac:dyDescent="0.5">
      <c r="A4572" s="15" t="str">
        <f t="shared" ca="1" si="72"/>
        <v/>
      </c>
    </row>
    <row r="4573" spans="1:1" x14ac:dyDescent="0.5">
      <c r="A4573" s="15" t="str">
        <f t="shared" ca="1" si="72"/>
        <v/>
      </c>
    </row>
    <row r="4574" spans="1:1" x14ac:dyDescent="0.5">
      <c r="A4574" s="15" t="str">
        <f t="shared" ca="1" si="72"/>
        <v/>
      </c>
    </row>
    <row r="4575" spans="1:1" x14ac:dyDescent="0.5">
      <c r="A4575" s="15" t="str">
        <f t="shared" ca="1" si="72"/>
        <v/>
      </c>
    </row>
    <row r="4576" spans="1:1" x14ac:dyDescent="0.5">
      <c r="A4576" s="15" t="str">
        <f t="shared" ca="1" si="72"/>
        <v/>
      </c>
    </row>
    <row r="4577" spans="1:1" x14ac:dyDescent="0.5">
      <c r="A4577" s="15" t="str">
        <f t="shared" ca="1" si="72"/>
        <v/>
      </c>
    </row>
    <row r="4578" spans="1:1" x14ac:dyDescent="0.5">
      <c r="A4578" s="15" t="str">
        <f t="shared" ca="1" si="72"/>
        <v/>
      </c>
    </row>
    <row r="4579" spans="1:1" x14ac:dyDescent="0.5">
      <c r="A4579" s="15" t="str">
        <f t="shared" ca="1" si="72"/>
        <v/>
      </c>
    </row>
    <row r="4580" spans="1:1" x14ac:dyDescent="0.5">
      <c r="A4580" s="15" t="str">
        <f t="shared" ca="1" si="72"/>
        <v/>
      </c>
    </row>
    <row r="4581" spans="1:1" x14ac:dyDescent="0.5">
      <c r="A4581" s="15" t="str">
        <f t="shared" ca="1" si="72"/>
        <v/>
      </c>
    </row>
    <row r="4582" spans="1:1" x14ac:dyDescent="0.5">
      <c r="A4582" s="15" t="str">
        <f t="shared" ca="1" si="72"/>
        <v/>
      </c>
    </row>
    <row r="4583" spans="1:1" x14ac:dyDescent="0.5">
      <c r="A4583" s="15" t="str">
        <f t="shared" ca="1" si="72"/>
        <v/>
      </c>
    </row>
    <row r="4584" spans="1:1" x14ac:dyDescent="0.5">
      <c r="A4584" s="15" t="str">
        <f t="shared" ca="1" si="72"/>
        <v/>
      </c>
    </row>
    <row r="4585" spans="1:1" x14ac:dyDescent="0.5">
      <c r="A4585" s="15" t="str">
        <f t="shared" ca="1" si="72"/>
        <v/>
      </c>
    </row>
    <row r="4586" spans="1:1" x14ac:dyDescent="0.5">
      <c r="A4586" s="15" t="str">
        <f t="shared" ca="1" si="72"/>
        <v/>
      </c>
    </row>
    <row r="4587" spans="1:1" x14ac:dyDescent="0.5">
      <c r="A4587" s="15" t="str">
        <f t="shared" ca="1" si="72"/>
        <v/>
      </c>
    </row>
    <row r="4588" spans="1:1" x14ac:dyDescent="0.5">
      <c r="A4588" s="15" t="str">
        <f t="shared" ca="1" si="72"/>
        <v/>
      </c>
    </row>
    <row r="4589" spans="1:1" x14ac:dyDescent="0.5">
      <c r="A4589" s="15" t="str">
        <f t="shared" ca="1" si="72"/>
        <v/>
      </c>
    </row>
    <row r="4590" spans="1:1" x14ac:dyDescent="0.5">
      <c r="A4590" s="15" t="str">
        <f t="shared" ca="1" si="72"/>
        <v/>
      </c>
    </row>
    <row r="4591" spans="1:1" x14ac:dyDescent="0.5">
      <c r="A4591" s="15" t="str">
        <f t="shared" ca="1" si="72"/>
        <v/>
      </c>
    </row>
    <row r="4592" spans="1:1" x14ac:dyDescent="0.5">
      <c r="A4592" s="15" t="str">
        <f t="shared" ca="1" si="72"/>
        <v/>
      </c>
    </row>
    <row r="4593" spans="1:1" x14ac:dyDescent="0.5">
      <c r="A4593" s="15" t="str">
        <f t="shared" ca="1" si="72"/>
        <v/>
      </c>
    </row>
    <row r="4594" spans="1:1" x14ac:dyDescent="0.5">
      <c r="A4594" s="15" t="str">
        <f t="shared" ca="1" si="72"/>
        <v/>
      </c>
    </row>
    <row r="4595" spans="1:1" x14ac:dyDescent="0.5">
      <c r="A4595" s="15" t="str">
        <f t="shared" ca="1" si="72"/>
        <v/>
      </c>
    </row>
    <row r="4596" spans="1:1" x14ac:dyDescent="0.5">
      <c r="A4596" s="15" t="str">
        <f t="shared" ca="1" si="72"/>
        <v/>
      </c>
    </row>
    <row r="4597" spans="1:1" x14ac:dyDescent="0.5">
      <c r="A4597" s="15" t="str">
        <f t="shared" ca="1" si="72"/>
        <v/>
      </c>
    </row>
    <row r="4598" spans="1:1" x14ac:dyDescent="0.5">
      <c r="A4598" s="15" t="str">
        <f t="shared" ca="1" si="72"/>
        <v/>
      </c>
    </row>
    <row r="4599" spans="1:1" x14ac:dyDescent="0.5">
      <c r="A4599" s="15" t="str">
        <f t="shared" ca="1" si="72"/>
        <v/>
      </c>
    </row>
    <row r="4600" spans="1:1" x14ac:dyDescent="0.5">
      <c r="A4600" s="15" t="str">
        <f t="shared" ca="1" si="72"/>
        <v/>
      </c>
    </row>
    <row r="4601" spans="1:1" x14ac:dyDescent="0.5">
      <c r="A4601" s="15" t="str">
        <f t="shared" ca="1" si="72"/>
        <v/>
      </c>
    </row>
    <row r="4602" spans="1:1" x14ac:dyDescent="0.5">
      <c r="A4602" s="15" t="str">
        <f t="shared" ca="1" si="72"/>
        <v/>
      </c>
    </row>
    <row r="4603" spans="1:1" x14ac:dyDescent="0.5">
      <c r="A4603" s="15" t="str">
        <f t="shared" ca="1" si="72"/>
        <v/>
      </c>
    </row>
    <row r="4604" spans="1:1" x14ac:dyDescent="0.5">
      <c r="A4604" s="15" t="str">
        <f t="shared" ca="1" si="72"/>
        <v/>
      </c>
    </row>
    <row r="4605" spans="1:1" x14ac:dyDescent="0.5">
      <c r="A4605" s="15" t="str">
        <f t="shared" ca="1" si="72"/>
        <v/>
      </c>
    </row>
    <row r="4606" spans="1:1" x14ac:dyDescent="0.5">
      <c r="A4606" s="15" t="str">
        <f t="shared" ca="1" si="72"/>
        <v/>
      </c>
    </row>
    <row r="4607" spans="1:1" x14ac:dyDescent="0.5">
      <c r="A4607" s="15" t="str">
        <f t="shared" ca="1" si="72"/>
        <v/>
      </c>
    </row>
    <row r="4608" spans="1:1" x14ac:dyDescent="0.5">
      <c r="A4608" s="15" t="str">
        <f t="shared" ca="1" si="72"/>
        <v/>
      </c>
    </row>
    <row r="4609" spans="1:1" x14ac:dyDescent="0.5">
      <c r="A4609" s="15" t="str">
        <f t="shared" ca="1" si="72"/>
        <v/>
      </c>
    </row>
    <row r="4610" spans="1:1" x14ac:dyDescent="0.5">
      <c r="A4610" s="15" t="str">
        <f t="shared" ca="1" si="72"/>
        <v/>
      </c>
    </row>
    <row r="4611" spans="1:1" x14ac:dyDescent="0.5">
      <c r="A4611" s="15" t="str">
        <f t="shared" ca="1" si="72"/>
        <v/>
      </c>
    </row>
    <row r="4612" spans="1:1" x14ac:dyDescent="0.5">
      <c r="A4612" s="15" t="str">
        <f t="shared" ca="1" si="72"/>
        <v/>
      </c>
    </row>
    <row r="4613" spans="1:1" x14ac:dyDescent="0.5">
      <c r="A4613" s="15" t="str">
        <f t="shared" ca="1" si="72"/>
        <v/>
      </c>
    </row>
    <row r="4614" spans="1:1" x14ac:dyDescent="0.5">
      <c r="A4614" s="15" t="str">
        <f t="shared" ca="1" si="72"/>
        <v/>
      </c>
    </row>
    <row r="4615" spans="1:1" x14ac:dyDescent="0.5">
      <c r="A4615" s="15" t="str">
        <f t="shared" ca="1" si="72"/>
        <v/>
      </c>
    </row>
    <row r="4616" spans="1:1" x14ac:dyDescent="0.5">
      <c r="A4616" s="15" t="str">
        <f t="shared" ca="1" si="72"/>
        <v/>
      </c>
    </row>
    <row r="4617" spans="1:1" x14ac:dyDescent="0.5">
      <c r="A4617" s="15" t="str">
        <f t="shared" ca="1" si="72"/>
        <v/>
      </c>
    </row>
    <row r="4618" spans="1:1" x14ac:dyDescent="0.5">
      <c r="A4618" s="15" t="str">
        <f t="shared" ca="1" si="72"/>
        <v/>
      </c>
    </row>
    <row r="4619" spans="1:1" x14ac:dyDescent="0.5">
      <c r="A4619" s="15" t="str">
        <f t="shared" ca="1" si="72"/>
        <v/>
      </c>
    </row>
    <row r="4620" spans="1:1" x14ac:dyDescent="0.5">
      <c r="A4620" s="15" t="str">
        <f t="shared" ca="1" si="72"/>
        <v/>
      </c>
    </row>
    <row r="4621" spans="1:1" x14ac:dyDescent="0.5">
      <c r="A4621" s="15" t="str">
        <f t="shared" ref="A4621:A4684" ca="1" si="73">IF(ROW()-12&lt;=$B$7,_xlfn.NORM.INV(RAND(),$B$5,$B$6),"")</f>
        <v/>
      </c>
    </row>
    <row r="4622" spans="1:1" x14ac:dyDescent="0.5">
      <c r="A4622" s="15" t="str">
        <f t="shared" ca="1" si="73"/>
        <v/>
      </c>
    </row>
    <row r="4623" spans="1:1" x14ac:dyDescent="0.5">
      <c r="A4623" s="15" t="str">
        <f t="shared" ca="1" si="73"/>
        <v/>
      </c>
    </row>
    <row r="4624" spans="1:1" x14ac:dyDescent="0.5">
      <c r="A4624" s="15" t="str">
        <f t="shared" ca="1" si="73"/>
        <v/>
      </c>
    </row>
    <row r="4625" spans="1:1" x14ac:dyDescent="0.5">
      <c r="A4625" s="15" t="str">
        <f t="shared" ca="1" si="73"/>
        <v/>
      </c>
    </row>
    <row r="4626" spans="1:1" x14ac:dyDescent="0.5">
      <c r="A4626" s="15" t="str">
        <f t="shared" ca="1" si="73"/>
        <v/>
      </c>
    </row>
    <row r="4627" spans="1:1" x14ac:dyDescent="0.5">
      <c r="A4627" s="15" t="str">
        <f t="shared" ca="1" si="73"/>
        <v/>
      </c>
    </row>
    <row r="4628" spans="1:1" x14ac:dyDescent="0.5">
      <c r="A4628" s="15" t="str">
        <f t="shared" ca="1" si="73"/>
        <v/>
      </c>
    </row>
    <row r="4629" spans="1:1" x14ac:dyDescent="0.5">
      <c r="A4629" s="15" t="str">
        <f t="shared" ca="1" si="73"/>
        <v/>
      </c>
    </row>
    <row r="4630" spans="1:1" x14ac:dyDescent="0.5">
      <c r="A4630" s="15" t="str">
        <f t="shared" ca="1" si="73"/>
        <v/>
      </c>
    </row>
    <row r="4631" spans="1:1" x14ac:dyDescent="0.5">
      <c r="A4631" s="15" t="str">
        <f t="shared" ca="1" si="73"/>
        <v/>
      </c>
    </row>
    <row r="4632" spans="1:1" x14ac:dyDescent="0.5">
      <c r="A4632" s="15" t="str">
        <f t="shared" ca="1" si="73"/>
        <v/>
      </c>
    </row>
    <row r="4633" spans="1:1" x14ac:dyDescent="0.5">
      <c r="A4633" s="15" t="str">
        <f t="shared" ca="1" si="73"/>
        <v/>
      </c>
    </row>
    <row r="4634" spans="1:1" x14ac:dyDescent="0.5">
      <c r="A4634" s="15" t="str">
        <f t="shared" ca="1" si="73"/>
        <v/>
      </c>
    </row>
    <row r="4635" spans="1:1" x14ac:dyDescent="0.5">
      <c r="A4635" s="15" t="str">
        <f t="shared" ca="1" si="73"/>
        <v/>
      </c>
    </row>
    <row r="4636" spans="1:1" x14ac:dyDescent="0.5">
      <c r="A4636" s="15" t="str">
        <f t="shared" ca="1" si="73"/>
        <v/>
      </c>
    </row>
    <row r="4637" spans="1:1" x14ac:dyDescent="0.5">
      <c r="A4637" s="15" t="str">
        <f t="shared" ca="1" si="73"/>
        <v/>
      </c>
    </row>
    <row r="4638" spans="1:1" x14ac:dyDescent="0.5">
      <c r="A4638" s="15" t="str">
        <f t="shared" ca="1" si="73"/>
        <v/>
      </c>
    </row>
    <row r="4639" spans="1:1" x14ac:dyDescent="0.5">
      <c r="A4639" s="15" t="str">
        <f t="shared" ca="1" si="73"/>
        <v/>
      </c>
    </row>
    <row r="4640" spans="1:1" x14ac:dyDescent="0.5">
      <c r="A4640" s="15" t="str">
        <f t="shared" ca="1" si="73"/>
        <v/>
      </c>
    </row>
    <row r="4641" spans="1:1" x14ac:dyDescent="0.5">
      <c r="A4641" s="15" t="str">
        <f t="shared" ca="1" si="73"/>
        <v/>
      </c>
    </row>
    <row r="4642" spans="1:1" x14ac:dyDescent="0.5">
      <c r="A4642" s="15" t="str">
        <f t="shared" ca="1" si="73"/>
        <v/>
      </c>
    </row>
    <row r="4643" spans="1:1" x14ac:dyDescent="0.5">
      <c r="A4643" s="15" t="str">
        <f t="shared" ca="1" si="73"/>
        <v/>
      </c>
    </row>
    <row r="4644" spans="1:1" x14ac:dyDescent="0.5">
      <c r="A4644" s="15" t="str">
        <f t="shared" ca="1" si="73"/>
        <v/>
      </c>
    </row>
    <row r="4645" spans="1:1" x14ac:dyDescent="0.5">
      <c r="A4645" s="15" t="str">
        <f t="shared" ca="1" si="73"/>
        <v/>
      </c>
    </row>
    <row r="4646" spans="1:1" x14ac:dyDescent="0.5">
      <c r="A4646" s="15" t="str">
        <f t="shared" ca="1" si="73"/>
        <v/>
      </c>
    </row>
    <row r="4647" spans="1:1" x14ac:dyDescent="0.5">
      <c r="A4647" s="15" t="str">
        <f t="shared" ca="1" si="73"/>
        <v/>
      </c>
    </row>
    <row r="4648" spans="1:1" x14ac:dyDescent="0.5">
      <c r="A4648" s="15" t="str">
        <f t="shared" ca="1" si="73"/>
        <v/>
      </c>
    </row>
    <row r="4649" spans="1:1" x14ac:dyDescent="0.5">
      <c r="A4649" s="15" t="str">
        <f t="shared" ca="1" si="73"/>
        <v/>
      </c>
    </row>
    <row r="4650" spans="1:1" x14ac:dyDescent="0.5">
      <c r="A4650" s="15" t="str">
        <f t="shared" ca="1" si="73"/>
        <v/>
      </c>
    </row>
    <row r="4651" spans="1:1" x14ac:dyDescent="0.5">
      <c r="A4651" s="15" t="str">
        <f t="shared" ca="1" si="73"/>
        <v/>
      </c>
    </row>
    <row r="4652" spans="1:1" x14ac:dyDescent="0.5">
      <c r="A4652" s="15" t="str">
        <f t="shared" ca="1" si="73"/>
        <v/>
      </c>
    </row>
    <row r="4653" spans="1:1" x14ac:dyDescent="0.5">
      <c r="A4653" s="15" t="str">
        <f t="shared" ca="1" si="73"/>
        <v/>
      </c>
    </row>
    <row r="4654" spans="1:1" x14ac:dyDescent="0.5">
      <c r="A4654" s="15" t="str">
        <f t="shared" ca="1" si="73"/>
        <v/>
      </c>
    </row>
    <row r="4655" spans="1:1" x14ac:dyDescent="0.5">
      <c r="A4655" s="15" t="str">
        <f t="shared" ca="1" si="73"/>
        <v/>
      </c>
    </row>
    <row r="4656" spans="1:1" x14ac:dyDescent="0.5">
      <c r="A4656" s="15" t="str">
        <f t="shared" ca="1" si="73"/>
        <v/>
      </c>
    </row>
    <row r="4657" spans="1:1" x14ac:dyDescent="0.5">
      <c r="A4657" s="15" t="str">
        <f t="shared" ca="1" si="73"/>
        <v/>
      </c>
    </row>
    <row r="4658" spans="1:1" x14ac:dyDescent="0.5">
      <c r="A4658" s="15" t="str">
        <f t="shared" ca="1" si="73"/>
        <v/>
      </c>
    </row>
    <row r="4659" spans="1:1" x14ac:dyDescent="0.5">
      <c r="A4659" s="15" t="str">
        <f t="shared" ca="1" si="73"/>
        <v/>
      </c>
    </row>
    <row r="4660" spans="1:1" x14ac:dyDescent="0.5">
      <c r="A4660" s="15" t="str">
        <f t="shared" ca="1" si="73"/>
        <v/>
      </c>
    </row>
    <row r="4661" spans="1:1" x14ac:dyDescent="0.5">
      <c r="A4661" s="15" t="str">
        <f t="shared" ca="1" si="73"/>
        <v/>
      </c>
    </row>
    <row r="4662" spans="1:1" x14ac:dyDescent="0.5">
      <c r="A4662" s="15" t="str">
        <f t="shared" ca="1" si="73"/>
        <v/>
      </c>
    </row>
    <row r="4663" spans="1:1" x14ac:dyDescent="0.5">
      <c r="A4663" s="15" t="str">
        <f t="shared" ca="1" si="73"/>
        <v/>
      </c>
    </row>
    <row r="4664" spans="1:1" x14ac:dyDescent="0.5">
      <c r="A4664" s="15" t="str">
        <f t="shared" ca="1" si="73"/>
        <v/>
      </c>
    </row>
    <row r="4665" spans="1:1" x14ac:dyDescent="0.5">
      <c r="A4665" s="15" t="str">
        <f t="shared" ca="1" si="73"/>
        <v/>
      </c>
    </row>
    <row r="4666" spans="1:1" x14ac:dyDescent="0.5">
      <c r="A4666" s="15" t="str">
        <f t="shared" ca="1" si="73"/>
        <v/>
      </c>
    </row>
    <row r="4667" spans="1:1" x14ac:dyDescent="0.5">
      <c r="A4667" s="15" t="str">
        <f t="shared" ca="1" si="73"/>
        <v/>
      </c>
    </row>
    <row r="4668" spans="1:1" x14ac:dyDescent="0.5">
      <c r="A4668" s="15" t="str">
        <f t="shared" ca="1" si="73"/>
        <v/>
      </c>
    </row>
    <row r="4669" spans="1:1" x14ac:dyDescent="0.5">
      <c r="A4669" s="15" t="str">
        <f t="shared" ca="1" si="73"/>
        <v/>
      </c>
    </row>
    <row r="4670" spans="1:1" x14ac:dyDescent="0.5">
      <c r="A4670" s="15" t="str">
        <f t="shared" ca="1" si="73"/>
        <v/>
      </c>
    </row>
    <row r="4671" spans="1:1" x14ac:dyDescent="0.5">
      <c r="A4671" s="15" t="str">
        <f t="shared" ca="1" si="73"/>
        <v/>
      </c>
    </row>
    <row r="4672" spans="1:1" x14ac:dyDescent="0.5">
      <c r="A4672" s="15" t="str">
        <f t="shared" ca="1" si="73"/>
        <v/>
      </c>
    </row>
    <row r="4673" spans="1:1" x14ac:dyDescent="0.5">
      <c r="A4673" s="15" t="str">
        <f t="shared" ca="1" si="73"/>
        <v/>
      </c>
    </row>
    <row r="4674" spans="1:1" x14ac:dyDescent="0.5">
      <c r="A4674" s="15" t="str">
        <f t="shared" ca="1" si="73"/>
        <v/>
      </c>
    </row>
    <row r="4675" spans="1:1" x14ac:dyDescent="0.5">
      <c r="A4675" s="15" t="str">
        <f t="shared" ca="1" si="73"/>
        <v/>
      </c>
    </row>
    <row r="4676" spans="1:1" x14ac:dyDescent="0.5">
      <c r="A4676" s="15" t="str">
        <f t="shared" ca="1" si="73"/>
        <v/>
      </c>
    </row>
    <row r="4677" spans="1:1" x14ac:dyDescent="0.5">
      <c r="A4677" s="15" t="str">
        <f t="shared" ca="1" si="73"/>
        <v/>
      </c>
    </row>
    <row r="4678" spans="1:1" x14ac:dyDescent="0.5">
      <c r="A4678" s="15" t="str">
        <f t="shared" ca="1" si="73"/>
        <v/>
      </c>
    </row>
    <row r="4679" spans="1:1" x14ac:dyDescent="0.5">
      <c r="A4679" s="15" t="str">
        <f t="shared" ca="1" si="73"/>
        <v/>
      </c>
    </row>
    <row r="4680" spans="1:1" x14ac:dyDescent="0.5">
      <c r="A4680" s="15" t="str">
        <f t="shared" ca="1" si="73"/>
        <v/>
      </c>
    </row>
    <row r="4681" spans="1:1" x14ac:dyDescent="0.5">
      <c r="A4681" s="15" t="str">
        <f t="shared" ca="1" si="73"/>
        <v/>
      </c>
    </row>
    <row r="4682" spans="1:1" x14ac:dyDescent="0.5">
      <c r="A4682" s="15" t="str">
        <f t="shared" ca="1" si="73"/>
        <v/>
      </c>
    </row>
    <row r="4683" spans="1:1" x14ac:dyDescent="0.5">
      <c r="A4683" s="15" t="str">
        <f t="shared" ca="1" si="73"/>
        <v/>
      </c>
    </row>
    <row r="4684" spans="1:1" x14ac:dyDescent="0.5">
      <c r="A4684" s="15" t="str">
        <f t="shared" ca="1" si="73"/>
        <v/>
      </c>
    </row>
    <row r="4685" spans="1:1" x14ac:dyDescent="0.5">
      <c r="A4685" s="15" t="str">
        <f t="shared" ref="A4685:A4748" ca="1" si="74">IF(ROW()-12&lt;=$B$7,_xlfn.NORM.INV(RAND(),$B$5,$B$6),"")</f>
        <v/>
      </c>
    </row>
    <row r="4686" spans="1:1" x14ac:dyDescent="0.5">
      <c r="A4686" s="15" t="str">
        <f t="shared" ca="1" si="74"/>
        <v/>
      </c>
    </row>
    <row r="4687" spans="1:1" x14ac:dyDescent="0.5">
      <c r="A4687" s="15" t="str">
        <f t="shared" ca="1" si="74"/>
        <v/>
      </c>
    </row>
    <row r="4688" spans="1:1" x14ac:dyDescent="0.5">
      <c r="A4688" s="15" t="str">
        <f t="shared" ca="1" si="74"/>
        <v/>
      </c>
    </row>
    <row r="4689" spans="1:1" x14ac:dyDescent="0.5">
      <c r="A4689" s="15" t="str">
        <f t="shared" ca="1" si="74"/>
        <v/>
      </c>
    </row>
    <row r="4690" spans="1:1" x14ac:dyDescent="0.5">
      <c r="A4690" s="15" t="str">
        <f t="shared" ca="1" si="74"/>
        <v/>
      </c>
    </row>
    <row r="4691" spans="1:1" x14ac:dyDescent="0.5">
      <c r="A4691" s="15" t="str">
        <f t="shared" ca="1" si="74"/>
        <v/>
      </c>
    </row>
    <row r="4692" spans="1:1" x14ac:dyDescent="0.5">
      <c r="A4692" s="15" t="str">
        <f t="shared" ca="1" si="74"/>
        <v/>
      </c>
    </row>
    <row r="4693" spans="1:1" x14ac:dyDescent="0.5">
      <c r="A4693" s="15" t="str">
        <f t="shared" ca="1" si="74"/>
        <v/>
      </c>
    </row>
    <row r="4694" spans="1:1" x14ac:dyDescent="0.5">
      <c r="A4694" s="15" t="str">
        <f t="shared" ca="1" si="74"/>
        <v/>
      </c>
    </row>
    <row r="4695" spans="1:1" x14ac:dyDescent="0.5">
      <c r="A4695" s="15" t="str">
        <f t="shared" ca="1" si="74"/>
        <v/>
      </c>
    </row>
    <row r="4696" spans="1:1" x14ac:dyDescent="0.5">
      <c r="A4696" s="15" t="str">
        <f t="shared" ca="1" si="74"/>
        <v/>
      </c>
    </row>
    <row r="4697" spans="1:1" x14ac:dyDescent="0.5">
      <c r="A4697" s="15" t="str">
        <f t="shared" ca="1" si="74"/>
        <v/>
      </c>
    </row>
    <row r="4698" spans="1:1" x14ac:dyDescent="0.5">
      <c r="A4698" s="15" t="str">
        <f t="shared" ca="1" si="74"/>
        <v/>
      </c>
    </row>
    <row r="4699" spans="1:1" x14ac:dyDescent="0.5">
      <c r="A4699" s="15" t="str">
        <f t="shared" ca="1" si="74"/>
        <v/>
      </c>
    </row>
    <row r="4700" spans="1:1" x14ac:dyDescent="0.5">
      <c r="A4700" s="15" t="str">
        <f t="shared" ca="1" si="74"/>
        <v/>
      </c>
    </row>
    <row r="4701" spans="1:1" x14ac:dyDescent="0.5">
      <c r="A4701" s="15" t="str">
        <f t="shared" ca="1" si="74"/>
        <v/>
      </c>
    </row>
    <row r="4702" spans="1:1" x14ac:dyDescent="0.5">
      <c r="A4702" s="15" t="str">
        <f t="shared" ca="1" si="74"/>
        <v/>
      </c>
    </row>
    <row r="4703" spans="1:1" x14ac:dyDescent="0.5">
      <c r="A4703" s="15" t="str">
        <f t="shared" ca="1" si="74"/>
        <v/>
      </c>
    </row>
    <row r="4704" spans="1:1" x14ac:dyDescent="0.5">
      <c r="A4704" s="15" t="str">
        <f t="shared" ca="1" si="74"/>
        <v/>
      </c>
    </row>
    <row r="4705" spans="1:1" x14ac:dyDescent="0.5">
      <c r="A4705" s="15" t="str">
        <f t="shared" ca="1" si="74"/>
        <v/>
      </c>
    </row>
    <row r="4706" spans="1:1" x14ac:dyDescent="0.5">
      <c r="A4706" s="15" t="str">
        <f t="shared" ca="1" si="74"/>
        <v/>
      </c>
    </row>
    <row r="4707" spans="1:1" x14ac:dyDescent="0.5">
      <c r="A4707" s="15" t="str">
        <f t="shared" ca="1" si="74"/>
        <v/>
      </c>
    </row>
    <row r="4708" spans="1:1" x14ac:dyDescent="0.5">
      <c r="A4708" s="15" t="str">
        <f t="shared" ca="1" si="74"/>
        <v/>
      </c>
    </row>
    <row r="4709" spans="1:1" x14ac:dyDescent="0.5">
      <c r="A4709" s="15" t="str">
        <f t="shared" ca="1" si="74"/>
        <v/>
      </c>
    </row>
    <row r="4710" spans="1:1" x14ac:dyDescent="0.5">
      <c r="A4710" s="15" t="str">
        <f t="shared" ca="1" si="74"/>
        <v/>
      </c>
    </row>
    <row r="4711" spans="1:1" x14ac:dyDescent="0.5">
      <c r="A4711" s="15" t="str">
        <f t="shared" ca="1" si="74"/>
        <v/>
      </c>
    </row>
    <row r="4712" spans="1:1" x14ac:dyDescent="0.5">
      <c r="A4712" s="15" t="str">
        <f t="shared" ca="1" si="74"/>
        <v/>
      </c>
    </row>
    <row r="4713" spans="1:1" x14ac:dyDescent="0.5">
      <c r="A4713" s="15" t="str">
        <f t="shared" ca="1" si="74"/>
        <v/>
      </c>
    </row>
    <row r="4714" spans="1:1" x14ac:dyDescent="0.5">
      <c r="A4714" s="15" t="str">
        <f t="shared" ca="1" si="74"/>
        <v/>
      </c>
    </row>
    <row r="4715" spans="1:1" x14ac:dyDescent="0.5">
      <c r="A4715" s="15" t="str">
        <f t="shared" ca="1" si="74"/>
        <v/>
      </c>
    </row>
    <row r="4716" spans="1:1" x14ac:dyDescent="0.5">
      <c r="A4716" s="15" t="str">
        <f t="shared" ca="1" si="74"/>
        <v/>
      </c>
    </row>
    <row r="4717" spans="1:1" x14ac:dyDescent="0.5">
      <c r="A4717" s="15" t="str">
        <f t="shared" ca="1" si="74"/>
        <v/>
      </c>
    </row>
    <row r="4718" spans="1:1" x14ac:dyDescent="0.5">
      <c r="A4718" s="15" t="str">
        <f t="shared" ca="1" si="74"/>
        <v/>
      </c>
    </row>
    <row r="4719" spans="1:1" x14ac:dyDescent="0.5">
      <c r="A4719" s="15" t="str">
        <f t="shared" ca="1" si="74"/>
        <v/>
      </c>
    </row>
    <row r="4720" spans="1:1" x14ac:dyDescent="0.5">
      <c r="A4720" s="15" t="str">
        <f t="shared" ca="1" si="74"/>
        <v/>
      </c>
    </row>
    <row r="4721" spans="1:1" x14ac:dyDescent="0.5">
      <c r="A4721" s="15" t="str">
        <f t="shared" ca="1" si="74"/>
        <v/>
      </c>
    </row>
    <row r="4722" spans="1:1" x14ac:dyDescent="0.5">
      <c r="A4722" s="15" t="str">
        <f t="shared" ca="1" si="74"/>
        <v/>
      </c>
    </row>
    <row r="4723" spans="1:1" x14ac:dyDescent="0.5">
      <c r="A4723" s="15" t="str">
        <f t="shared" ca="1" si="74"/>
        <v/>
      </c>
    </row>
    <row r="4724" spans="1:1" x14ac:dyDescent="0.5">
      <c r="A4724" s="15" t="str">
        <f t="shared" ca="1" si="74"/>
        <v/>
      </c>
    </row>
    <row r="4725" spans="1:1" x14ac:dyDescent="0.5">
      <c r="A4725" s="15" t="str">
        <f t="shared" ca="1" si="74"/>
        <v/>
      </c>
    </row>
    <row r="4726" spans="1:1" x14ac:dyDescent="0.5">
      <c r="A4726" s="15" t="str">
        <f t="shared" ca="1" si="74"/>
        <v/>
      </c>
    </row>
    <row r="4727" spans="1:1" x14ac:dyDescent="0.5">
      <c r="A4727" s="15" t="str">
        <f t="shared" ca="1" si="74"/>
        <v/>
      </c>
    </row>
    <row r="4728" spans="1:1" x14ac:dyDescent="0.5">
      <c r="A4728" s="15" t="str">
        <f t="shared" ca="1" si="74"/>
        <v/>
      </c>
    </row>
    <row r="4729" spans="1:1" x14ac:dyDescent="0.5">
      <c r="A4729" s="15" t="str">
        <f t="shared" ca="1" si="74"/>
        <v/>
      </c>
    </row>
    <row r="4730" spans="1:1" x14ac:dyDescent="0.5">
      <c r="A4730" s="15" t="str">
        <f t="shared" ca="1" si="74"/>
        <v/>
      </c>
    </row>
    <row r="4731" spans="1:1" x14ac:dyDescent="0.5">
      <c r="A4731" s="15" t="str">
        <f t="shared" ca="1" si="74"/>
        <v/>
      </c>
    </row>
    <row r="4732" spans="1:1" x14ac:dyDescent="0.5">
      <c r="A4732" s="15" t="str">
        <f t="shared" ca="1" si="74"/>
        <v/>
      </c>
    </row>
    <row r="4733" spans="1:1" x14ac:dyDescent="0.5">
      <c r="A4733" s="15" t="str">
        <f t="shared" ca="1" si="74"/>
        <v/>
      </c>
    </row>
    <row r="4734" spans="1:1" x14ac:dyDescent="0.5">
      <c r="A4734" s="15" t="str">
        <f t="shared" ca="1" si="74"/>
        <v/>
      </c>
    </row>
    <row r="4735" spans="1:1" x14ac:dyDescent="0.5">
      <c r="A4735" s="15" t="str">
        <f t="shared" ca="1" si="74"/>
        <v/>
      </c>
    </row>
    <row r="4736" spans="1:1" x14ac:dyDescent="0.5">
      <c r="A4736" s="15" t="str">
        <f t="shared" ca="1" si="74"/>
        <v/>
      </c>
    </row>
    <row r="4737" spans="1:1" x14ac:dyDescent="0.5">
      <c r="A4737" s="15" t="str">
        <f t="shared" ca="1" si="74"/>
        <v/>
      </c>
    </row>
    <row r="4738" spans="1:1" x14ac:dyDescent="0.5">
      <c r="A4738" s="15" t="str">
        <f t="shared" ca="1" si="74"/>
        <v/>
      </c>
    </row>
    <row r="4739" spans="1:1" x14ac:dyDescent="0.5">
      <c r="A4739" s="15" t="str">
        <f t="shared" ca="1" si="74"/>
        <v/>
      </c>
    </row>
    <row r="4740" spans="1:1" x14ac:dyDescent="0.5">
      <c r="A4740" s="15" t="str">
        <f t="shared" ca="1" si="74"/>
        <v/>
      </c>
    </row>
    <row r="4741" spans="1:1" x14ac:dyDescent="0.5">
      <c r="A4741" s="15" t="str">
        <f t="shared" ca="1" si="74"/>
        <v/>
      </c>
    </row>
    <row r="4742" spans="1:1" x14ac:dyDescent="0.5">
      <c r="A4742" s="15" t="str">
        <f t="shared" ca="1" si="74"/>
        <v/>
      </c>
    </row>
    <row r="4743" spans="1:1" x14ac:dyDescent="0.5">
      <c r="A4743" s="15" t="str">
        <f t="shared" ca="1" si="74"/>
        <v/>
      </c>
    </row>
    <row r="4744" spans="1:1" x14ac:dyDescent="0.5">
      <c r="A4744" s="15" t="str">
        <f t="shared" ca="1" si="74"/>
        <v/>
      </c>
    </row>
    <row r="4745" spans="1:1" x14ac:dyDescent="0.5">
      <c r="A4745" s="15" t="str">
        <f t="shared" ca="1" si="74"/>
        <v/>
      </c>
    </row>
    <row r="4746" spans="1:1" x14ac:dyDescent="0.5">
      <c r="A4746" s="15" t="str">
        <f t="shared" ca="1" si="74"/>
        <v/>
      </c>
    </row>
    <row r="4747" spans="1:1" x14ac:dyDescent="0.5">
      <c r="A4747" s="15" t="str">
        <f t="shared" ca="1" si="74"/>
        <v/>
      </c>
    </row>
    <row r="4748" spans="1:1" x14ac:dyDescent="0.5">
      <c r="A4748" s="15" t="str">
        <f t="shared" ca="1" si="74"/>
        <v/>
      </c>
    </row>
    <row r="4749" spans="1:1" x14ac:dyDescent="0.5">
      <c r="A4749" s="15" t="str">
        <f t="shared" ref="A4749:A4812" ca="1" si="75">IF(ROW()-12&lt;=$B$7,_xlfn.NORM.INV(RAND(),$B$5,$B$6),"")</f>
        <v/>
      </c>
    </row>
    <row r="4750" spans="1:1" x14ac:dyDescent="0.5">
      <c r="A4750" s="15" t="str">
        <f t="shared" ca="1" si="75"/>
        <v/>
      </c>
    </row>
    <row r="4751" spans="1:1" x14ac:dyDescent="0.5">
      <c r="A4751" s="15" t="str">
        <f t="shared" ca="1" si="75"/>
        <v/>
      </c>
    </row>
    <row r="4752" spans="1:1" x14ac:dyDescent="0.5">
      <c r="A4752" s="15" t="str">
        <f t="shared" ca="1" si="75"/>
        <v/>
      </c>
    </row>
    <row r="4753" spans="1:1" x14ac:dyDescent="0.5">
      <c r="A4753" s="15" t="str">
        <f t="shared" ca="1" si="75"/>
        <v/>
      </c>
    </row>
    <row r="4754" spans="1:1" x14ac:dyDescent="0.5">
      <c r="A4754" s="15" t="str">
        <f t="shared" ca="1" si="75"/>
        <v/>
      </c>
    </row>
    <row r="4755" spans="1:1" x14ac:dyDescent="0.5">
      <c r="A4755" s="15" t="str">
        <f t="shared" ca="1" si="75"/>
        <v/>
      </c>
    </row>
    <row r="4756" spans="1:1" x14ac:dyDescent="0.5">
      <c r="A4756" s="15" t="str">
        <f t="shared" ca="1" si="75"/>
        <v/>
      </c>
    </row>
    <row r="4757" spans="1:1" x14ac:dyDescent="0.5">
      <c r="A4757" s="15" t="str">
        <f t="shared" ca="1" si="75"/>
        <v/>
      </c>
    </row>
    <row r="4758" spans="1:1" x14ac:dyDescent="0.5">
      <c r="A4758" s="15" t="str">
        <f t="shared" ca="1" si="75"/>
        <v/>
      </c>
    </row>
    <row r="4759" spans="1:1" x14ac:dyDescent="0.5">
      <c r="A4759" s="15" t="str">
        <f t="shared" ca="1" si="75"/>
        <v/>
      </c>
    </row>
    <row r="4760" spans="1:1" x14ac:dyDescent="0.5">
      <c r="A4760" s="15" t="str">
        <f t="shared" ca="1" si="75"/>
        <v/>
      </c>
    </row>
    <row r="4761" spans="1:1" x14ac:dyDescent="0.5">
      <c r="A4761" s="15" t="str">
        <f t="shared" ca="1" si="75"/>
        <v/>
      </c>
    </row>
    <row r="4762" spans="1:1" x14ac:dyDescent="0.5">
      <c r="A4762" s="15" t="str">
        <f t="shared" ca="1" si="75"/>
        <v/>
      </c>
    </row>
    <row r="4763" spans="1:1" x14ac:dyDescent="0.5">
      <c r="A4763" s="15" t="str">
        <f t="shared" ca="1" si="75"/>
        <v/>
      </c>
    </row>
    <row r="4764" spans="1:1" x14ac:dyDescent="0.5">
      <c r="A4764" s="15" t="str">
        <f t="shared" ca="1" si="75"/>
        <v/>
      </c>
    </row>
    <row r="4765" spans="1:1" x14ac:dyDescent="0.5">
      <c r="A4765" s="15" t="str">
        <f t="shared" ca="1" si="75"/>
        <v/>
      </c>
    </row>
    <row r="4766" spans="1:1" x14ac:dyDescent="0.5">
      <c r="A4766" s="15" t="str">
        <f t="shared" ca="1" si="75"/>
        <v/>
      </c>
    </row>
    <row r="4767" spans="1:1" x14ac:dyDescent="0.5">
      <c r="A4767" s="15" t="str">
        <f t="shared" ca="1" si="75"/>
        <v/>
      </c>
    </row>
    <row r="4768" spans="1:1" x14ac:dyDescent="0.5">
      <c r="A4768" s="15" t="str">
        <f t="shared" ca="1" si="75"/>
        <v/>
      </c>
    </row>
    <row r="4769" spans="1:1" x14ac:dyDescent="0.5">
      <c r="A4769" s="15" t="str">
        <f t="shared" ca="1" si="75"/>
        <v/>
      </c>
    </row>
    <row r="4770" spans="1:1" x14ac:dyDescent="0.5">
      <c r="A4770" s="15" t="str">
        <f t="shared" ca="1" si="75"/>
        <v/>
      </c>
    </row>
    <row r="4771" spans="1:1" x14ac:dyDescent="0.5">
      <c r="A4771" s="15" t="str">
        <f t="shared" ca="1" si="75"/>
        <v/>
      </c>
    </row>
    <row r="4772" spans="1:1" x14ac:dyDescent="0.5">
      <c r="A4772" s="15" t="str">
        <f t="shared" ca="1" si="75"/>
        <v/>
      </c>
    </row>
    <row r="4773" spans="1:1" x14ac:dyDescent="0.5">
      <c r="A4773" s="15" t="str">
        <f t="shared" ca="1" si="75"/>
        <v/>
      </c>
    </row>
    <row r="4774" spans="1:1" x14ac:dyDescent="0.5">
      <c r="A4774" s="15" t="str">
        <f t="shared" ca="1" si="75"/>
        <v/>
      </c>
    </row>
    <row r="4775" spans="1:1" x14ac:dyDescent="0.5">
      <c r="A4775" s="15" t="str">
        <f t="shared" ca="1" si="75"/>
        <v/>
      </c>
    </row>
    <row r="4776" spans="1:1" x14ac:dyDescent="0.5">
      <c r="A4776" s="15" t="str">
        <f t="shared" ca="1" si="75"/>
        <v/>
      </c>
    </row>
    <row r="4777" spans="1:1" x14ac:dyDescent="0.5">
      <c r="A4777" s="15" t="str">
        <f t="shared" ca="1" si="75"/>
        <v/>
      </c>
    </row>
    <row r="4778" spans="1:1" x14ac:dyDescent="0.5">
      <c r="A4778" s="15" t="str">
        <f t="shared" ca="1" si="75"/>
        <v/>
      </c>
    </row>
    <row r="4779" spans="1:1" x14ac:dyDescent="0.5">
      <c r="A4779" s="15" t="str">
        <f t="shared" ca="1" si="75"/>
        <v/>
      </c>
    </row>
    <row r="4780" spans="1:1" x14ac:dyDescent="0.5">
      <c r="A4780" s="15" t="str">
        <f t="shared" ca="1" si="75"/>
        <v/>
      </c>
    </row>
    <row r="4781" spans="1:1" x14ac:dyDescent="0.5">
      <c r="A4781" s="15" t="str">
        <f t="shared" ca="1" si="75"/>
        <v/>
      </c>
    </row>
    <row r="4782" spans="1:1" x14ac:dyDescent="0.5">
      <c r="A4782" s="15" t="str">
        <f t="shared" ca="1" si="75"/>
        <v/>
      </c>
    </row>
    <row r="4783" spans="1:1" x14ac:dyDescent="0.5">
      <c r="A4783" s="15" t="str">
        <f t="shared" ca="1" si="75"/>
        <v/>
      </c>
    </row>
    <row r="4784" spans="1:1" x14ac:dyDescent="0.5">
      <c r="A4784" s="15" t="str">
        <f t="shared" ca="1" si="75"/>
        <v/>
      </c>
    </row>
    <row r="4785" spans="1:1" x14ac:dyDescent="0.5">
      <c r="A4785" s="15" t="str">
        <f t="shared" ca="1" si="75"/>
        <v/>
      </c>
    </row>
    <row r="4786" spans="1:1" x14ac:dyDescent="0.5">
      <c r="A4786" s="15" t="str">
        <f t="shared" ca="1" si="75"/>
        <v/>
      </c>
    </row>
    <row r="4787" spans="1:1" x14ac:dyDescent="0.5">
      <c r="A4787" s="15" t="str">
        <f t="shared" ca="1" si="75"/>
        <v/>
      </c>
    </row>
    <row r="4788" spans="1:1" x14ac:dyDescent="0.5">
      <c r="A4788" s="15" t="str">
        <f t="shared" ca="1" si="75"/>
        <v/>
      </c>
    </row>
    <row r="4789" spans="1:1" x14ac:dyDescent="0.5">
      <c r="A4789" s="15" t="str">
        <f t="shared" ca="1" si="75"/>
        <v/>
      </c>
    </row>
    <row r="4790" spans="1:1" x14ac:dyDescent="0.5">
      <c r="A4790" s="15" t="str">
        <f t="shared" ca="1" si="75"/>
        <v/>
      </c>
    </row>
    <row r="4791" spans="1:1" x14ac:dyDescent="0.5">
      <c r="A4791" s="15" t="str">
        <f t="shared" ca="1" si="75"/>
        <v/>
      </c>
    </row>
    <row r="4792" spans="1:1" x14ac:dyDescent="0.5">
      <c r="A4792" s="15" t="str">
        <f t="shared" ca="1" si="75"/>
        <v/>
      </c>
    </row>
    <row r="4793" spans="1:1" x14ac:dyDescent="0.5">
      <c r="A4793" s="15" t="str">
        <f t="shared" ca="1" si="75"/>
        <v/>
      </c>
    </row>
    <row r="4794" spans="1:1" x14ac:dyDescent="0.5">
      <c r="A4794" s="15" t="str">
        <f t="shared" ca="1" si="75"/>
        <v/>
      </c>
    </row>
    <row r="4795" spans="1:1" x14ac:dyDescent="0.5">
      <c r="A4795" s="15" t="str">
        <f t="shared" ca="1" si="75"/>
        <v/>
      </c>
    </row>
    <row r="4796" spans="1:1" x14ac:dyDescent="0.5">
      <c r="A4796" s="15" t="str">
        <f t="shared" ca="1" si="75"/>
        <v/>
      </c>
    </row>
    <row r="4797" spans="1:1" x14ac:dyDescent="0.5">
      <c r="A4797" s="15" t="str">
        <f t="shared" ca="1" si="75"/>
        <v/>
      </c>
    </row>
    <row r="4798" spans="1:1" x14ac:dyDescent="0.5">
      <c r="A4798" s="15" t="str">
        <f t="shared" ca="1" si="75"/>
        <v/>
      </c>
    </row>
    <row r="4799" spans="1:1" x14ac:dyDescent="0.5">
      <c r="A4799" s="15" t="str">
        <f t="shared" ca="1" si="75"/>
        <v/>
      </c>
    </row>
    <row r="4800" spans="1:1" x14ac:dyDescent="0.5">
      <c r="A4800" s="15" t="str">
        <f t="shared" ca="1" si="75"/>
        <v/>
      </c>
    </row>
    <row r="4801" spans="1:1" x14ac:dyDescent="0.5">
      <c r="A4801" s="15" t="str">
        <f t="shared" ca="1" si="75"/>
        <v/>
      </c>
    </row>
    <row r="4802" spans="1:1" x14ac:dyDescent="0.5">
      <c r="A4802" s="15" t="str">
        <f t="shared" ca="1" si="75"/>
        <v/>
      </c>
    </row>
    <row r="4803" spans="1:1" x14ac:dyDescent="0.5">
      <c r="A4803" s="15" t="str">
        <f t="shared" ca="1" si="75"/>
        <v/>
      </c>
    </row>
    <row r="4804" spans="1:1" x14ac:dyDescent="0.5">
      <c r="A4804" s="15" t="str">
        <f t="shared" ca="1" si="75"/>
        <v/>
      </c>
    </row>
    <row r="4805" spans="1:1" x14ac:dyDescent="0.5">
      <c r="A4805" s="15" t="str">
        <f t="shared" ca="1" si="75"/>
        <v/>
      </c>
    </row>
    <row r="4806" spans="1:1" x14ac:dyDescent="0.5">
      <c r="A4806" s="15" t="str">
        <f t="shared" ca="1" si="75"/>
        <v/>
      </c>
    </row>
    <row r="4807" spans="1:1" x14ac:dyDescent="0.5">
      <c r="A4807" s="15" t="str">
        <f t="shared" ca="1" si="75"/>
        <v/>
      </c>
    </row>
    <row r="4808" spans="1:1" x14ac:dyDescent="0.5">
      <c r="A4808" s="15" t="str">
        <f t="shared" ca="1" si="75"/>
        <v/>
      </c>
    </row>
    <row r="4809" spans="1:1" x14ac:dyDescent="0.5">
      <c r="A4809" s="15" t="str">
        <f t="shared" ca="1" si="75"/>
        <v/>
      </c>
    </row>
    <row r="4810" spans="1:1" x14ac:dyDescent="0.5">
      <c r="A4810" s="15" t="str">
        <f t="shared" ca="1" si="75"/>
        <v/>
      </c>
    </row>
    <row r="4811" spans="1:1" x14ac:dyDescent="0.5">
      <c r="A4811" s="15" t="str">
        <f t="shared" ca="1" si="75"/>
        <v/>
      </c>
    </row>
    <row r="4812" spans="1:1" x14ac:dyDescent="0.5">
      <c r="A4812" s="15" t="str">
        <f t="shared" ca="1" si="75"/>
        <v/>
      </c>
    </row>
    <row r="4813" spans="1:1" x14ac:dyDescent="0.5">
      <c r="A4813" s="15" t="str">
        <f t="shared" ref="A4813:A4876" ca="1" si="76">IF(ROW()-12&lt;=$B$7,_xlfn.NORM.INV(RAND(),$B$5,$B$6),"")</f>
        <v/>
      </c>
    </row>
    <row r="4814" spans="1:1" x14ac:dyDescent="0.5">
      <c r="A4814" s="15" t="str">
        <f t="shared" ca="1" si="76"/>
        <v/>
      </c>
    </row>
    <row r="4815" spans="1:1" x14ac:dyDescent="0.5">
      <c r="A4815" s="15" t="str">
        <f t="shared" ca="1" si="76"/>
        <v/>
      </c>
    </row>
    <row r="4816" spans="1:1" x14ac:dyDescent="0.5">
      <c r="A4816" s="15" t="str">
        <f t="shared" ca="1" si="76"/>
        <v/>
      </c>
    </row>
    <row r="4817" spans="1:1" x14ac:dyDescent="0.5">
      <c r="A4817" s="15" t="str">
        <f t="shared" ca="1" si="76"/>
        <v/>
      </c>
    </row>
    <row r="4818" spans="1:1" x14ac:dyDescent="0.5">
      <c r="A4818" s="15" t="str">
        <f t="shared" ca="1" si="76"/>
        <v/>
      </c>
    </row>
    <row r="4819" spans="1:1" x14ac:dyDescent="0.5">
      <c r="A4819" s="15" t="str">
        <f t="shared" ca="1" si="76"/>
        <v/>
      </c>
    </row>
    <row r="4820" spans="1:1" x14ac:dyDescent="0.5">
      <c r="A4820" s="15" t="str">
        <f t="shared" ca="1" si="76"/>
        <v/>
      </c>
    </row>
    <row r="4821" spans="1:1" x14ac:dyDescent="0.5">
      <c r="A4821" s="15" t="str">
        <f t="shared" ca="1" si="76"/>
        <v/>
      </c>
    </row>
    <row r="4822" spans="1:1" x14ac:dyDescent="0.5">
      <c r="A4822" s="15" t="str">
        <f t="shared" ca="1" si="76"/>
        <v/>
      </c>
    </row>
    <row r="4823" spans="1:1" x14ac:dyDescent="0.5">
      <c r="A4823" s="15" t="str">
        <f t="shared" ca="1" si="76"/>
        <v/>
      </c>
    </row>
    <row r="4824" spans="1:1" x14ac:dyDescent="0.5">
      <c r="A4824" s="15" t="str">
        <f t="shared" ca="1" si="76"/>
        <v/>
      </c>
    </row>
    <row r="4825" spans="1:1" x14ac:dyDescent="0.5">
      <c r="A4825" s="15" t="str">
        <f t="shared" ca="1" si="76"/>
        <v/>
      </c>
    </row>
    <row r="4826" spans="1:1" x14ac:dyDescent="0.5">
      <c r="A4826" s="15" t="str">
        <f t="shared" ca="1" si="76"/>
        <v/>
      </c>
    </row>
    <row r="4827" spans="1:1" x14ac:dyDescent="0.5">
      <c r="A4827" s="15" t="str">
        <f t="shared" ca="1" si="76"/>
        <v/>
      </c>
    </row>
    <row r="4828" spans="1:1" x14ac:dyDescent="0.5">
      <c r="A4828" s="15" t="str">
        <f t="shared" ca="1" si="76"/>
        <v/>
      </c>
    </row>
    <row r="4829" spans="1:1" x14ac:dyDescent="0.5">
      <c r="A4829" s="15" t="str">
        <f t="shared" ca="1" si="76"/>
        <v/>
      </c>
    </row>
    <row r="4830" spans="1:1" x14ac:dyDescent="0.5">
      <c r="A4830" s="15" t="str">
        <f t="shared" ca="1" si="76"/>
        <v/>
      </c>
    </row>
    <row r="4831" spans="1:1" x14ac:dyDescent="0.5">
      <c r="A4831" s="15" t="str">
        <f t="shared" ca="1" si="76"/>
        <v/>
      </c>
    </row>
    <row r="4832" spans="1:1" x14ac:dyDescent="0.5">
      <c r="A4832" s="15" t="str">
        <f t="shared" ca="1" si="76"/>
        <v/>
      </c>
    </row>
    <row r="4833" spans="1:1" x14ac:dyDescent="0.5">
      <c r="A4833" s="15" t="str">
        <f t="shared" ca="1" si="76"/>
        <v/>
      </c>
    </row>
    <row r="4834" spans="1:1" x14ac:dyDescent="0.5">
      <c r="A4834" s="15" t="str">
        <f t="shared" ca="1" si="76"/>
        <v/>
      </c>
    </row>
    <row r="4835" spans="1:1" x14ac:dyDescent="0.5">
      <c r="A4835" s="15" t="str">
        <f t="shared" ca="1" si="76"/>
        <v/>
      </c>
    </row>
    <row r="4836" spans="1:1" x14ac:dyDescent="0.5">
      <c r="A4836" s="15" t="str">
        <f t="shared" ca="1" si="76"/>
        <v/>
      </c>
    </row>
    <row r="4837" spans="1:1" x14ac:dyDescent="0.5">
      <c r="A4837" s="15" t="str">
        <f t="shared" ca="1" si="76"/>
        <v/>
      </c>
    </row>
    <row r="4838" spans="1:1" x14ac:dyDescent="0.5">
      <c r="A4838" s="15" t="str">
        <f t="shared" ca="1" si="76"/>
        <v/>
      </c>
    </row>
    <row r="4839" spans="1:1" x14ac:dyDescent="0.5">
      <c r="A4839" s="15" t="str">
        <f t="shared" ca="1" si="76"/>
        <v/>
      </c>
    </row>
    <row r="4840" spans="1:1" x14ac:dyDescent="0.5">
      <c r="A4840" s="15" t="str">
        <f t="shared" ca="1" si="76"/>
        <v/>
      </c>
    </row>
    <row r="4841" spans="1:1" x14ac:dyDescent="0.5">
      <c r="A4841" s="15" t="str">
        <f t="shared" ca="1" si="76"/>
        <v/>
      </c>
    </row>
    <row r="4842" spans="1:1" x14ac:dyDescent="0.5">
      <c r="A4842" s="15" t="str">
        <f t="shared" ca="1" si="76"/>
        <v/>
      </c>
    </row>
    <row r="4843" spans="1:1" x14ac:dyDescent="0.5">
      <c r="A4843" s="15" t="str">
        <f t="shared" ca="1" si="76"/>
        <v/>
      </c>
    </row>
    <row r="4844" spans="1:1" x14ac:dyDescent="0.5">
      <c r="A4844" s="15" t="str">
        <f t="shared" ca="1" si="76"/>
        <v/>
      </c>
    </row>
    <row r="4845" spans="1:1" x14ac:dyDescent="0.5">
      <c r="A4845" s="15" t="str">
        <f t="shared" ca="1" si="76"/>
        <v/>
      </c>
    </row>
    <row r="4846" spans="1:1" x14ac:dyDescent="0.5">
      <c r="A4846" s="15" t="str">
        <f t="shared" ca="1" si="76"/>
        <v/>
      </c>
    </row>
    <row r="4847" spans="1:1" x14ac:dyDescent="0.5">
      <c r="A4847" s="15" t="str">
        <f t="shared" ca="1" si="76"/>
        <v/>
      </c>
    </row>
    <row r="4848" spans="1:1" x14ac:dyDescent="0.5">
      <c r="A4848" s="15" t="str">
        <f t="shared" ca="1" si="76"/>
        <v/>
      </c>
    </row>
    <row r="4849" spans="1:1" x14ac:dyDescent="0.5">
      <c r="A4849" s="15" t="str">
        <f t="shared" ca="1" si="76"/>
        <v/>
      </c>
    </row>
    <row r="4850" spans="1:1" x14ac:dyDescent="0.5">
      <c r="A4850" s="15" t="str">
        <f t="shared" ca="1" si="76"/>
        <v/>
      </c>
    </row>
    <row r="4851" spans="1:1" x14ac:dyDescent="0.5">
      <c r="A4851" s="15" t="str">
        <f t="shared" ca="1" si="76"/>
        <v/>
      </c>
    </row>
    <row r="4852" spans="1:1" x14ac:dyDescent="0.5">
      <c r="A4852" s="15" t="str">
        <f t="shared" ca="1" si="76"/>
        <v/>
      </c>
    </row>
    <row r="4853" spans="1:1" x14ac:dyDescent="0.5">
      <c r="A4853" s="15" t="str">
        <f t="shared" ca="1" si="76"/>
        <v/>
      </c>
    </row>
    <row r="4854" spans="1:1" x14ac:dyDescent="0.5">
      <c r="A4854" s="15" t="str">
        <f t="shared" ca="1" si="76"/>
        <v/>
      </c>
    </row>
    <row r="4855" spans="1:1" x14ac:dyDescent="0.5">
      <c r="A4855" s="15" t="str">
        <f t="shared" ca="1" si="76"/>
        <v/>
      </c>
    </row>
    <row r="4856" spans="1:1" x14ac:dyDescent="0.5">
      <c r="A4856" s="15" t="str">
        <f t="shared" ca="1" si="76"/>
        <v/>
      </c>
    </row>
    <row r="4857" spans="1:1" x14ac:dyDescent="0.5">
      <c r="A4857" s="15" t="str">
        <f t="shared" ca="1" si="76"/>
        <v/>
      </c>
    </row>
    <row r="4858" spans="1:1" x14ac:dyDescent="0.5">
      <c r="A4858" s="15" t="str">
        <f t="shared" ca="1" si="76"/>
        <v/>
      </c>
    </row>
    <row r="4859" spans="1:1" x14ac:dyDescent="0.5">
      <c r="A4859" s="15" t="str">
        <f t="shared" ca="1" si="76"/>
        <v/>
      </c>
    </row>
    <row r="4860" spans="1:1" x14ac:dyDescent="0.5">
      <c r="A4860" s="15" t="str">
        <f t="shared" ca="1" si="76"/>
        <v/>
      </c>
    </row>
    <row r="4861" spans="1:1" x14ac:dyDescent="0.5">
      <c r="A4861" s="15" t="str">
        <f t="shared" ca="1" si="76"/>
        <v/>
      </c>
    </row>
    <row r="4862" spans="1:1" x14ac:dyDescent="0.5">
      <c r="A4862" s="15" t="str">
        <f t="shared" ca="1" si="76"/>
        <v/>
      </c>
    </row>
    <row r="4863" spans="1:1" x14ac:dyDescent="0.5">
      <c r="A4863" s="15" t="str">
        <f t="shared" ca="1" si="76"/>
        <v/>
      </c>
    </row>
    <row r="4864" spans="1:1" x14ac:dyDescent="0.5">
      <c r="A4864" s="15" t="str">
        <f t="shared" ca="1" si="76"/>
        <v/>
      </c>
    </row>
    <row r="4865" spans="1:1" x14ac:dyDescent="0.5">
      <c r="A4865" s="15" t="str">
        <f t="shared" ca="1" si="76"/>
        <v/>
      </c>
    </row>
    <row r="4866" spans="1:1" x14ac:dyDescent="0.5">
      <c r="A4866" s="15" t="str">
        <f t="shared" ca="1" si="76"/>
        <v/>
      </c>
    </row>
    <row r="4867" spans="1:1" x14ac:dyDescent="0.5">
      <c r="A4867" s="15" t="str">
        <f t="shared" ca="1" si="76"/>
        <v/>
      </c>
    </row>
    <row r="4868" spans="1:1" x14ac:dyDescent="0.5">
      <c r="A4868" s="15" t="str">
        <f t="shared" ca="1" si="76"/>
        <v/>
      </c>
    </row>
    <row r="4869" spans="1:1" x14ac:dyDescent="0.5">
      <c r="A4869" s="15" t="str">
        <f t="shared" ca="1" si="76"/>
        <v/>
      </c>
    </row>
    <row r="4870" spans="1:1" x14ac:dyDescent="0.5">
      <c r="A4870" s="15" t="str">
        <f t="shared" ca="1" si="76"/>
        <v/>
      </c>
    </row>
    <row r="4871" spans="1:1" x14ac:dyDescent="0.5">
      <c r="A4871" s="15" t="str">
        <f t="shared" ca="1" si="76"/>
        <v/>
      </c>
    </row>
    <row r="4872" spans="1:1" x14ac:dyDescent="0.5">
      <c r="A4872" s="15" t="str">
        <f t="shared" ca="1" si="76"/>
        <v/>
      </c>
    </row>
    <row r="4873" spans="1:1" x14ac:dyDescent="0.5">
      <c r="A4873" s="15" t="str">
        <f t="shared" ca="1" si="76"/>
        <v/>
      </c>
    </row>
    <row r="4874" spans="1:1" x14ac:dyDescent="0.5">
      <c r="A4874" s="15" t="str">
        <f t="shared" ca="1" si="76"/>
        <v/>
      </c>
    </row>
    <row r="4875" spans="1:1" x14ac:dyDescent="0.5">
      <c r="A4875" s="15" t="str">
        <f t="shared" ca="1" si="76"/>
        <v/>
      </c>
    </row>
    <row r="4876" spans="1:1" x14ac:dyDescent="0.5">
      <c r="A4876" s="15" t="str">
        <f t="shared" ca="1" si="76"/>
        <v/>
      </c>
    </row>
    <row r="4877" spans="1:1" x14ac:dyDescent="0.5">
      <c r="A4877" s="15" t="str">
        <f t="shared" ref="A4877:A4940" ca="1" si="77">IF(ROW()-12&lt;=$B$7,_xlfn.NORM.INV(RAND(),$B$5,$B$6),"")</f>
        <v/>
      </c>
    </row>
    <row r="4878" spans="1:1" x14ac:dyDescent="0.5">
      <c r="A4878" s="15" t="str">
        <f t="shared" ca="1" si="77"/>
        <v/>
      </c>
    </row>
    <row r="4879" spans="1:1" x14ac:dyDescent="0.5">
      <c r="A4879" s="15" t="str">
        <f t="shared" ca="1" si="77"/>
        <v/>
      </c>
    </row>
    <row r="4880" spans="1:1" x14ac:dyDescent="0.5">
      <c r="A4880" s="15" t="str">
        <f t="shared" ca="1" si="77"/>
        <v/>
      </c>
    </row>
    <row r="4881" spans="1:1" x14ac:dyDescent="0.5">
      <c r="A4881" s="15" t="str">
        <f t="shared" ca="1" si="77"/>
        <v/>
      </c>
    </row>
    <row r="4882" spans="1:1" x14ac:dyDescent="0.5">
      <c r="A4882" s="15" t="str">
        <f t="shared" ca="1" si="77"/>
        <v/>
      </c>
    </row>
    <row r="4883" spans="1:1" x14ac:dyDescent="0.5">
      <c r="A4883" s="15" t="str">
        <f t="shared" ca="1" si="77"/>
        <v/>
      </c>
    </row>
    <row r="4884" spans="1:1" x14ac:dyDescent="0.5">
      <c r="A4884" s="15" t="str">
        <f t="shared" ca="1" si="77"/>
        <v/>
      </c>
    </row>
    <row r="4885" spans="1:1" x14ac:dyDescent="0.5">
      <c r="A4885" s="15" t="str">
        <f t="shared" ca="1" si="77"/>
        <v/>
      </c>
    </row>
    <row r="4886" spans="1:1" x14ac:dyDescent="0.5">
      <c r="A4886" s="15" t="str">
        <f t="shared" ca="1" si="77"/>
        <v/>
      </c>
    </row>
    <row r="4887" spans="1:1" x14ac:dyDescent="0.5">
      <c r="A4887" s="15" t="str">
        <f t="shared" ca="1" si="77"/>
        <v/>
      </c>
    </row>
    <row r="4888" spans="1:1" x14ac:dyDescent="0.5">
      <c r="A4888" s="15" t="str">
        <f t="shared" ca="1" si="77"/>
        <v/>
      </c>
    </row>
    <row r="4889" spans="1:1" x14ac:dyDescent="0.5">
      <c r="A4889" s="15" t="str">
        <f t="shared" ca="1" si="77"/>
        <v/>
      </c>
    </row>
    <row r="4890" spans="1:1" x14ac:dyDescent="0.5">
      <c r="A4890" s="15" t="str">
        <f t="shared" ca="1" si="77"/>
        <v/>
      </c>
    </row>
    <row r="4891" spans="1:1" x14ac:dyDescent="0.5">
      <c r="A4891" s="15" t="str">
        <f t="shared" ca="1" si="77"/>
        <v/>
      </c>
    </row>
    <row r="4892" spans="1:1" x14ac:dyDescent="0.5">
      <c r="A4892" s="15" t="str">
        <f t="shared" ca="1" si="77"/>
        <v/>
      </c>
    </row>
    <row r="4893" spans="1:1" x14ac:dyDescent="0.5">
      <c r="A4893" s="15" t="str">
        <f t="shared" ca="1" si="77"/>
        <v/>
      </c>
    </row>
    <row r="4894" spans="1:1" x14ac:dyDescent="0.5">
      <c r="A4894" s="15" t="str">
        <f t="shared" ca="1" si="77"/>
        <v/>
      </c>
    </row>
    <row r="4895" spans="1:1" x14ac:dyDescent="0.5">
      <c r="A4895" s="15" t="str">
        <f t="shared" ca="1" si="77"/>
        <v/>
      </c>
    </row>
    <row r="4896" spans="1:1" x14ac:dyDescent="0.5">
      <c r="A4896" s="15" t="str">
        <f t="shared" ca="1" si="77"/>
        <v/>
      </c>
    </row>
    <row r="4897" spans="1:1" x14ac:dyDescent="0.5">
      <c r="A4897" s="15" t="str">
        <f t="shared" ca="1" si="77"/>
        <v/>
      </c>
    </row>
    <row r="4898" spans="1:1" x14ac:dyDescent="0.5">
      <c r="A4898" s="15" t="str">
        <f t="shared" ca="1" si="77"/>
        <v/>
      </c>
    </row>
    <row r="4899" spans="1:1" x14ac:dyDescent="0.5">
      <c r="A4899" s="15" t="str">
        <f t="shared" ca="1" si="77"/>
        <v/>
      </c>
    </row>
    <row r="4900" spans="1:1" x14ac:dyDescent="0.5">
      <c r="A4900" s="15" t="str">
        <f t="shared" ca="1" si="77"/>
        <v/>
      </c>
    </row>
    <row r="4901" spans="1:1" x14ac:dyDescent="0.5">
      <c r="A4901" s="15" t="str">
        <f t="shared" ca="1" si="77"/>
        <v/>
      </c>
    </row>
    <row r="4902" spans="1:1" x14ac:dyDescent="0.5">
      <c r="A4902" s="15" t="str">
        <f t="shared" ca="1" si="77"/>
        <v/>
      </c>
    </row>
    <row r="4903" spans="1:1" x14ac:dyDescent="0.5">
      <c r="A4903" s="15" t="str">
        <f t="shared" ca="1" si="77"/>
        <v/>
      </c>
    </row>
    <row r="4904" spans="1:1" x14ac:dyDescent="0.5">
      <c r="A4904" s="15" t="str">
        <f t="shared" ca="1" si="77"/>
        <v/>
      </c>
    </row>
    <row r="4905" spans="1:1" x14ac:dyDescent="0.5">
      <c r="A4905" s="15" t="str">
        <f t="shared" ca="1" si="77"/>
        <v/>
      </c>
    </row>
    <row r="4906" spans="1:1" x14ac:dyDescent="0.5">
      <c r="A4906" s="15" t="str">
        <f t="shared" ca="1" si="77"/>
        <v/>
      </c>
    </row>
    <row r="4907" spans="1:1" x14ac:dyDescent="0.5">
      <c r="A4907" s="15" t="str">
        <f t="shared" ca="1" si="77"/>
        <v/>
      </c>
    </row>
    <row r="4908" spans="1:1" x14ac:dyDescent="0.5">
      <c r="A4908" s="15" t="str">
        <f t="shared" ca="1" si="77"/>
        <v/>
      </c>
    </row>
    <row r="4909" spans="1:1" x14ac:dyDescent="0.5">
      <c r="A4909" s="15" t="str">
        <f t="shared" ca="1" si="77"/>
        <v/>
      </c>
    </row>
    <row r="4910" spans="1:1" x14ac:dyDescent="0.5">
      <c r="A4910" s="15" t="str">
        <f t="shared" ca="1" si="77"/>
        <v/>
      </c>
    </row>
    <row r="4911" spans="1:1" x14ac:dyDescent="0.5">
      <c r="A4911" s="15" t="str">
        <f t="shared" ca="1" si="77"/>
        <v/>
      </c>
    </row>
    <row r="4912" spans="1:1" x14ac:dyDescent="0.5">
      <c r="A4912" s="15" t="str">
        <f t="shared" ca="1" si="77"/>
        <v/>
      </c>
    </row>
    <row r="4913" spans="1:1" x14ac:dyDescent="0.5">
      <c r="A4913" s="15" t="str">
        <f t="shared" ca="1" si="77"/>
        <v/>
      </c>
    </row>
    <row r="4914" spans="1:1" x14ac:dyDescent="0.5">
      <c r="A4914" s="15" t="str">
        <f t="shared" ca="1" si="77"/>
        <v/>
      </c>
    </row>
    <row r="4915" spans="1:1" x14ac:dyDescent="0.5">
      <c r="A4915" s="15" t="str">
        <f t="shared" ca="1" si="77"/>
        <v/>
      </c>
    </row>
    <row r="4916" spans="1:1" x14ac:dyDescent="0.5">
      <c r="A4916" s="15" t="str">
        <f t="shared" ca="1" si="77"/>
        <v/>
      </c>
    </row>
    <row r="4917" spans="1:1" x14ac:dyDescent="0.5">
      <c r="A4917" s="15" t="str">
        <f t="shared" ca="1" si="77"/>
        <v/>
      </c>
    </row>
    <row r="4918" spans="1:1" x14ac:dyDescent="0.5">
      <c r="A4918" s="15" t="str">
        <f t="shared" ca="1" si="77"/>
        <v/>
      </c>
    </row>
    <row r="4919" spans="1:1" x14ac:dyDescent="0.5">
      <c r="A4919" s="15" t="str">
        <f t="shared" ca="1" si="77"/>
        <v/>
      </c>
    </row>
    <row r="4920" spans="1:1" x14ac:dyDescent="0.5">
      <c r="A4920" s="15" t="str">
        <f t="shared" ca="1" si="77"/>
        <v/>
      </c>
    </row>
    <row r="4921" spans="1:1" x14ac:dyDescent="0.5">
      <c r="A4921" s="15" t="str">
        <f t="shared" ca="1" si="77"/>
        <v/>
      </c>
    </row>
    <row r="4922" spans="1:1" x14ac:dyDescent="0.5">
      <c r="A4922" s="15" t="str">
        <f t="shared" ca="1" si="77"/>
        <v/>
      </c>
    </row>
    <row r="4923" spans="1:1" x14ac:dyDescent="0.5">
      <c r="A4923" s="15" t="str">
        <f t="shared" ca="1" si="77"/>
        <v/>
      </c>
    </row>
    <row r="4924" spans="1:1" x14ac:dyDescent="0.5">
      <c r="A4924" s="15" t="str">
        <f t="shared" ca="1" si="77"/>
        <v/>
      </c>
    </row>
    <row r="4925" spans="1:1" x14ac:dyDescent="0.5">
      <c r="A4925" s="15" t="str">
        <f t="shared" ca="1" si="77"/>
        <v/>
      </c>
    </row>
    <row r="4926" spans="1:1" x14ac:dyDescent="0.5">
      <c r="A4926" s="15" t="str">
        <f t="shared" ca="1" si="77"/>
        <v/>
      </c>
    </row>
    <row r="4927" spans="1:1" x14ac:dyDescent="0.5">
      <c r="A4927" s="15" t="str">
        <f t="shared" ca="1" si="77"/>
        <v/>
      </c>
    </row>
    <row r="4928" spans="1:1" x14ac:dyDescent="0.5">
      <c r="A4928" s="15" t="str">
        <f t="shared" ca="1" si="77"/>
        <v/>
      </c>
    </row>
    <row r="4929" spans="1:1" x14ac:dyDescent="0.5">
      <c r="A4929" s="15" t="str">
        <f t="shared" ca="1" si="77"/>
        <v/>
      </c>
    </row>
    <row r="4930" spans="1:1" x14ac:dyDescent="0.5">
      <c r="A4930" s="15" t="str">
        <f t="shared" ca="1" si="77"/>
        <v/>
      </c>
    </row>
    <row r="4931" spans="1:1" x14ac:dyDescent="0.5">
      <c r="A4931" s="15" t="str">
        <f t="shared" ca="1" si="77"/>
        <v/>
      </c>
    </row>
    <row r="4932" spans="1:1" x14ac:dyDescent="0.5">
      <c r="A4932" s="15" t="str">
        <f t="shared" ca="1" si="77"/>
        <v/>
      </c>
    </row>
    <row r="4933" spans="1:1" x14ac:dyDescent="0.5">
      <c r="A4933" s="15" t="str">
        <f t="shared" ca="1" si="77"/>
        <v/>
      </c>
    </row>
    <row r="4934" spans="1:1" x14ac:dyDescent="0.5">
      <c r="A4934" s="15" t="str">
        <f t="shared" ca="1" si="77"/>
        <v/>
      </c>
    </row>
    <row r="4935" spans="1:1" x14ac:dyDescent="0.5">
      <c r="A4935" s="15" t="str">
        <f t="shared" ca="1" si="77"/>
        <v/>
      </c>
    </row>
    <row r="4936" spans="1:1" x14ac:dyDescent="0.5">
      <c r="A4936" s="15" t="str">
        <f t="shared" ca="1" si="77"/>
        <v/>
      </c>
    </row>
    <row r="4937" spans="1:1" x14ac:dyDescent="0.5">
      <c r="A4937" s="15" t="str">
        <f t="shared" ca="1" si="77"/>
        <v/>
      </c>
    </row>
    <row r="4938" spans="1:1" x14ac:dyDescent="0.5">
      <c r="A4938" s="15" t="str">
        <f t="shared" ca="1" si="77"/>
        <v/>
      </c>
    </row>
    <row r="4939" spans="1:1" x14ac:dyDescent="0.5">
      <c r="A4939" s="15" t="str">
        <f t="shared" ca="1" si="77"/>
        <v/>
      </c>
    </row>
    <row r="4940" spans="1:1" x14ac:dyDescent="0.5">
      <c r="A4940" s="15" t="str">
        <f t="shared" ca="1" si="77"/>
        <v/>
      </c>
    </row>
    <row r="4941" spans="1:1" x14ac:dyDescent="0.5">
      <c r="A4941" s="15" t="str">
        <f t="shared" ref="A4941:A5004" ca="1" si="78">IF(ROW()-12&lt;=$B$7,_xlfn.NORM.INV(RAND(),$B$5,$B$6),"")</f>
        <v/>
      </c>
    </row>
    <row r="4942" spans="1:1" x14ac:dyDescent="0.5">
      <c r="A4942" s="15" t="str">
        <f t="shared" ca="1" si="78"/>
        <v/>
      </c>
    </row>
    <row r="4943" spans="1:1" x14ac:dyDescent="0.5">
      <c r="A4943" s="15" t="str">
        <f t="shared" ca="1" si="78"/>
        <v/>
      </c>
    </row>
    <row r="4944" spans="1:1" x14ac:dyDescent="0.5">
      <c r="A4944" s="15" t="str">
        <f t="shared" ca="1" si="78"/>
        <v/>
      </c>
    </row>
    <row r="4945" spans="1:1" x14ac:dyDescent="0.5">
      <c r="A4945" s="15" t="str">
        <f t="shared" ca="1" si="78"/>
        <v/>
      </c>
    </row>
    <row r="4946" spans="1:1" x14ac:dyDescent="0.5">
      <c r="A4946" s="15" t="str">
        <f t="shared" ca="1" si="78"/>
        <v/>
      </c>
    </row>
    <row r="4947" spans="1:1" x14ac:dyDescent="0.5">
      <c r="A4947" s="15" t="str">
        <f t="shared" ca="1" si="78"/>
        <v/>
      </c>
    </row>
    <row r="4948" spans="1:1" x14ac:dyDescent="0.5">
      <c r="A4948" s="15" t="str">
        <f t="shared" ca="1" si="78"/>
        <v/>
      </c>
    </row>
    <row r="4949" spans="1:1" x14ac:dyDescent="0.5">
      <c r="A4949" s="15" t="str">
        <f t="shared" ca="1" si="78"/>
        <v/>
      </c>
    </row>
    <row r="4950" spans="1:1" x14ac:dyDescent="0.5">
      <c r="A4950" s="15" t="str">
        <f t="shared" ca="1" si="78"/>
        <v/>
      </c>
    </row>
    <row r="4951" spans="1:1" x14ac:dyDescent="0.5">
      <c r="A4951" s="15" t="str">
        <f t="shared" ca="1" si="78"/>
        <v/>
      </c>
    </row>
    <row r="4952" spans="1:1" x14ac:dyDescent="0.5">
      <c r="A4952" s="15" t="str">
        <f t="shared" ca="1" si="78"/>
        <v/>
      </c>
    </row>
    <row r="4953" spans="1:1" x14ac:dyDescent="0.5">
      <c r="A4953" s="15" t="str">
        <f t="shared" ca="1" si="78"/>
        <v/>
      </c>
    </row>
    <row r="4954" spans="1:1" x14ac:dyDescent="0.5">
      <c r="A4954" s="15" t="str">
        <f t="shared" ca="1" si="78"/>
        <v/>
      </c>
    </row>
    <row r="4955" spans="1:1" x14ac:dyDescent="0.5">
      <c r="A4955" s="15" t="str">
        <f t="shared" ca="1" si="78"/>
        <v/>
      </c>
    </row>
    <row r="4956" spans="1:1" x14ac:dyDescent="0.5">
      <c r="A4956" s="15" t="str">
        <f t="shared" ca="1" si="78"/>
        <v/>
      </c>
    </row>
    <row r="4957" spans="1:1" x14ac:dyDescent="0.5">
      <c r="A4957" s="15" t="str">
        <f t="shared" ca="1" si="78"/>
        <v/>
      </c>
    </row>
    <row r="4958" spans="1:1" x14ac:dyDescent="0.5">
      <c r="A4958" s="15" t="str">
        <f t="shared" ca="1" si="78"/>
        <v/>
      </c>
    </row>
    <row r="4959" spans="1:1" x14ac:dyDescent="0.5">
      <c r="A4959" s="15" t="str">
        <f t="shared" ca="1" si="78"/>
        <v/>
      </c>
    </row>
    <row r="4960" spans="1:1" x14ac:dyDescent="0.5">
      <c r="A4960" s="15" t="str">
        <f t="shared" ca="1" si="78"/>
        <v/>
      </c>
    </row>
    <row r="4961" spans="1:1" x14ac:dyDescent="0.5">
      <c r="A4961" s="15" t="str">
        <f t="shared" ca="1" si="78"/>
        <v/>
      </c>
    </row>
    <row r="4962" spans="1:1" x14ac:dyDescent="0.5">
      <c r="A4962" s="15" t="str">
        <f t="shared" ca="1" si="78"/>
        <v/>
      </c>
    </row>
    <row r="4963" spans="1:1" x14ac:dyDescent="0.5">
      <c r="A4963" s="15" t="str">
        <f t="shared" ca="1" si="78"/>
        <v/>
      </c>
    </row>
    <row r="4964" spans="1:1" x14ac:dyDescent="0.5">
      <c r="A4964" s="15" t="str">
        <f t="shared" ca="1" si="78"/>
        <v/>
      </c>
    </row>
    <row r="4965" spans="1:1" x14ac:dyDescent="0.5">
      <c r="A4965" s="15" t="str">
        <f t="shared" ca="1" si="78"/>
        <v/>
      </c>
    </row>
    <row r="4966" spans="1:1" x14ac:dyDescent="0.5">
      <c r="A4966" s="15" t="str">
        <f t="shared" ca="1" si="78"/>
        <v/>
      </c>
    </row>
    <row r="4967" spans="1:1" x14ac:dyDescent="0.5">
      <c r="A4967" s="15" t="str">
        <f t="shared" ca="1" si="78"/>
        <v/>
      </c>
    </row>
    <row r="4968" spans="1:1" x14ac:dyDescent="0.5">
      <c r="A4968" s="15" t="str">
        <f t="shared" ca="1" si="78"/>
        <v/>
      </c>
    </row>
    <row r="4969" spans="1:1" x14ac:dyDescent="0.5">
      <c r="A4969" s="15" t="str">
        <f t="shared" ca="1" si="78"/>
        <v/>
      </c>
    </row>
    <row r="4970" spans="1:1" x14ac:dyDescent="0.5">
      <c r="A4970" s="15" t="str">
        <f t="shared" ca="1" si="78"/>
        <v/>
      </c>
    </row>
    <row r="4971" spans="1:1" x14ac:dyDescent="0.5">
      <c r="A4971" s="15" t="str">
        <f t="shared" ca="1" si="78"/>
        <v/>
      </c>
    </row>
    <row r="4972" spans="1:1" x14ac:dyDescent="0.5">
      <c r="A4972" s="15" t="str">
        <f t="shared" ca="1" si="78"/>
        <v/>
      </c>
    </row>
    <row r="4973" spans="1:1" x14ac:dyDescent="0.5">
      <c r="A4973" s="15" t="str">
        <f t="shared" ca="1" si="78"/>
        <v/>
      </c>
    </row>
    <row r="4974" spans="1:1" x14ac:dyDescent="0.5">
      <c r="A4974" s="15" t="str">
        <f t="shared" ca="1" si="78"/>
        <v/>
      </c>
    </row>
    <row r="4975" spans="1:1" x14ac:dyDescent="0.5">
      <c r="A4975" s="15" t="str">
        <f t="shared" ca="1" si="78"/>
        <v/>
      </c>
    </row>
    <row r="4976" spans="1:1" x14ac:dyDescent="0.5">
      <c r="A4976" s="15" t="str">
        <f t="shared" ca="1" si="78"/>
        <v/>
      </c>
    </row>
    <row r="4977" spans="1:1" x14ac:dyDescent="0.5">
      <c r="A4977" s="15" t="str">
        <f t="shared" ca="1" si="78"/>
        <v/>
      </c>
    </row>
    <row r="4978" spans="1:1" x14ac:dyDescent="0.5">
      <c r="A4978" s="15" t="str">
        <f t="shared" ca="1" si="78"/>
        <v/>
      </c>
    </row>
    <row r="4979" spans="1:1" x14ac:dyDescent="0.5">
      <c r="A4979" s="15" t="str">
        <f t="shared" ca="1" si="78"/>
        <v/>
      </c>
    </row>
    <row r="4980" spans="1:1" x14ac:dyDescent="0.5">
      <c r="A4980" s="15" t="str">
        <f t="shared" ca="1" si="78"/>
        <v/>
      </c>
    </row>
    <row r="4981" spans="1:1" x14ac:dyDescent="0.5">
      <c r="A4981" s="15" t="str">
        <f t="shared" ca="1" si="78"/>
        <v/>
      </c>
    </row>
    <row r="4982" spans="1:1" x14ac:dyDescent="0.5">
      <c r="A4982" s="15" t="str">
        <f t="shared" ca="1" si="78"/>
        <v/>
      </c>
    </row>
    <row r="4983" spans="1:1" x14ac:dyDescent="0.5">
      <c r="A4983" s="15" t="str">
        <f t="shared" ca="1" si="78"/>
        <v/>
      </c>
    </row>
    <row r="4984" spans="1:1" x14ac:dyDescent="0.5">
      <c r="A4984" s="15" t="str">
        <f t="shared" ca="1" si="78"/>
        <v/>
      </c>
    </row>
    <row r="4985" spans="1:1" x14ac:dyDescent="0.5">
      <c r="A4985" s="15" t="str">
        <f t="shared" ca="1" si="78"/>
        <v/>
      </c>
    </row>
    <row r="4986" spans="1:1" x14ac:dyDescent="0.5">
      <c r="A4986" s="15" t="str">
        <f t="shared" ca="1" si="78"/>
        <v/>
      </c>
    </row>
    <row r="4987" spans="1:1" x14ac:dyDescent="0.5">
      <c r="A4987" s="15" t="str">
        <f t="shared" ca="1" si="78"/>
        <v/>
      </c>
    </row>
    <row r="4988" spans="1:1" x14ac:dyDescent="0.5">
      <c r="A4988" s="15" t="str">
        <f t="shared" ca="1" si="78"/>
        <v/>
      </c>
    </row>
    <row r="4989" spans="1:1" x14ac:dyDescent="0.5">
      <c r="A4989" s="15" t="str">
        <f t="shared" ca="1" si="78"/>
        <v/>
      </c>
    </row>
    <row r="4990" spans="1:1" x14ac:dyDescent="0.5">
      <c r="A4990" s="15" t="str">
        <f t="shared" ca="1" si="78"/>
        <v/>
      </c>
    </row>
    <row r="4991" spans="1:1" x14ac:dyDescent="0.5">
      <c r="A4991" s="15" t="str">
        <f t="shared" ca="1" si="78"/>
        <v/>
      </c>
    </row>
    <row r="4992" spans="1:1" x14ac:dyDescent="0.5">
      <c r="A4992" s="15" t="str">
        <f t="shared" ca="1" si="78"/>
        <v/>
      </c>
    </row>
    <row r="4993" spans="1:1" x14ac:dyDescent="0.5">
      <c r="A4993" s="15" t="str">
        <f t="shared" ca="1" si="78"/>
        <v/>
      </c>
    </row>
    <row r="4994" spans="1:1" x14ac:dyDescent="0.5">
      <c r="A4994" s="15" t="str">
        <f t="shared" ca="1" si="78"/>
        <v/>
      </c>
    </row>
    <row r="4995" spans="1:1" x14ac:dyDescent="0.5">
      <c r="A4995" s="15" t="str">
        <f t="shared" ca="1" si="78"/>
        <v/>
      </c>
    </row>
    <row r="4996" spans="1:1" x14ac:dyDescent="0.5">
      <c r="A4996" s="15" t="str">
        <f t="shared" ca="1" si="78"/>
        <v/>
      </c>
    </row>
    <row r="4997" spans="1:1" x14ac:dyDescent="0.5">
      <c r="A4997" s="15" t="str">
        <f t="shared" ca="1" si="78"/>
        <v/>
      </c>
    </row>
    <row r="4998" spans="1:1" x14ac:dyDescent="0.5">
      <c r="A4998" s="15" t="str">
        <f t="shared" ca="1" si="78"/>
        <v/>
      </c>
    </row>
    <row r="4999" spans="1:1" x14ac:dyDescent="0.5">
      <c r="A4999" s="15" t="str">
        <f t="shared" ca="1" si="78"/>
        <v/>
      </c>
    </row>
    <row r="5000" spans="1:1" x14ac:dyDescent="0.5">
      <c r="A5000" s="15" t="str">
        <f t="shared" ca="1" si="78"/>
        <v/>
      </c>
    </row>
    <row r="5001" spans="1:1" x14ac:dyDescent="0.5">
      <c r="A5001" s="15" t="str">
        <f t="shared" ca="1" si="78"/>
        <v/>
      </c>
    </row>
    <row r="5002" spans="1:1" x14ac:dyDescent="0.5">
      <c r="A5002" s="15" t="str">
        <f t="shared" ca="1" si="78"/>
        <v/>
      </c>
    </row>
    <row r="5003" spans="1:1" x14ac:dyDescent="0.5">
      <c r="A5003" s="15" t="str">
        <f t="shared" ca="1" si="78"/>
        <v/>
      </c>
    </row>
    <row r="5004" spans="1:1" x14ac:dyDescent="0.5">
      <c r="A5004" s="15" t="str">
        <f t="shared" ca="1" si="78"/>
        <v/>
      </c>
    </row>
    <row r="5005" spans="1:1" x14ac:dyDescent="0.5">
      <c r="A5005" s="15" t="str">
        <f t="shared" ref="A5005:A5012" ca="1" si="79">IF(ROW()-12&lt;=$B$7,_xlfn.NORM.INV(RAND(),$B$5,$B$6),"")</f>
        <v/>
      </c>
    </row>
    <row r="5006" spans="1:1" x14ac:dyDescent="0.5">
      <c r="A5006" s="15" t="str">
        <f t="shared" ca="1" si="79"/>
        <v/>
      </c>
    </row>
    <row r="5007" spans="1:1" x14ac:dyDescent="0.5">
      <c r="A5007" s="15" t="str">
        <f t="shared" ca="1" si="79"/>
        <v/>
      </c>
    </row>
    <row r="5008" spans="1:1" x14ac:dyDescent="0.5">
      <c r="A5008" s="15" t="str">
        <f t="shared" ca="1" si="79"/>
        <v/>
      </c>
    </row>
    <row r="5009" spans="1:1" x14ac:dyDescent="0.5">
      <c r="A5009" s="15" t="str">
        <f t="shared" ca="1" si="79"/>
        <v/>
      </c>
    </row>
    <row r="5010" spans="1:1" x14ac:dyDescent="0.5">
      <c r="A5010" s="15" t="str">
        <f t="shared" ca="1" si="79"/>
        <v/>
      </c>
    </row>
    <row r="5011" spans="1:1" x14ac:dyDescent="0.5">
      <c r="A5011" s="15" t="str">
        <f t="shared" ca="1" si="79"/>
        <v/>
      </c>
    </row>
    <row r="5012" spans="1:1" x14ac:dyDescent="0.5">
      <c r="A5012" s="15" t="str">
        <f t="shared" ca="1" si="79"/>
        <v/>
      </c>
    </row>
  </sheetData>
  <sortState xmlns:xlrd2="http://schemas.microsoft.com/office/spreadsheetml/2017/richdata2" ref="A1:A358">
    <sortCondition ref="A1:A358"/>
  </sortState>
  <dataValidations count="1">
    <dataValidation type="whole" allowBlank="1" showInputMessage="1" showErrorMessage="1" errorTitle="Invalid Population Size" error="Please enter a whole number between 1 and 5,000." promptTitle="Population Size" prompt="Enter the number of values to generate (1–5,000)" sqref="B7" xr:uid="{70648AC6-7ADE-4330-9CDB-C5667631C046}">
      <formula1>1</formula1>
      <formula2>5000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12435-CB0F-E34B-9D7F-57D9E91B2D22}">
  <sheetPr codeName="Sheet4"/>
  <dimension ref="A1:P115"/>
  <sheetViews>
    <sheetView topLeftCell="A4" zoomScale="60" zoomScaleNormal="60" workbookViewId="0">
      <selection activeCell="H6" sqref="H6"/>
    </sheetView>
  </sheetViews>
  <sheetFormatPr defaultColWidth="8.875" defaultRowHeight="14.25" outlineLevelCol="1" x14ac:dyDescent="0.45"/>
  <cols>
    <col min="1" max="1" width="16.625" style="3" customWidth="1"/>
    <col min="2" max="2" width="12.5" style="1" customWidth="1"/>
    <col min="3" max="3" width="8.375" style="1" customWidth="1"/>
    <col min="4" max="4" width="2.5" style="1" customWidth="1"/>
    <col min="5" max="5" width="5" style="1" customWidth="1"/>
    <col min="6" max="6" width="10.875" style="1" customWidth="1"/>
    <col min="7" max="7" width="18.375" style="1" customWidth="1"/>
    <col min="8" max="8" width="5.125" style="1" bestFit="1" customWidth="1"/>
    <col min="9" max="9" width="2.5" style="1" customWidth="1"/>
    <col min="10" max="10" width="14.125" style="1" customWidth="1"/>
    <col min="11" max="12" width="13.375" style="1" customWidth="1"/>
    <col min="13" max="13" width="8.875" style="1"/>
    <col min="14" max="16" width="8.875" style="1" outlineLevel="1"/>
    <col min="17" max="16384" width="8.875" style="1"/>
  </cols>
  <sheetData>
    <row r="1" spans="1:16" ht="30" customHeight="1" x14ac:dyDescent="0.55000000000000004">
      <c r="A1" s="4" t="s">
        <v>27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/>
    </row>
    <row r="2" spans="1:16" ht="15.75" x14ac:dyDescent="0.5">
      <c r="A2" s="7" t="s">
        <v>28</v>
      </c>
      <c r="B2"/>
      <c r="C2"/>
      <c r="D2"/>
      <c r="E2"/>
      <c r="F2"/>
      <c r="G2"/>
      <c r="H2"/>
      <c r="I2"/>
      <c r="J2"/>
      <c r="K2"/>
      <c r="L2"/>
      <c r="M2"/>
    </row>
    <row r="3" spans="1:16" ht="15.75" x14ac:dyDescent="0.5">
      <c r="A3"/>
      <c r="B3"/>
      <c r="C3"/>
      <c r="D3"/>
      <c r="E3"/>
      <c r="F3"/>
      <c r="G3"/>
      <c r="H3"/>
      <c r="I3"/>
      <c r="J3"/>
      <c r="K3"/>
      <c r="L3"/>
      <c r="M3"/>
    </row>
    <row r="4" spans="1:16" ht="15.75" x14ac:dyDescent="0.5">
      <c r="A4" s="9" t="s">
        <v>29</v>
      </c>
      <c r="B4" s="10"/>
      <c r="C4" s="10"/>
      <c r="D4" s="10"/>
      <c r="E4" s="10"/>
      <c r="F4"/>
      <c r="G4" s="9" t="s">
        <v>30</v>
      </c>
      <c r="H4" s="10"/>
      <c r="I4"/>
      <c r="J4" s="9" t="s">
        <v>31</v>
      </c>
      <c r="K4" s="10"/>
      <c r="L4" s="10"/>
      <c r="M4"/>
      <c r="N4" s="90" t="s">
        <v>126</v>
      </c>
      <c r="O4" s="90" t="s">
        <v>13</v>
      </c>
      <c r="P4" s="90" t="s">
        <v>35</v>
      </c>
    </row>
    <row r="5" spans="1:16" ht="18" x14ac:dyDescent="0.55000000000000004">
      <c r="A5" s="8" t="s">
        <v>32</v>
      </c>
      <c r="B5" s="6" t="s">
        <v>33</v>
      </c>
      <c r="C5"/>
      <c r="D5"/>
      <c r="E5"/>
      <c r="F5"/>
      <c r="G5" s="12" t="s">
        <v>34</v>
      </c>
      <c r="H5" s="26">
        <v>30</v>
      </c>
      <c r="I5"/>
      <c r="J5"/>
      <c r="K5" s="27" t="s">
        <v>13</v>
      </c>
      <c r="L5" s="27" t="s">
        <v>35</v>
      </c>
      <c r="M5"/>
      <c r="N5" s="93">
        <f>ROUND($K$6+$K$7*-3.0333,0)</f>
        <v>39</v>
      </c>
      <c r="O5" s="91">
        <f>COUNTIF($A$16:$A$115,"&lt;="&amp;N5)</f>
        <v>0</v>
      </c>
      <c r="P5" s="91">
        <f ca="1">COUNTIF($G$16:$G$115,"&lt;="&amp;N5)</f>
        <v>0</v>
      </c>
    </row>
    <row r="6" spans="1:16" ht="15.75" x14ac:dyDescent="0.5">
      <c r="A6" s="8" t="s">
        <v>36</v>
      </c>
      <c r="B6" s="6" t="s">
        <v>37</v>
      </c>
      <c r="C6"/>
      <c r="D6"/>
      <c r="E6"/>
      <c r="F6"/>
      <c r="G6"/>
      <c r="H6"/>
      <c r="I6"/>
      <c r="J6" s="12" t="s">
        <v>9</v>
      </c>
      <c r="K6" s="22">
        <f>AVERAGE(A16:A115)</f>
        <v>97.406853532462662</v>
      </c>
      <c r="L6" s="28">
        <f ca="1">AVERAGE(G16:G115)</f>
        <v>95.866978664112906</v>
      </c>
      <c r="M6"/>
      <c r="N6" s="93">
        <f>ROUND($K$6+$K$7*-2.5667,0)</f>
        <v>48</v>
      </c>
      <c r="O6" s="91">
        <f t="shared" ref="O6:O19" si="0">COUNTIFS($A$16:$A$115,"&gt;"&amp;N5,$A$16:$A$115,"&lt;="&amp;N6)</f>
        <v>0</v>
      </c>
      <c r="P6" s="91">
        <f t="shared" ref="P6:P19" ca="1" si="1">COUNTIFS($G$16:$G$115,"&gt;"&amp;N5,$G$16:$G$115,"&lt;="&amp;N6)</f>
        <v>0</v>
      </c>
    </row>
    <row r="7" spans="1:16" ht="15.75" x14ac:dyDescent="0.5">
      <c r="A7" s="8" t="s">
        <v>38</v>
      </c>
      <c r="B7" s="6" t="s">
        <v>39</v>
      </c>
      <c r="C7"/>
      <c r="D7"/>
      <c r="E7"/>
      <c r="F7"/>
      <c r="G7"/>
      <c r="H7"/>
      <c r="I7"/>
      <c r="J7" s="19" t="s">
        <v>7</v>
      </c>
      <c r="K7" s="23">
        <f>_xlfn.STDEV.P(A16:A115)</f>
        <v>19.324343667186337</v>
      </c>
      <c r="L7" s="77">
        <f ca="1">_xlfn.STDEV.S(G16:G115)</f>
        <v>21.142462803280132</v>
      </c>
      <c r="M7"/>
      <c r="N7" s="93">
        <f>ROUND($K$6+$K$7*-2.1,0)</f>
        <v>57</v>
      </c>
      <c r="O7" s="91">
        <f t="shared" si="0"/>
        <v>3</v>
      </c>
      <c r="P7" s="91">
        <f t="shared" ca="1" si="1"/>
        <v>1</v>
      </c>
    </row>
    <row r="8" spans="1:16" ht="15.75" x14ac:dyDescent="0.5">
      <c r="A8" s="8" t="s">
        <v>40</v>
      </c>
      <c r="B8" s="6" t="s">
        <v>41</v>
      </c>
      <c r="C8"/>
      <c r="D8"/>
      <c r="E8"/>
      <c r="F8"/>
      <c r="G8"/>
      <c r="H8"/>
      <c r="I8"/>
      <c r="J8" s="19" t="s">
        <v>14</v>
      </c>
      <c r="K8" s="85">
        <f>K7/K6</f>
        <v>0.19838792617139756</v>
      </c>
      <c r="L8" s="86">
        <f ca="1">L7/L6</f>
        <v>0.22053957575273681</v>
      </c>
      <c r="M8"/>
      <c r="N8" s="93">
        <f>ROUND($K$6+$K$7*-1.6333,0)</f>
        <v>66</v>
      </c>
      <c r="O8" s="91">
        <f t="shared" si="0"/>
        <v>4</v>
      </c>
      <c r="P8" s="91">
        <f t="shared" ca="1" si="1"/>
        <v>3</v>
      </c>
    </row>
    <row r="9" spans="1:16" ht="16.149999999999999" thickBot="1" x14ac:dyDescent="0.55000000000000004">
      <c r="A9" s="8" t="s">
        <v>42</v>
      </c>
      <c r="B9" s="6" t="s">
        <v>43</v>
      </c>
      <c r="C9"/>
      <c r="D9"/>
      <c r="E9"/>
      <c r="F9"/>
      <c r="G9"/>
      <c r="H9"/>
      <c r="I9"/>
      <c r="J9" s="87"/>
      <c r="K9" s="87"/>
      <c r="L9" s="87"/>
      <c r="M9"/>
      <c r="N9" s="93">
        <f>ROUND($K$6+$K$7*-1.1667,0)</f>
        <v>75</v>
      </c>
      <c r="O9" s="91">
        <f t="shared" si="0"/>
        <v>2</v>
      </c>
      <c r="P9" s="91">
        <f t="shared" ca="1" si="1"/>
        <v>1</v>
      </c>
    </row>
    <row r="10" spans="1:16" ht="15.75" x14ac:dyDescent="0.5">
      <c r="A10"/>
      <c r="B10"/>
      <c r="C10"/>
      <c r="D10"/>
      <c r="E10"/>
      <c r="F10"/>
      <c r="G10"/>
      <c r="H10"/>
      <c r="I10"/>
      <c r="J10" s="8" t="s">
        <v>44</v>
      </c>
      <c r="K10"/>
      <c r="L10"/>
      <c r="M10"/>
      <c r="N10" s="93">
        <f>ROUND($K$6+$K$7*-0.7,0)</f>
        <v>84</v>
      </c>
      <c r="O10" s="91">
        <f t="shared" si="0"/>
        <v>16</v>
      </c>
      <c r="P10" s="91">
        <f t="shared" ca="1" si="1"/>
        <v>5</v>
      </c>
    </row>
    <row r="11" spans="1:16" ht="15.75" x14ac:dyDescent="0.5">
      <c r="A11"/>
      <c r="B11"/>
      <c r="C11"/>
      <c r="D11"/>
      <c r="E11"/>
      <c r="F11"/>
      <c r="G11"/>
      <c r="H11"/>
      <c r="I11"/>
      <c r="J11" s="29" t="s">
        <v>9</v>
      </c>
      <c r="K11" s="78">
        <f ca="1">(K6-L6)/K6</f>
        <v>1.5808691200938585E-2</v>
      </c>
      <c r="L11" s="25" t="s">
        <v>45</v>
      </c>
      <c r="M11"/>
      <c r="N11" s="94">
        <f>ROUND($K$6+$K$7*-0.2333,0)</f>
        <v>93</v>
      </c>
      <c r="O11" s="91">
        <f t="shared" si="0"/>
        <v>16</v>
      </c>
      <c r="P11" s="91">
        <f t="shared" ca="1" si="1"/>
        <v>3</v>
      </c>
    </row>
    <row r="12" spans="1:16" ht="15.75" x14ac:dyDescent="0.5">
      <c r="A12"/>
      <c r="B12"/>
      <c r="C12"/>
      <c r="D12"/>
      <c r="E12"/>
      <c r="F12"/>
      <c r="G12"/>
      <c r="H12"/>
      <c r="I12"/>
      <c r="J12" s="82" t="s">
        <v>7</v>
      </c>
      <c r="K12" s="83">
        <f ca="1">(K7-L7)/K7</f>
        <v>-9.4084392588248605E-2</v>
      </c>
      <c r="L12" s="84"/>
      <c r="M12"/>
      <c r="N12" s="94">
        <f>ROUND($K$6+$K$7*0.2333,0)</f>
        <v>102</v>
      </c>
      <c r="O12" s="92">
        <f t="shared" si="0"/>
        <v>20</v>
      </c>
      <c r="P12" s="95">
        <f t="shared" ca="1" si="1"/>
        <v>3</v>
      </c>
    </row>
    <row r="13" spans="1:16" ht="15.75" x14ac:dyDescent="0.5">
      <c r="A13"/>
      <c r="B13"/>
      <c r="C13"/>
      <c r="D13"/>
      <c r="E13"/>
      <c r="F13"/>
      <c r="G13"/>
      <c r="H13"/>
      <c r="I13"/>
      <c r="J13" s="79" t="s">
        <v>14</v>
      </c>
      <c r="K13" s="80">
        <f ca="1">(K8-L8)/K8</f>
        <v>-0.11165825465709692</v>
      </c>
      <c r="L13" s="81"/>
      <c r="M13"/>
      <c r="N13" s="94">
        <f>ROUND($K$6+$K$7*0.7,0)</f>
        <v>111</v>
      </c>
      <c r="O13" s="91">
        <f t="shared" si="0"/>
        <v>15</v>
      </c>
      <c r="P13" s="91">
        <f t="shared" ca="1" si="1"/>
        <v>7</v>
      </c>
    </row>
    <row r="14" spans="1:16" ht="15.75" x14ac:dyDescent="0.5">
      <c r="A14"/>
      <c r="B14"/>
      <c r="C14"/>
      <c r="D14"/>
      <c r="E14"/>
      <c r="F14"/>
      <c r="G14"/>
      <c r="H14"/>
      <c r="I14"/>
      <c r="J14"/>
      <c r="K14"/>
      <c r="L14"/>
      <c r="M14"/>
      <c r="N14" s="94">
        <f>ROUND($K$6+$K$7*1.1667,0)</f>
        <v>120</v>
      </c>
      <c r="O14" s="91">
        <f t="shared" si="0"/>
        <v>10</v>
      </c>
      <c r="P14" s="91">
        <f t="shared" ca="1" si="1"/>
        <v>2</v>
      </c>
    </row>
    <row r="15" spans="1:16" ht="15.75" x14ac:dyDescent="0.5">
      <c r="A15" s="14" t="s">
        <v>46</v>
      </c>
      <c r="B15" s="14" t="s">
        <v>11</v>
      </c>
      <c r="C15" s="14" t="s">
        <v>12</v>
      </c>
      <c r="D15"/>
      <c r="E15" s="14" t="s">
        <v>47</v>
      </c>
      <c r="F15" s="14" t="s">
        <v>48</v>
      </c>
      <c r="G15" s="14" t="s">
        <v>49</v>
      </c>
      <c r="H15"/>
      <c r="I15"/>
      <c r="J15"/>
      <c r="K15"/>
      <c r="L15"/>
      <c r="M15"/>
      <c r="N15" s="94">
        <f>ROUND($K$6+$K$7*1.6333,0)</f>
        <v>129</v>
      </c>
      <c r="O15" s="91">
        <f t="shared" si="0"/>
        <v>11</v>
      </c>
      <c r="P15" s="91">
        <f t="shared" ca="1" si="1"/>
        <v>5</v>
      </c>
    </row>
    <row r="16" spans="1:16" ht="15.75" x14ac:dyDescent="0.5">
      <c r="A16" s="30">
        <v>125.77056419158799</v>
      </c>
      <c r="B16" s="32">
        <f t="shared" ref="B16:B47" ca="1" si="2">RAND()</f>
        <v>0.39595537850547435</v>
      </c>
      <c r="C16" s="33">
        <f t="shared" ref="C16:C47" ca="1" si="3">RANK(B16,$B$16:$B$115,0)</f>
        <v>64</v>
      </c>
      <c r="D16"/>
      <c r="E16" s="36">
        <v>1</v>
      </c>
      <c r="F16" s="38">
        <f t="shared" ref="F16:F47" ca="1" si="4">IFERROR(MATCH(LARGE($C$16:$C$115,E16),$C$16:$C$115,0),"")</f>
        <v>52</v>
      </c>
      <c r="G16" s="40" cm="1">
        <f t="array" aca="1" ref="G16" ca="1">IFERROR(IF(E16&lt;=$H$5,INDEX($A$16:$A$115,F16),""),"")</f>
        <v>52.132200924833697</v>
      </c>
      <c r="H16"/>
      <c r="I16"/>
      <c r="J16"/>
      <c r="K16"/>
      <c r="L16"/>
      <c r="M16"/>
      <c r="N16" s="94">
        <f>ROUND($K$6+$K$7*2.1,0)</f>
        <v>138</v>
      </c>
      <c r="O16" s="91">
        <f t="shared" si="0"/>
        <v>2</v>
      </c>
      <c r="P16" s="91">
        <f t="shared" ca="1" si="1"/>
        <v>0</v>
      </c>
    </row>
    <row r="17" spans="1:16" ht="15.75" x14ac:dyDescent="0.5">
      <c r="A17" s="30">
        <v>106.80771599069899</v>
      </c>
      <c r="B17" s="32">
        <f t="shared" ca="1" si="2"/>
        <v>0.85943042728109853</v>
      </c>
      <c r="C17" s="33">
        <f t="shared" ca="1" si="3"/>
        <v>18</v>
      </c>
      <c r="D17"/>
      <c r="E17" s="36">
        <v>2</v>
      </c>
      <c r="F17" s="38">
        <f t="shared" ca="1" si="4"/>
        <v>10</v>
      </c>
      <c r="G17" s="40" cm="1">
        <f t="array" aca="1" ref="G17" ca="1">IFERROR(IF(E17&lt;=$H$5,INDEX($A$16:$A$115,F17),""),"")</f>
        <v>58.625920606893402</v>
      </c>
      <c r="H17"/>
      <c r="I17"/>
      <c r="J17"/>
      <c r="K17"/>
      <c r="L17"/>
      <c r="M17"/>
      <c r="N17" s="94">
        <f>ROUND($K$6+$K$7*2.5667,0)</f>
        <v>147</v>
      </c>
      <c r="O17" s="91">
        <f t="shared" si="0"/>
        <v>0</v>
      </c>
      <c r="P17" s="91">
        <f t="shared" ca="1" si="1"/>
        <v>0</v>
      </c>
    </row>
    <row r="18" spans="1:16" ht="15.75" x14ac:dyDescent="0.5">
      <c r="A18" s="30">
        <v>83.250464648504206</v>
      </c>
      <c r="B18" s="32">
        <f t="shared" ca="1" si="2"/>
        <v>0.38000356871822494</v>
      </c>
      <c r="C18" s="33">
        <f t="shared" ca="1" si="3"/>
        <v>68</v>
      </c>
      <c r="D18"/>
      <c r="E18" s="36">
        <v>3</v>
      </c>
      <c r="F18" s="38">
        <f t="shared" ca="1" si="4"/>
        <v>6</v>
      </c>
      <c r="G18" s="40" cm="1">
        <f t="array" aca="1" ref="G18" ca="1">IFERROR(IF(E18&lt;=$H$5,INDEX($A$16:$A$115,F18),""),"")</f>
        <v>88.819384654808999</v>
      </c>
      <c r="H18"/>
      <c r="I18"/>
      <c r="J18"/>
      <c r="K18"/>
      <c r="L18"/>
      <c r="M18"/>
      <c r="N18" s="94">
        <f>ROUND($K$6+$K$7*3.0333,0)</f>
        <v>156</v>
      </c>
      <c r="O18" s="91">
        <f t="shared" si="0"/>
        <v>1</v>
      </c>
      <c r="P18" s="91">
        <f t="shared" ca="1" si="1"/>
        <v>0</v>
      </c>
    </row>
    <row r="19" spans="1:16" ht="15.75" x14ac:dyDescent="0.5">
      <c r="A19" s="30">
        <v>77.384693505751599</v>
      </c>
      <c r="B19" s="32">
        <f t="shared" ca="1" si="2"/>
        <v>0.86062673442116155</v>
      </c>
      <c r="C19" s="33">
        <f t="shared" ca="1" si="3"/>
        <v>16</v>
      </c>
      <c r="D19"/>
      <c r="E19" s="36">
        <v>4</v>
      </c>
      <c r="F19" s="38">
        <f t="shared" ca="1" si="4"/>
        <v>18</v>
      </c>
      <c r="G19" s="40" cm="1">
        <f t="array" aca="1" ref="G19" ca="1">IFERROR(IF(E19&lt;=$H$5,INDEX($A$16:$A$115,F19),""),"")</f>
        <v>109.503070373526</v>
      </c>
      <c r="H19"/>
      <c r="I19"/>
      <c r="J19"/>
      <c r="K19"/>
      <c r="L19"/>
      <c r="M19"/>
      <c r="N19" s="94">
        <f>ROUND($K$6+$K$7*3.5,0)</f>
        <v>165</v>
      </c>
      <c r="O19" s="91">
        <f t="shared" si="0"/>
        <v>0</v>
      </c>
      <c r="P19" s="91">
        <f t="shared" ca="1" si="1"/>
        <v>0</v>
      </c>
    </row>
    <row r="20" spans="1:16" ht="15.75" x14ac:dyDescent="0.5">
      <c r="A20" s="30">
        <v>109.873154118941</v>
      </c>
      <c r="B20" s="32">
        <f t="shared" ca="1" si="2"/>
        <v>0.12805404804274978</v>
      </c>
      <c r="C20" s="33">
        <f t="shared" ca="1" si="3"/>
        <v>92</v>
      </c>
      <c r="D20"/>
      <c r="E20" s="36">
        <v>5</v>
      </c>
      <c r="F20" s="38">
        <f t="shared" ca="1" si="4"/>
        <v>63</v>
      </c>
      <c r="G20" s="40" cm="1">
        <f t="array" aca="1" ref="G20" ca="1">IFERROR(IF(E20&lt;=$H$5,INDEX($A$16:$A$115,F20),""),"")</f>
        <v>105.01693823932</v>
      </c>
      <c r="H20"/>
      <c r="I20"/>
      <c r="J20"/>
      <c r="K20"/>
      <c r="L20"/>
      <c r="M20"/>
      <c r="N20" s="2"/>
    </row>
    <row r="21" spans="1:16" ht="15.75" x14ac:dyDescent="0.5">
      <c r="A21" s="30">
        <v>88.819384654808999</v>
      </c>
      <c r="B21" s="32">
        <f t="shared" ca="1" si="2"/>
        <v>6.1454986790895227E-2</v>
      </c>
      <c r="C21" s="33">
        <f t="shared" ca="1" si="3"/>
        <v>98</v>
      </c>
      <c r="D21"/>
      <c r="E21" s="36">
        <v>6</v>
      </c>
      <c r="F21" s="38">
        <f t="shared" ca="1" si="4"/>
        <v>60</v>
      </c>
      <c r="G21" s="40" cm="1">
        <f t="array" aca="1" ref="G21" ca="1">IFERROR(IF(E21&lt;=$H$5,INDEX($A$16:$A$115,F21),""),"")</f>
        <v>78.135844973458703</v>
      </c>
      <c r="H21"/>
      <c r="I21"/>
      <c r="J21"/>
      <c r="K21"/>
      <c r="L21"/>
      <c r="M21"/>
      <c r="N21" s="2"/>
    </row>
    <row r="22" spans="1:16" ht="15.75" x14ac:dyDescent="0.5">
      <c r="A22" s="30">
        <v>117.75779062619399</v>
      </c>
      <c r="B22" s="32">
        <f t="shared" ca="1" si="2"/>
        <v>0.42046747437806298</v>
      </c>
      <c r="C22" s="33">
        <f t="shared" ca="1" si="3"/>
        <v>62</v>
      </c>
      <c r="D22"/>
      <c r="E22" s="36">
        <v>7</v>
      </c>
      <c r="F22" s="38">
        <f t="shared" ca="1" si="4"/>
        <v>75</v>
      </c>
      <c r="G22" s="40" cm="1">
        <f t="array" aca="1" ref="G22" ca="1">IFERROR(IF(E22&lt;=$H$5,INDEX($A$16:$A$115,F22),""),"")</f>
        <v>120.032008218979</v>
      </c>
      <c r="H22"/>
      <c r="I22"/>
      <c r="J22"/>
      <c r="K22"/>
      <c r="L22"/>
      <c r="M22"/>
      <c r="N22" s="2"/>
    </row>
    <row r="23" spans="1:16" ht="15.75" x14ac:dyDescent="0.5">
      <c r="A23" s="30">
        <v>107.014112383016</v>
      </c>
      <c r="B23" s="32">
        <f t="shared" ca="1" si="2"/>
        <v>0.4670579588791377</v>
      </c>
      <c r="C23" s="33">
        <f t="shared" ca="1" si="3"/>
        <v>58</v>
      </c>
      <c r="D23"/>
      <c r="E23" s="36">
        <v>8</v>
      </c>
      <c r="F23" s="38">
        <f t="shared" ca="1" si="4"/>
        <v>20</v>
      </c>
      <c r="G23" s="40" cm="1">
        <f t="array" aca="1" ref="G23" ca="1">IFERROR(IF(E23&lt;=$H$5,INDEX($A$16:$A$115,F23),""),"")</f>
        <v>100.126174175082</v>
      </c>
      <c r="H23"/>
      <c r="I23"/>
      <c r="J23"/>
      <c r="K23"/>
      <c r="L23"/>
      <c r="M23"/>
      <c r="N23" s="2"/>
    </row>
    <row r="24" spans="1:16" ht="15.75" x14ac:dyDescent="0.5">
      <c r="A24" s="30">
        <v>93.178034431224305</v>
      </c>
      <c r="B24" s="32">
        <f t="shared" ca="1" si="2"/>
        <v>0.75395623423664371</v>
      </c>
      <c r="C24" s="33">
        <f t="shared" ca="1" si="3"/>
        <v>26</v>
      </c>
      <c r="D24"/>
      <c r="E24" s="36">
        <v>9</v>
      </c>
      <c r="F24" s="38">
        <f t="shared" ca="1" si="4"/>
        <v>5</v>
      </c>
      <c r="G24" s="40" cm="1">
        <f t="array" aca="1" ref="G24" ca="1">IFERROR(IF(E24&lt;=$H$5,INDEX($A$16:$A$115,F24),""),"")</f>
        <v>109.873154118941</v>
      </c>
      <c r="H24"/>
      <c r="I24"/>
      <c r="J24"/>
      <c r="K24"/>
      <c r="L24"/>
      <c r="M24"/>
    </row>
    <row r="25" spans="1:16" ht="15.75" x14ac:dyDescent="0.5">
      <c r="A25" s="30">
        <v>58.625920606893402</v>
      </c>
      <c r="B25" s="32">
        <f t="shared" ca="1" si="2"/>
        <v>3.9645897341373582E-2</v>
      </c>
      <c r="C25" s="33">
        <f t="shared" ca="1" si="3"/>
        <v>99</v>
      </c>
      <c r="D25"/>
      <c r="E25" s="36">
        <v>10</v>
      </c>
      <c r="F25" s="38">
        <f t="shared" ca="1" si="4"/>
        <v>38</v>
      </c>
      <c r="G25" s="40" cm="1">
        <f t="array" aca="1" ref="G25" ca="1">IFERROR(IF(E25&lt;=$H$5,INDEX($A$16:$A$115,F25),""),"")</f>
        <v>106.148136359144</v>
      </c>
      <c r="H25"/>
      <c r="I25"/>
      <c r="J25"/>
      <c r="K25"/>
      <c r="L25"/>
      <c r="M25"/>
    </row>
    <row r="26" spans="1:16" ht="15.75" x14ac:dyDescent="0.5">
      <c r="A26" s="30">
        <v>78.884085632381996</v>
      </c>
      <c r="B26" s="32">
        <f t="shared" ca="1" si="2"/>
        <v>0.63854363389748703</v>
      </c>
      <c r="C26" s="33">
        <f t="shared" ca="1" si="3"/>
        <v>41</v>
      </c>
      <c r="D26"/>
      <c r="E26" s="36">
        <v>11</v>
      </c>
      <c r="F26" s="38">
        <f t="shared" ca="1" si="4"/>
        <v>28</v>
      </c>
      <c r="G26" s="40" cm="1">
        <f t="array" aca="1" ref="G26" ca="1">IFERROR(IF(E26&lt;=$H$5,INDEX($A$16:$A$115,F26),""),"")</f>
        <v>80.083171321171605</v>
      </c>
      <c r="H26"/>
      <c r="I26"/>
      <c r="J26"/>
      <c r="K26"/>
      <c r="L26"/>
      <c r="M26"/>
    </row>
    <row r="27" spans="1:16" ht="15.75" x14ac:dyDescent="0.5">
      <c r="A27" s="30">
        <v>111.926278245473</v>
      </c>
      <c r="B27" s="32">
        <f t="shared" ca="1" si="2"/>
        <v>0.30463724375760071</v>
      </c>
      <c r="C27" s="33">
        <f t="shared" ca="1" si="3"/>
        <v>74</v>
      </c>
      <c r="D27"/>
      <c r="E27" s="36">
        <v>12</v>
      </c>
      <c r="F27" s="38">
        <f t="shared" ca="1" si="4"/>
        <v>23</v>
      </c>
      <c r="G27" s="40" cm="1">
        <f t="array" aca="1" ref="G27" ca="1">IFERROR(IF(E27&lt;=$H$5,INDEX($A$16:$A$115,F27),""),"")</f>
        <v>116.56652002156601</v>
      </c>
      <c r="H27"/>
      <c r="I27"/>
      <c r="J27"/>
      <c r="K27"/>
      <c r="L27"/>
      <c r="M27"/>
    </row>
    <row r="28" spans="1:16" ht="15.75" x14ac:dyDescent="0.5">
      <c r="A28" s="30">
        <v>57.013326973632999</v>
      </c>
      <c r="B28" s="32">
        <f t="shared" ca="1" si="2"/>
        <v>0.34016147347534897</v>
      </c>
      <c r="C28" s="33">
        <f t="shared" ca="1" si="3"/>
        <v>70</v>
      </c>
      <c r="D28"/>
      <c r="E28" s="36">
        <v>13</v>
      </c>
      <c r="F28" s="38">
        <f t="shared" ca="1" si="4"/>
        <v>30</v>
      </c>
      <c r="G28" s="40" cm="1">
        <f t="array" aca="1" ref="G28" ca="1">IFERROR(IF(E28&lt;=$H$5,INDEX($A$16:$A$115,F28),""),"")</f>
        <v>83.109307364409403</v>
      </c>
      <c r="H28"/>
      <c r="I28"/>
      <c r="J28"/>
      <c r="K28"/>
      <c r="L28"/>
      <c r="M28"/>
    </row>
    <row r="29" spans="1:16" ht="15.75" x14ac:dyDescent="0.5">
      <c r="A29" s="30">
        <v>100.222484094197</v>
      </c>
      <c r="B29" s="32">
        <f t="shared" ca="1" si="2"/>
        <v>0.48246852472399304</v>
      </c>
      <c r="C29" s="33">
        <f t="shared" ca="1" si="3"/>
        <v>56</v>
      </c>
      <c r="D29"/>
      <c r="E29" s="36">
        <v>14</v>
      </c>
      <c r="F29" s="38">
        <f t="shared" ca="1" si="4"/>
        <v>54</v>
      </c>
      <c r="G29" s="40" cm="1">
        <f t="array" aca="1" ref="G29" ca="1">IFERROR(IF(E29&lt;=$H$5,INDEX($A$16:$A$115,F29),""),"")</f>
        <v>128.26490693670101</v>
      </c>
      <c r="H29"/>
      <c r="I29"/>
      <c r="J29"/>
      <c r="K29"/>
      <c r="L29"/>
      <c r="M29"/>
    </row>
    <row r="30" spans="1:16" ht="15.75" x14ac:dyDescent="0.5">
      <c r="A30" s="30">
        <v>95.108132880250693</v>
      </c>
      <c r="B30" s="32">
        <f t="shared" ca="1" si="2"/>
        <v>0.89444157850476358</v>
      </c>
      <c r="C30" s="33">
        <f t="shared" ca="1" si="3"/>
        <v>9</v>
      </c>
      <c r="D30"/>
      <c r="E30" s="36">
        <v>15</v>
      </c>
      <c r="F30" s="38">
        <f t="shared" ca="1" si="4"/>
        <v>70</v>
      </c>
      <c r="G30" s="40" cm="1">
        <f t="array" aca="1" ref="G30" ca="1">IFERROR(IF(E30&lt;=$H$5,INDEX($A$16:$A$115,F30),""),"")</f>
        <v>121.874919640646</v>
      </c>
      <c r="H30"/>
      <c r="I30"/>
      <c r="J30"/>
      <c r="K30"/>
      <c r="L30"/>
      <c r="M30"/>
    </row>
    <row r="31" spans="1:16" ht="15.75" x14ac:dyDescent="0.5">
      <c r="A31" s="30">
        <v>50.571422362234102</v>
      </c>
      <c r="B31" s="32">
        <f t="shared" ca="1" si="2"/>
        <v>0.46353069122777901</v>
      </c>
      <c r="C31" s="33">
        <f t="shared" ca="1" si="3"/>
        <v>60</v>
      </c>
      <c r="D31"/>
      <c r="E31" s="36">
        <v>16</v>
      </c>
      <c r="F31" s="38">
        <f t="shared" ca="1" si="4"/>
        <v>71</v>
      </c>
      <c r="G31" s="40" cm="1">
        <f t="array" aca="1" ref="G31" ca="1">IFERROR(IF(E31&lt;=$H$5,INDEX($A$16:$A$115,F31),""),"")</f>
        <v>124.218470007307</v>
      </c>
      <c r="H31"/>
      <c r="I31"/>
      <c r="J31"/>
      <c r="K31"/>
      <c r="L31"/>
      <c r="M31"/>
    </row>
    <row r="32" spans="1:16" ht="15.75" x14ac:dyDescent="0.5">
      <c r="A32" s="30">
        <v>96.146041126796305</v>
      </c>
      <c r="B32" s="32">
        <f t="shared" ca="1" si="2"/>
        <v>0.39134814633713511</v>
      </c>
      <c r="C32" s="33">
        <f t="shared" ca="1" si="3"/>
        <v>65</v>
      </c>
      <c r="D32"/>
      <c r="E32" s="36">
        <v>17</v>
      </c>
      <c r="F32" s="38">
        <f t="shared" ca="1" si="4"/>
        <v>21</v>
      </c>
      <c r="G32" s="40" cm="1">
        <f t="array" aca="1" ref="G32" ca="1">IFERROR(IF(E32&lt;=$H$5,INDEX($A$16:$A$115,F32),""),"")</f>
        <v>124.76927573125</v>
      </c>
      <c r="H32"/>
      <c r="I32"/>
      <c r="J32"/>
      <c r="K32"/>
      <c r="L32"/>
      <c r="M32"/>
    </row>
    <row r="33" spans="1:13" ht="15.75" x14ac:dyDescent="0.5">
      <c r="A33" s="30">
        <v>109.503070373526</v>
      </c>
      <c r="B33" s="32">
        <f t="shared" ca="1" si="2"/>
        <v>8.7859579993742609E-2</v>
      </c>
      <c r="C33" s="33">
        <f t="shared" ca="1" si="3"/>
        <v>97</v>
      </c>
      <c r="D33"/>
      <c r="E33" s="36">
        <v>18</v>
      </c>
      <c r="F33" s="38">
        <f t="shared" ca="1" si="4"/>
        <v>59</v>
      </c>
      <c r="G33" s="40" cm="1">
        <f t="array" aca="1" ref="G33" ca="1">IFERROR(IF(E33&lt;=$H$5,INDEX($A$16:$A$115,F33),""),"")</f>
        <v>81.017848659597902</v>
      </c>
      <c r="H33"/>
      <c r="I33"/>
      <c r="J33"/>
      <c r="K33"/>
      <c r="L33"/>
      <c r="M33"/>
    </row>
    <row r="34" spans="1:13" ht="15.75" x14ac:dyDescent="0.5">
      <c r="A34" s="30">
        <v>120.27847739411099</v>
      </c>
      <c r="B34" s="32">
        <f t="shared" ca="1" si="2"/>
        <v>0.95389450459304392</v>
      </c>
      <c r="C34" s="33">
        <f t="shared" ca="1" si="3"/>
        <v>6</v>
      </c>
      <c r="D34"/>
      <c r="E34" s="36">
        <v>19</v>
      </c>
      <c r="F34" s="38">
        <f t="shared" ca="1" si="4"/>
        <v>74</v>
      </c>
      <c r="G34" s="40" cm="1">
        <f t="array" aca="1" ref="G34" ca="1">IFERROR(IF(E34&lt;=$H$5,INDEX($A$16:$A$115,F34),""),"")</f>
        <v>80.899005337957007</v>
      </c>
      <c r="H34"/>
      <c r="I34"/>
      <c r="J34"/>
      <c r="K34"/>
      <c r="L34"/>
      <c r="M34"/>
    </row>
    <row r="35" spans="1:13" ht="15.75" x14ac:dyDescent="0.5">
      <c r="A35" s="30">
        <v>100.126174175082</v>
      </c>
      <c r="B35" s="32">
        <f t="shared" ca="1" si="2"/>
        <v>0.10269567795823664</v>
      </c>
      <c r="C35" s="33">
        <f t="shared" ca="1" si="3"/>
        <v>93</v>
      </c>
      <c r="D35"/>
      <c r="E35" s="36">
        <v>20</v>
      </c>
      <c r="F35" s="38">
        <f t="shared" ca="1" si="4"/>
        <v>22</v>
      </c>
      <c r="G35" s="40" cm="1">
        <f t="array" aca="1" ref="G35" ca="1">IFERROR(IF(E35&lt;=$H$5,INDEX($A$16:$A$115,F35),""),"")</f>
        <v>108.570530905607</v>
      </c>
      <c r="H35"/>
      <c r="I35"/>
      <c r="J35"/>
      <c r="K35"/>
      <c r="L35"/>
      <c r="M35"/>
    </row>
    <row r="36" spans="1:13" ht="15.75" x14ac:dyDescent="0.5">
      <c r="A36" s="30">
        <v>124.76927573125</v>
      </c>
      <c r="B36" s="32">
        <f t="shared" ca="1" si="2"/>
        <v>0.22675239692347648</v>
      </c>
      <c r="C36" s="33">
        <f t="shared" ca="1" si="3"/>
        <v>84</v>
      </c>
      <c r="D36"/>
      <c r="E36" s="36">
        <v>21</v>
      </c>
      <c r="F36" s="38">
        <f t="shared" ca="1" si="4"/>
        <v>55</v>
      </c>
      <c r="G36" s="40" cm="1">
        <f t="array" aca="1" ref="G36" ca="1">IFERROR(IF(E36&lt;=$H$5,INDEX($A$16:$A$115,F36),""),"")</f>
        <v>87.489208887171898</v>
      </c>
      <c r="H36"/>
      <c r="I36"/>
      <c r="J36"/>
      <c r="K36"/>
      <c r="L36"/>
      <c r="M36"/>
    </row>
    <row r="37" spans="1:13" ht="15.75" x14ac:dyDescent="0.5">
      <c r="A37" s="30">
        <v>108.570530905607</v>
      </c>
      <c r="B37" s="32">
        <f t="shared" ca="1" si="2"/>
        <v>0.2345352826117868</v>
      </c>
      <c r="C37" s="33">
        <f t="shared" ca="1" si="3"/>
        <v>81</v>
      </c>
      <c r="D37"/>
      <c r="E37" s="36">
        <v>22</v>
      </c>
      <c r="F37" s="38">
        <f t="shared" ca="1" si="4"/>
        <v>68</v>
      </c>
      <c r="G37" s="40" cm="1">
        <f t="array" aca="1" ref="G37" ca="1">IFERROR(IF(E37&lt;=$H$5,INDEX($A$16:$A$115,F37),""),"")</f>
        <v>109.18540314182501</v>
      </c>
      <c r="H37"/>
      <c r="I37"/>
      <c r="J37"/>
      <c r="K37"/>
      <c r="L37"/>
      <c r="M37"/>
    </row>
    <row r="38" spans="1:13" ht="15.75" x14ac:dyDescent="0.5">
      <c r="A38" s="30">
        <v>116.56652002156601</v>
      </c>
      <c r="B38" s="32">
        <f t="shared" ca="1" si="2"/>
        <v>0.15244293772432216</v>
      </c>
      <c r="C38" s="33">
        <f t="shared" ca="1" si="3"/>
        <v>89</v>
      </c>
      <c r="D38"/>
      <c r="E38" s="36">
        <v>23</v>
      </c>
      <c r="F38" s="38">
        <f t="shared" ca="1" si="4"/>
        <v>64</v>
      </c>
      <c r="G38" s="40" cm="1">
        <f t="array" aca="1" ref="G38" ca="1">IFERROR(IF(E38&lt;=$H$5,INDEX($A$16:$A$115,F38),""),"")</f>
        <v>65.324348675225806</v>
      </c>
      <c r="H38"/>
      <c r="I38"/>
      <c r="J38"/>
      <c r="K38"/>
      <c r="L38"/>
      <c r="M38"/>
    </row>
    <row r="39" spans="1:13" ht="15.75" x14ac:dyDescent="0.5">
      <c r="A39" s="30">
        <v>76.160680013019601</v>
      </c>
      <c r="B39" s="32">
        <f t="shared" ca="1" si="2"/>
        <v>0.6327933592134275</v>
      </c>
      <c r="C39" s="33">
        <f t="shared" ca="1" si="3"/>
        <v>43</v>
      </c>
      <c r="D39"/>
      <c r="E39" s="36">
        <v>24</v>
      </c>
      <c r="F39" s="38">
        <f t="shared" ca="1" si="4"/>
        <v>95</v>
      </c>
      <c r="G39" s="40" cm="1">
        <f t="array" aca="1" ref="G39" ca="1">IFERROR(IF(E39&lt;=$H$5,INDEX($A$16:$A$115,F39),""),"")</f>
        <v>92.645115970026893</v>
      </c>
      <c r="H39"/>
      <c r="I39"/>
      <c r="J39"/>
      <c r="K39"/>
      <c r="L39"/>
      <c r="M39"/>
    </row>
    <row r="40" spans="1:13" ht="15.75" x14ac:dyDescent="0.5">
      <c r="A40" s="30">
        <v>119.935695455228</v>
      </c>
      <c r="B40" s="32">
        <f t="shared" ca="1" si="2"/>
        <v>0.74524157509547173</v>
      </c>
      <c r="C40" s="33">
        <f t="shared" ca="1" si="3"/>
        <v>27</v>
      </c>
      <c r="D40"/>
      <c r="E40" s="36">
        <v>25</v>
      </c>
      <c r="F40" s="38">
        <f t="shared" ca="1" si="4"/>
        <v>84</v>
      </c>
      <c r="G40" s="40" cm="1">
        <f t="array" aca="1" ref="G40" ca="1">IFERROR(IF(E40&lt;=$H$5,INDEX($A$16:$A$115,F40),""),"")</f>
        <v>98.679985197854805</v>
      </c>
      <c r="H40"/>
      <c r="I40"/>
      <c r="J40"/>
      <c r="K40"/>
      <c r="L40"/>
      <c r="M40"/>
    </row>
    <row r="41" spans="1:13" ht="15.75" x14ac:dyDescent="0.5">
      <c r="A41" s="30">
        <v>100.031250179358</v>
      </c>
      <c r="B41" s="32">
        <f t="shared" ca="1" si="2"/>
        <v>0.86070727579204087</v>
      </c>
      <c r="C41" s="33">
        <f t="shared" ca="1" si="3"/>
        <v>15</v>
      </c>
      <c r="D41"/>
      <c r="E41" s="36">
        <v>26</v>
      </c>
      <c r="F41" s="38">
        <f t="shared" ca="1" si="4"/>
        <v>35</v>
      </c>
      <c r="G41" s="40" cm="1">
        <f t="array" aca="1" ref="G41" ca="1">IFERROR(IF(E41&lt;=$H$5,INDEX($A$16:$A$115,F41),""),"")</f>
        <v>94.515744570183998</v>
      </c>
      <c r="H41"/>
      <c r="I41"/>
      <c r="J41"/>
      <c r="K41"/>
      <c r="L41"/>
      <c r="M41"/>
    </row>
    <row r="42" spans="1:13" ht="15.75" x14ac:dyDescent="0.5">
      <c r="A42" s="30">
        <v>91.369712339992901</v>
      </c>
      <c r="B42" s="32">
        <f t="shared" ca="1" si="2"/>
        <v>0.70993646319309134</v>
      </c>
      <c r="C42" s="33">
        <f t="shared" ca="1" si="3"/>
        <v>33</v>
      </c>
      <c r="D42"/>
      <c r="E42" s="36">
        <v>27</v>
      </c>
      <c r="F42" s="38">
        <f t="shared" ca="1" si="4"/>
        <v>12</v>
      </c>
      <c r="G42" s="40" cm="1">
        <f t="array" aca="1" ref="G42" ca="1">IFERROR(IF(E42&lt;=$H$5,INDEX($A$16:$A$115,F42),""),"")</f>
        <v>111.926278245473</v>
      </c>
      <c r="H42"/>
      <c r="I42"/>
      <c r="J42"/>
      <c r="K42"/>
      <c r="L42"/>
      <c r="M42"/>
    </row>
    <row r="43" spans="1:13" ht="15.75" x14ac:dyDescent="0.5">
      <c r="A43" s="30">
        <v>80.083171321171605</v>
      </c>
      <c r="B43" s="32">
        <f t="shared" ca="1" si="2"/>
        <v>0.14780260641046461</v>
      </c>
      <c r="C43" s="33">
        <f t="shared" ca="1" si="3"/>
        <v>90</v>
      </c>
      <c r="D43"/>
      <c r="E43" s="36">
        <v>28</v>
      </c>
      <c r="F43" s="38">
        <f t="shared" ca="1" si="4"/>
        <v>45</v>
      </c>
      <c r="G43" s="40" cm="1">
        <f t="array" aca="1" ref="G43" ca="1">IFERROR(IF(E43&lt;=$H$5,INDEX($A$16:$A$115,F43),""),"")</f>
        <v>104.610479189317</v>
      </c>
      <c r="H43"/>
      <c r="I43"/>
      <c r="J43"/>
      <c r="K43"/>
      <c r="L43"/>
      <c r="M43"/>
    </row>
    <row r="44" spans="1:13" ht="15.75" x14ac:dyDescent="0.5">
      <c r="A44" s="30">
        <v>131.60541604685801</v>
      </c>
      <c r="B44" s="32">
        <f t="shared" ca="1" si="2"/>
        <v>0.71076543602187259</v>
      </c>
      <c r="C44" s="33">
        <f t="shared" ca="1" si="3"/>
        <v>32</v>
      </c>
      <c r="D44"/>
      <c r="E44" s="36">
        <v>29</v>
      </c>
      <c r="F44" s="38">
        <f t="shared" ca="1" si="4"/>
        <v>56</v>
      </c>
      <c r="G44" s="40" cm="1">
        <f t="array" aca="1" ref="G44" ca="1">IFERROR(IF(E44&lt;=$H$5,INDEX($A$16:$A$115,F44),""),"")</f>
        <v>74.1316926136425</v>
      </c>
      <c r="H44"/>
      <c r="I44"/>
      <c r="J44"/>
      <c r="K44"/>
      <c r="L44"/>
      <c r="M44"/>
    </row>
    <row r="45" spans="1:13" ht="15.75" x14ac:dyDescent="0.5">
      <c r="A45" s="30">
        <v>83.109307364409403</v>
      </c>
      <c r="B45" s="32">
        <f t="shared" ca="1" si="2"/>
        <v>0.16772177965126367</v>
      </c>
      <c r="C45" s="33">
        <f t="shared" ca="1" si="3"/>
        <v>88</v>
      </c>
      <c r="D45"/>
      <c r="E45" s="36">
        <v>30</v>
      </c>
      <c r="F45" s="38">
        <f t="shared" ca="1" si="4"/>
        <v>97</v>
      </c>
      <c r="G45" s="40" cm="1">
        <f t="array" aca="1" ref="G45" ca="1">IFERROR(IF(E45&lt;=$H$5,INDEX($A$16:$A$115,F45),""),"")</f>
        <v>59.714314861466796</v>
      </c>
      <c r="H45"/>
      <c r="I45"/>
      <c r="J45"/>
      <c r="K45"/>
      <c r="L45"/>
      <c r="M45"/>
    </row>
    <row r="46" spans="1:13" ht="15.75" x14ac:dyDescent="0.5">
      <c r="A46" s="30">
        <v>101.723741353541</v>
      </c>
      <c r="B46" s="32">
        <f t="shared" ca="1" si="2"/>
        <v>0.88166636756058492</v>
      </c>
      <c r="C46" s="33">
        <f t="shared" ca="1" si="3"/>
        <v>11</v>
      </c>
      <c r="D46"/>
      <c r="E46" s="36">
        <v>31</v>
      </c>
      <c r="F46" s="38">
        <f t="shared" ca="1" si="4"/>
        <v>13</v>
      </c>
      <c r="G46" s="40" t="str" cm="1">
        <f t="array" ref="G46">IFERROR(IF(E46&lt;=$H$5,INDEX($A$16:$A$115,F46),""),"")</f>
        <v/>
      </c>
      <c r="H46"/>
      <c r="I46"/>
      <c r="J46"/>
      <c r="K46"/>
      <c r="L46"/>
      <c r="M46"/>
    </row>
    <row r="47" spans="1:13" ht="15.75" x14ac:dyDescent="0.5">
      <c r="A47" s="30">
        <v>85.283896812148896</v>
      </c>
      <c r="B47" s="32">
        <f t="shared" ca="1" si="2"/>
        <v>0.52999312984837577</v>
      </c>
      <c r="C47" s="33">
        <f t="shared" ca="1" si="3"/>
        <v>50</v>
      </c>
      <c r="D47"/>
      <c r="E47" s="36">
        <v>32</v>
      </c>
      <c r="F47" s="38">
        <f t="shared" ca="1" si="4"/>
        <v>41</v>
      </c>
      <c r="G47" s="40" t="str" cm="1">
        <f t="array" ref="G47">IFERROR(IF(E47&lt;=$H$5,INDEX($A$16:$A$115,F47),""),"")</f>
        <v/>
      </c>
      <c r="H47"/>
      <c r="I47"/>
      <c r="J47"/>
      <c r="K47"/>
      <c r="L47"/>
      <c r="M47"/>
    </row>
    <row r="48" spans="1:13" ht="15.75" x14ac:dyDescent="0.5">
      <c r="A48" s="30">
        <v>115.855473249299</v>
      </c>
      <c r="B48" s="32">
        <f t="shared" ref="B48:B79" ca="1" si="5">RAND()</f>
        <v>0.72872877453817253</v>
      </c>
      <c r="C48" s="33">
        <f t="shared" ref="C48:C79" ca="1" si="6">RANK(B48,$B$16:$B$115,0)</f>
        <v>30</v>
      </c>
      <c r="D48"/>
      <c r="E48" s="36">
        <v>33</v>
      </c>
      <c r="F48" s="38">
        <f t="shared" ref="F48:F79" ca="1" si="7">IFERROR(MATCH(LARGE($C$16:$C$115,E48),$C$16:$C$115,0),"")</f>
        <v>3</v>
      </c>
      <c r="G48" s="40" t="str" cm="1">
        <f t="array" ref="G48">IFERROR(IF(E48&lt;=$H$5,INDEX($A$16:$A$115,F48),""),"")</f>
        <v/>
      </c>
      <c r="H48"/>
      <c r="I48"/>
      <c r="J48"/>
      <c r="K48"/>
      <c r="L48"/>
      <c r="M48"/>
    </row>
    <row r="49" spans="1:13" ht="15.75" x14ac:dyDescent="0.5">
      <c r="A49" s="30">
        <v>54.041349123545103</v>
      </c>
      <c r="B49" s="32">
        <f t="shared" ca="1" si="5"/>
        <v>0.50065141847166605</v>
      </c>
      <c r="C49" s="33">
        <f t="shared" ca="1" si="6"/>
        <v>54</v>
      </c>
      <c r="D49"/>
      <c r="E49" s="36">
        <v>34</v>
      </c>
      <c r="F49" s="38">
        <f t="shared" ca="1" si="7"/>
        <v>93</v>
      </c>
      <c r="G49" s="40" t="str" cm="1">
        <f t="array" ref="G49">IFERROR(IF(E49&lt;=$H$5,INDEX($A$16:$A$115,F49),""),"")</f>
        <v/>
      </c>
      <c r="H49"/>
      <c r="I49"/>
      <c r="J49"/>
      <c r="K49"/>
      <c r="L49"/>
      <c r="M49"/>
    </row>
    <row r="50" spans="1:13" ht="15.75" x14ac:dyDescent="0.5">
      <c r="A50" s="30">
        <v>94.515744570183998</v>
      </c>
      <c r="B50" s="32">
        <f t="shared" ca="1" si="5"/>
        <v>0.30199140593105989</v>
      </c>
      <c r="C50" s="33">
        <f t="shared" ca="1" si="6"/>
        <v>75</v>
      </c>
      <c r="D50"/>
      <c r="E50" s="36">
        <v>35</v>
      </c>
      <c r="F50" s="38">
        <f t="shared" ca="1" si="7"/>
        <v>49</v>
      </c>
      <c r="G50" s="40" t="str" cm="1">
        <f t="array" ref="G50">IFERROR(IF(E50&lt;=$H$5,INDEX($A$16:$A$115,F50),""),"")</f>
        <v/>
      </c>
      <c r="H50"/>
      <c r="I50"/>
      <c r="J50"/>
      <c r="K50"/>
      <c r="L50"/>
      <c r="M50"/>
    </row>
    <row r="51" spans="1:13" ht="15.75" x14ac:dyDescent="0.5">
      <c r="A51" s="30">
        <v>112.394580094768</v>
      </c>
      <c r="B51" s="32">
        <f t="shared" ca="1" si="5"/>
        <v>0.40753579515874394</v>
      </c>
      <c r="C51" s="33">
        <f t="shared" ca="1" si="6"/>
        <v>63</v>
      </c>
      <c r="D51"/>
      <c r="E51" s="36">
        <v>36</v>
      </c>
      <c r="F51" s="38">
        <f t="shared" ca="1" si="7"/>
        <v>17</v>
      </c>
      <c r="G51" s="40" t="str" cm="1">
        <f t="array" ref="G51">IFERROR(IF(E51&lt;=$H$5,INDEX($A$16:$A$115,F51),""),"")</f>
        <v/>
      </c>
      <c r="H51"/>
      <c r="I51"/>
      <c r="J51"/>
      <c r="K51"/>
      <c r="L51"/>
      <c r="M51"/>
    </row>
    <row r="52" spans="1:13" ht="15.75" x14ac:dyDescent="0.5">
      <c r="A52" s="30">
        <v>118.366961668367</v>
      </c>
      <c r="B52" s="32">
        <f t="shared" ca="1" si="5"/>
        <v>0.95570328202252652</v>
      </c>
      <c r="C52" s="33">
        <f t="shared" ca="1" si="6"/>
        <v>5</v>
      </c>
      <c r="D52"/>
      <c r="E52" s="36">
        <v>37</v>
      </c>
      <c r="F52" s="38">
        <f t="shared" ca="1" si="7"/>
        <v>1</v>
      </c>
      <c r="G52" s="40" t="str" cm="1">
        <f t="array" ref="G52">IFERROR(IF(E52&lt;=$H$5,INDEX($A$16:$A$115,F52),""),"")</f>
        <v/>
      </c>
      <c r="H52"/>
      <c r="I52"/>
      <c r="J52"/>
      <c r="K52"/>
      <c r="L52"/>
      <c r="M52"/>
    </row>
    <row r="53" spans="1:13" ht="15.75" x14ac:dyDescent="0.5">
      <c r="A53" s="30">
        <v>106.148136359144</v>
      </c>
      <c r="B53" s="32">
        <f t="shared" ca="1" si="5"/>
        <v>0.12904450992971228</v>
      </c>
      <c r="C53" s="33">
        <f t="shared" ca="1" si="6"/>
        <v>91</v>
      </c>
      <c r="D53"/>
      <c r="E53" s="36">
        <v>38</v>
      </c>
      <c r="F53" s="38">
        <f t="shared" ca="1" si="7"/>
        <v>36</v>
      </c>
      <c r="G53" s="40" t="str" cm="1">
        <f t="array" ref="G53">IFERROR(IF(E53&lt;=$H$5,INDEX($A$16:$A$115,F53),""),"")</f>
        <v/>
      </c>
      <c r="H53"/>
      <c r="I53"/>
      <c r="J53"/>
      <c r="K53"/>
      <c r="L53"/>
      <c r="M53"/>
    </row>
    <row r="54" spans="1:13" ht="15.75" x14ac:dyDescent="0.5">
      <c r="A54" s="30">
        <v>103.74016886778</v>
      </c>
      <c r="B54" s="32">
        <f t="shared" ca="1" si="5"/>
        <v>0.4777655428083718</v>
      </c>
      <c r="C54" s="33">
        <f t="shared" ca="1" si="6"/>
        <v>57</v>
      </c>
      <c r="D54"/>
      <c r="E54" s="36">
        <v>39</v>
      </c>
      <c r="F54" s="38">
        <f t="shared" ca="1" si="7"/>
        <v>7</v>
      </c>
      <c r="G54" s="40" t="str" cm="1">
        <f t="array" ref="G54">IFERROR(IF(E54&lt;=$H$5,INDEX($A$16:$A$115,F54),""),"")</f>
        <v/>
      </c>
      <c r="H54"/>
      <c r="I54"/>
      <c r="J54"/>
      <c r="K54"/>
      <c r="L54"/>
      <c r="M54"/>
    </row>
    <row r="55" spans="1:13" ht="15.75" x14ac:dyDescent="0.5">
      <c r="A55" s="30">
        <v>111.159959475604</v>
      </c>
      <c r="B55" s="32">
        <f t="shared" ca="1" si="5"/>
        <v>0.62761772967780183</v>
      </c>
      <c r="C55" s="33">
        <f t="shared" ca="1" si="6"/>
        <v>44</v>
      </c>
      <c r="D55"/>
      <c r="E55" s="36">
        <v>40</v>
      </c>
      <c r="F55" s="38">
        <f t="shared" ca="1" si="7"/>
        <v>98</v>
      </c>
      <c r="G55" s="40" t="str" cm="1">
        <f t="array" ref="G55">IFERROR(IF(E55&lt;=$H$5,INDEX($A$16:$A$115,F55),""),"")</f>
        <v/>
      </c>
      <c r="H55"/>
      <c r="I55"/>
      <c r="J55"/>
      <c r="K55"/>
      <c r="L55"/>
      <c r="M55"/>
    </row>
    <row r="56" spans="1:13" ht="15.75" x14ac:dyDescent="0.5">
      <c r="A56" s="30">
        <v>92.855968547810903</v>
      </c>
      <c r="B56" s="32">
        <f t="shared" ca="1" si="5"/>
        <v>0.34912220525561177</v>
      </c>
      <c r="C56" s="33">
        <f t="shared" ca="1" si="6"/>
        <v>69</v>
      </c>
      <c r="D56"/>
      <c r="E56" s="36">
        <v>41</v>
      </c>
      <c r="F56" s="38">
        <f t="shared" ca="1" si="7"/>
        <v>16</v>
      </c>
      <c r="G56" s="40" t="str" cm="1">
        <f t="array" ref="G56">IFERROR(IF(E56&lt;=$H$5,INDEX($A$16:$A$115,F56),""),"")</f>
        <v/>
      </c>
      <c r="H56"/>
      <c r="I56"/>
      <c r="J56"/>
      <c r="K56"/>
      <c r="L56"/>
      <c r="M56"/>
    </row>
    <row r="57" spans="1:13" ht="15.75" x14ac:dyDescent="0.5">
      <c r="A57" s="30">
        <v>77.5819740154286</v>
      </c>
      <c r="B57" s="32">
        <f t="shared" ca="1" si="5"/>
        <v>0.90786801841050491</v>
      </c>
      <c r="C57" s="33">
        <f t="shared" ca="1" si="6"/>
        <v>8</v>
      </c>
      <c r="D57"/>
      <c r="E57" s="36">
        <v>42</v>
      </c>
      <c r="F57" s="38">
        <f t="shared" ca="1" si="7"/>
        <v>62</v>
      </c>
      <c r="G57" s="40" t="str" cm="1">
        <f t="array" ref="G57">IFERROR(IF(E57&lt;=$H$5,INDEX($A$16:$A$115,F57),""),"")</f>
        <v/>
      </c>
      <c r="H57"/>
      <c r="I57"/>
      <c r="J57"/>
      <c r="K57"/>
      <c r="L57"/>
      <c r="M57"/>
    </row>
    <row r="58" spans="1:13" ht="15.75" x14ac:dyDescent="0.5">
      <c r="A58" s="30">
        <v>81.328990691182398</v>
      </c>
      <c r="B58" s="32">
        <f t="shared" ca="1" si="5"/>
        <v>0.69492250903824559</v>
      </c>
      <c r="C58" s="33">
        <f t="shared" ca="1" si="6"/>
        <v>34</v>
      </c>
      <c r="D58"/>
      <c r="E58" s="36">
        <v>43</v>
      </c>
      <c r="F58" s="38">
        <f t="shared" ca="1" si="7"/>
        <v>8</v>
      </c>
      <c r="G58" s="40" t="str" cm="1">
        <f t="array" ref="G58">IFERROR(IF(E58&lt;=$H$5,INDEX($A$16:$A$115,F58),""),"")</f>
        <v/>
      </c>
      <c r="H58"/>
      <c r="I58"/>
      <c r="J58"/>
      <c r="K58"/>
      <c r="L58"/>
      <c r="M58"/>
    </row>
    <row r="59" spans="1:13" ht="15.75" x14ac:dyDescent="0.5">
      <c r="A59" s="30">
        <v>99.876591217764897</v>
      </c>
      <c r="B59" s="32">
        <f t="shared" ca="1" si="5"/>
        <v>0.97702317344041856</v>
      </c>
      <c r="C59" s="33">
        <f t="shared" ca="1" si="6"/>
        <v>4</v>
      </c>
      <c r="D59"/>
      <c r="E59" s="36">
        <v>44</v>
      </c>
      <c r="F59" s="38">
        <f t="shared" ca="1" si="7"/>
        <v>39</v>
      </c>
      <c r="G59" s="40" t="str" cm="1">
        <f t="array" ref="G59">IFERROR(IF(E59&lt;=$H$5,INDEX($A$16:$A$115,F59),""),"")</f>
        <v/>
      </c>
      <c r="H59"/>
      <c r="I59"/>
      <c r="J59"/>
      <c r="K59"/>
      <c r="L59"/>
      <c r="M59"/>
    </row>
    <row r="60" spans="1:13" ht="15.75" x14ac:dyDescent="0.5">
      <c r="A60" s="30">
        <v>104.610479189317</v>
      </c>
      <c r="B60" s="32">
        <f t="shared" ca="1" si="5"/>
        <v>0.3096870823613882</v>
      </c>
      <c r="C60" s="33">
        <f t="shared" ca="1" si="6"/>
        <v>73</v>
      </c>
      <c r="D60"/>
      <c r="E60" s="36">
        <v>45</v>
      </c>
      <c r="F60" s="38">
        <f t="shared" ca="1" si="7"/>
        <v>14</v>
      </c>
      <c r="G60" s="40" t="str" cm="1">
        <f t="array" ref="G60">IFERROR(IF(E60&lt;=$H$5,INDEX($A$16:$A$115,F60),""),"")</f>
        <v/>
      </c>
      <c r="H60"/>
      <c r="I60"/>
      <c r="J60"/>
      <c r="K60"/>
      <c r="L60"/>
      <c r="M60"/>
    </row>
    <row r="61" spans="1:13" ht="15.75" x14ac:dyDescent="0.5">
      <c r="A61" s="30">
        <v>93.768299536857498</v>
      </c>
      <c r="B61" s="32">
        <f t="shared" ca="1" si="5"/>
        <v>0.81633611972637155</v>
      </c>
      <c r="C61" s="33">
        <f t="shared" ca="1" si="6"/>
        <v>19</v>
      </c>
      <c r="D61"/>
      <c r="E61" s="36">
        <v>46</v>
      </c>
      <c r="F61" s="38">
        <f t="shared" ca="1" si="7"/>
        <v>88</v>
      </c>
      <c r="G61" s="40" t="str" cm="1">
        <f t="array" ref="G61">IFERROR(IF(E61&lt;=$H$5,INDEX($A$16:$A$115,F61),""),"")</f>
        <v/>
      </c>
      <c r="H61"/>
      <c r="I61"/>
      <c r="J61"/>
      <c r="K61"/>
      <c r="L61"/>
      <c r="M61"/>
    </row>
    <row r="62" spans="1:13" ht="15.75" x14ac:dyDescent="0.5">
      <c r="A62" s="30">
        <v>124.162227314812</v>
      </c>
      <c r="B62" s="32">
        <f t="shared" ca="1" si="5"/>
        <v>0.74469699746020812</v>
      </c>
      <c r="C62" s="33">
        <f t="shared" ca="1" si="6"/>
        <v>28</v>
      </c>
      <c r="D62"/>
      <c r="E62" s="36">
        <v>47</v>
      </c>
      <c r="F62" s="38">
        <f t="shared" ca="1" si="7"/>
        <v>34</v>
      </c>
      <c r="G62" s="40" t="str" cm="1">
        <f t="array" ref="G62">IFERROR(IF(E62&lt;=$H$5,INDEX($A$16:$A$115,F62),""),"")</f>
        <v/>
      </c>
      <c r="H62"/>
      <c r="I62"/>
      <c r="J62"/>
      <c r="K62"/>
      <c r="L62"/>
      <c r="M62"/>
    </row>
    <row r="63" spans="1:13" ht="15.75" x14ac:dyDescent="0.5">
      <c r="A63" s="30">
        <v>83.8090347848253</v>
      </c>
      <c r="B63" s="32">
        <f t="shared" ca="1" si="5"/>
        <v>0.81280153522459553</v>
      </c>
      <c r="C63" s="33">
        <f t="shared" ca="1" si="6"/>
        <v>20</v>
      </c>
      <c r="D63"/>
      <c r="E63" s="36">
        <v>48</v>
      </c>
      <c r="F63" s="38">
        <f t="shared" ca="1" si="7"/>
        <v>72</v>
      </c>
      <c r="G63" s="40" t="str" cm="1">
        <f t="array" ref="G63">IFERROR(IF(E63&lt;=$H$5,INDEX($A$16:$A$115,F63),""),"")</f>
        <v/>
      </c>
      <c r="H63"/>
      <c r="I63"/>
      <c r="J63"/>
      <c r="K63"/>
      <c r="L63"/>
      <c r="M63"/>
    </row>
    <row r="64" spans="1:13" ht="15.75" x14ac:dyDescent="0.5">
      <c r="A64" s="30">
        <v>128.75674320798399</v>
      </c>
      <c r="B64" s="32">
        <f t="shared" ca="1" si="5"/>
        <v>0.39084950330350621</v>
      </c>
      <c r="C64" s="33">
        <f t="shared" ca="1" si="6"/>
        <v>66</v>
      </c>
      <c r="D64"/>
      <c r="E64" s="36">
        <v>49</v>
      </c>
      <c r="F64" s="38">
        <f t="shared" ca="1" si="7"/>
        <v>92</v>
      </c>
      <c r="G64" s="40" t="str" cm="1">
        <f t="array" ref="G64">IFERROR(IF(E64&lt;=$H$5,INDEX($A$16:$A$115,F64),""),"")</f>
        <v/>
      </c>
      <c r="H64"/>
      <c r="I64"/>
      <c r="J64"/>
      <c r="K64"/>
      <c r="L64"/>
      <c r="M64"/>
    </row>
    <row r="65" spans="1:13" ht="15.75" x14ac:dyDescent="0.5">
      <c r="A65" s="30">
        <v>151.500193438487</v>
      </c>
      <c r="B65" s="32">
        <f t="shared" ca="1" si="5"/>
        <v>0.58960532024205281</v>
      </c>
      <c r="C65" s="33">
        <f t="shared" ca="1" si="6"/>
        <v>46</v>
      </c>
      <c r="D65"/>
      <c r="E65" s="36">
        <v>50</v>
      </c>
      <c r="F65" s="38">
        <f t="shared" ca="1" si="7"/>
        <v>78</v>
      </c>
      <c r="G65" s="40" t="str" cm="1">
        <f t="array" ref="G65">IFERROR(IF(E65&lt;=$H$5,INDEX($A$16:$A$115,F65),""),"")</f>
        <v/>
      </c>
      <c r="H65"/>
      <c r="I65"/>
      <c r="J65"/>
      <c r="K65"/>
      <c r="L65"/>
      <c r="M65"/>
    </row>
    <row r="66" spans="1:13" ht="15.75" x14ac:dyDescent="0.5">
      <c r="A66" s="30">
        <v>126.230122164539</v>
      </c>
      <c r="B66" s="32">
        <f t="shared" ca="1" si="5"/>
        <v>0.8604672261422629</v>
      </c>
      <c r="C66" s="33">
        <f t="shared" ca="1" si="6"/>
        <v>17</v>
      </c>
      <c r="D66"/>
      <c r="E66" s="36">
        <v>51</v>
      </c>
      <c r="F66" s="38">
        <f t="shared" ca="1" si="7"/>
        <v>32</v>
      </c>
      <c r="G66" s="40" t="str" cm="1">
        <f t="array" ref="G66">IFERROR(IF(E66&lt;=$H$5,INDEX($A$16:$A$115,F66),""),"")</f>
        <v/>
      </c>
      <c r="H66"/>
      <c r="I66"/>
      <c r="J66"/>
      <c r="K66"/>
      <c r="L66"/>
      <c r="M66"/>
    </row>
    <row r="67" spans="1:13" ht="15.75" x14ac:dyDescent="0.5">
      <c r="A67" s="30">
        <v>52.132200924833697</v>
      </c>
      <c r="B67" s="32">
        <f t="shared" ca="1" si="5"/>
        <v>1.6648040237364548E-2</v>
      </c>
      <c r="C67" s="33">
        <f t="shared" ca="1" si="6"/>
        <v>100</v>
      </c>
      <c r="D67"/>
      <c r="E67" s="36">
        <v>52</v>
      </c>
      <c r="F67" s="38">
        <f t="shared" ca="1" si="7"/>
        <v>58</v>
      </c>
      <c r="G67" s="40" t="str" cm="1">
        <f t="array" ref="G67">IFERROR(IF(E67&lt;=$H$5,INDEX($A$16:$A$115,F67),""),"")</f>
        <v/>
      </c>
      <c r="H67"/>
      <c r="I67"/>
      <c r="J67"/>
      <c r="K67"/>
      <c r="L67"/>
      <c r="M67"/>
    </row>
    <row r="68" spans="1:13" ht="15.75" x14ac:dyDescent="0.5">
      <c r="A68" s="30">
        <v>98.415875744334301</v>
      </c>
      <c r="B68" s="32">
        <f t="shared" ca="1" si="5"/>
        <v>0.71160969435870847</v>
      </c>
      <c r="C68" s="33">
        <f t="shared" ca="1" si="6"/>
        <v>31</v>
      </c>
      <c r="D68"/>
      <c r="E68" s="36">
        <v>53</v>
      </c>
      <c r="F68" s="38">
        <f t="shared" ca="1" si="7"/>
        <v>79</v>
      </c>
      <c r="G68" s="40" t="str" cm="1">
        <f t="array" ref="G68">IFERROR(IF(E68&lt;=$H$5,INDEX($A$16:$A$115,F68),""),"")</f>
        <v/>
      </c>
      <c r="H68"/>
      <c r="I68"/>
      <c r="J68"/>
      <c r="K68"/>
      <c r="L68"/>
      <c r="M68"/>
    </row>
    <row r="69" spans="1:13" ht="15.75" x14ac:dyDescent="0.5">
      <c r="A69" s="30">
        <v>128.26490693670101</v>
      </c>
      <c r="B69" s="32">
        <f t="shared" ca="1" si="5"/>
        <v>0.20092969641578784</v>
      </c>
      <c r="C69" s="33">
        <f t="shared" ca="1" si="6"/>
        <v>87</v>
      </c>
      <c r="D69"/>
      <c r="E69" s="36">
        <v>54</v>
      </c>
      <c r="F69" s="38">
        <f t="shared" ca="1" si="7"/>
        <v>80</v>
      </c>
      <c r="G69" s="40" t="str" cm="1">
        <f t="array" ref="G69">IFERROR(IF(E69&lt;=$H$5,INDEX($A$16:$A$115,F69),""),"")</f>
        <v/>
      </c>
      <c r="H69"/>
      <c r="I69"/>
      <c r="J69"/>
      <c r="K69"/>
      <c r="L69"/>
      <c r="M69"/>
    </row>
    <row r="70" spans="1:13" ht="15.75" x14ac:dyDescent="0.5">
      <c r="A70" s="30">
        <v>87.489208887171898</v>
      </c>
      <c r="B70" s="32">
        <f t="shared" ca="1" si="5"/>
        <v>0.23495927834141406</v>
      </c>
      <c r="C70" s="33">
        <f t="shared" ca="1" si="6"/>
        <v>80</v>
      </c>
      <c r="D70"/>
      <c r="E70" s="36">
        <v>55</v>
      </c>
      <c r="F70" s="38">
        <f t="shared" ca="1" si="7"/>
        <v>50</v>
      </c>
      <c r="G70" s="40" t="str" cm="1">
        <f t="array" ref="G70">IFERROR(IF(E70&lt;=$H$5,INDEX($A$16:$A$115,F70),""),"")</f>
        <v/>
      </c>
      <c r="H70"/>
      <c r="I70"/>
      <c r="J70"/>
      <c r="K70"/>
      <c r="L70"/>
      <c r="M70"/>
    </row>
    <row r="71" spans="1:13" ht="15.75" x14ac:dyDescent="0.5">
      <c r="A71" s="30">
        <v>74.1316926136425</v>
      </c>
      <c r="B71" s="32">
        <f t="shared" ca="1" si="5"/>
        <v>0.3144629442794693</v>
      </c>
      <c r="C71" s="33">
        <f t="shared" ca="1" si="6"/>
        <v>72</v>
      </c>
      <c r="D71"/>
      <c r="E71" s="36">
        <v>56</v>
      </c>
      <c r="F71" s="38">
        <f t="shared" ca="1" si="7"/>
        <v>61</v>
      </c>
      <c r="G71" s="40" t="str" cm="1">
        <f t="array" ref="G71">IFERROR(IF(E71&lt;=$H$5,INDEX($A$16:$A$115,F71),""),"")</f>
        <v/>
      </c>
      <c r="H71"/>
      <c r="I71"/>
      <c r="J71"/>
      <c r="K71"/>
      <c r="L71"/>
      <c r="M71"/>
    </row>
    <row r="72" spans="1:13" ht="15.75" x14ac:dyDescent="0.5">
      <c r="A72" s="30">
        <v>130.68960066744501</v>
      </c>
      <c r="B72" s="32">
        <f t="shared" ca="1" si="5"/>
        <v>0.65049334259685943</v>
      </c>
      <c r="C72" s="33">
        <f t="shared" ca="1" si="6"/>
        <v>39</v>
      </c>
      <c r="D72"/>
      <c r="E72" s="36">
        <v>57</v>
      </c>
      <c r="F72" s="38">
        <f t="shared" ca="1" si="7"/>
        <v>40</v>
      </c>
      <c r="G72" s="40" t="str" cm="1">
        <f t="array" ref="G72">IFERROR(IF(E72&lt;=$H$5,INDEX($A$16:$A$115,F72),""),"")</f>
        <v/>
      </c>
      <c r="H72"/>
      <c r="I72"/>
      <c r="J72"/>
      <c r="K72"/>
      <c r="L72"/>
      <c r="M72"/>
    </row>
    <row r="73" spans="1:13" ht="15.75" x14ac:dyDescent="0.5">
      <c r="A73" s="30">
        <v>116.10272113715099</v>
      </c>
      <c r="B73" s="32">
        <f t="shared" ca="1" si="5"/>
        <v>0.53859287416588542</v>
      </c>
      <c r="C73" s="33">
        <f t="shared" ca="1" si="6"/>
        <v>49</v>
      </c>
      <c r="D73"/>
      <c r="E73" s="36">
        <v>58</v>
      </c>
      <c r="F73" s="38">
        <f t="shared" ca="1" si="7"/>
        <v>24</v>
      </c>
      <c r="G73" s="40" t="str" cm="1">
        <f t="array" ref="G73">IFERROR(IF(E73&lt;=$H$5,INDEX($A$16:$A$115,F73),""),"")</f>
        <v/>
      </c>
      <c r="H73"/>
      <c r="I73"/>
      <c r="J73"/>
      <c r="K73"/>
      <c r="L73"/>
      <c r="M73"/>
    </row>
    <row r="74" spans="1:13" ht="15.75" x14ac:dyDescent="0.5">
      <c r="A74" s="30">
        <v>81.017848659597902</v>
      </c>
      <c r="B74" s="32">
        <f t="shared" ca="1" si="5"/>
        <v>0.23045797984396099</v>
      </c>
      <c r="C74" s="33">
        <f t="shared" ca="1" si="6"/>
        <v>83</v>
      </c>
      <c r="D74"/>
      <c r="E74" s="36">
        <v>59</v>
      </c>
      <c r="F74" s="38">
        <f t="shared" ca="1" si="7"/>
        <v>86</v>
      </c>
      <c r="G74" s="40" t="str" cm="1">
        <f t="array" ref="G74">IFERROR(IF(E74&lt;=$H$5,INDEX($A$16:$A$115,F74),""),"")</f>
        <v/>
      </c>
      <c r="H74"/>
      <c r="I74"/>
      <c r="J74"/>
      <c r="K74"/>
      <c r="L74"/>
      <c r="M74"/>
    </row>
    <row r="75" spans="1:13" ht="15.75" x14ac:dyDescent="0.5">
      <c r="A75" s="30">
        <v>78.135844973458703</v>
      </c>
      <c r="B75" s="32">
        <f t="shared" ca="1" si="5"/>
        <v>9.2051352235741679E-2</v>
      </c>
      <c r="C75" s="33">
        <f t="shared" ca="1" si="6"/>
        <v>95</v>
      </c>
      <c r="D75"/>
      <c r="E75" s="36">
        <v>60</v>
      </c>
      <c r="F75" s="38">
        <f t="shared" ca="1" si="7"/>
        <v>11</v>
      </c>
      <c r="G75" s="40" t="str" cm="1">
        <f t="array" ref="G75">IFERROR(IF(E75&lt;=$H$5,INDEX($A$16:$A$115,F75),""),"")</f>
        <v/>
      </c>
      <c r="H75"/>
      <c r="I75"/>
      <c r="J75"/>
      <c r="K75"/>
      <c r="L75"/>
      <c r="M75"/>
    </row>
    <row r="76" spans="1:13" ht="15.75" x14ac:dyDescent="0.5">
      <c r="A76" s="30">
        <v>83.820615099382806</v>
      </c>
      <c r="B76" s="32">
        <f t="shared" ca="1" si="5"/>
        <v>0.61446518041306653</v>
      </c>
      <c r="C76" s="33">
        <f t="shared" ca="1" si="6"/>
        <v>45</v>
      </c>
      <c r="D76"/>
      <c r="E76" s="36">
        <v>61</v>
      </c>
      <c r="F76" s="38">
        <f t="shared" ca="1" si="7"/>
        <v>87</v>
      </c>
      <c r="G76" s="40" t="str" cm="1">
        <f t="array" ref="G76">IFERROR(IF(E76&lt;=$H$5,INDEX($A$16:$A$115,F76),""),"")</f>
        <v/>
      </c>
      <c r="H76"/>
      <c r="I76"/>
      <c r="J76"/>
      <c r="K76"/>
      <c r="L76"/>
      <c r="M76"/>
    </row>
    <row r="77" spans="1:13" ht="15.75" x14ac:dyDescent="0.5">
      <c r="A77" s="30">
        <v>107.576239256723</v>
      </c>
      <c r="B77" s="32">
        <f t="shared" ca="1" si="5"/>
        <v>0.46473547357514744</v>
      </c>
      <c r="C77" s="33">
        <f t="shared" ca="1" si="6"/>
        <v>59</v>
      </c>
      <c r="D77"/>
      <c r="E77" s="36">
        <v>62</v>
      </c>
      <c r="F77" s="38">
        <f t="shared" ca="1" si="7"/>
        <v>57</v>
      </c>
      <c r="G77" s="40" t="str" cm="1">
        <f t="array" ref="G77">IFERROR(IF(E77&lt;=$H$5,INDEX($A$16:$A$115,F77),""),"")</f>
        <v/>
      </c>
      <c r="H77"/>
      <c r="I77"/>
      <c r="J77"/>
      <c r="K77"/>
      <c r="L77"/>
      <c r="M77"/>
    </row>
    <row r="78" spans="1:13" ht="15.75" x14ac:dyDescent="0.5">
      <c r="A78" s="30">
        <v>105.01693823932</v>
      </c>
      <c r="B78" s="32">
        <f t="shared" ca="1" si="5"/>
        <v>9.1344248954754792E-2</v>
      </c>
      <c r="C78" s="33">
        <f t="shared" ca="1" si="6"/>
        <v>96</v>
      </c>
      <c r="D78"/>
      <c r="E78" s="36">
        <v>63</v>
      </c>
      <c r="F78" s="38">
        <f t="shared" ca="1" si="7"/>
        <v>100</v>
      </c>
      <c r="G78" s="40" t="str" cm="1">
        <f t="array" ref="G78">IFERROR(IF(E78&lt;=$H$5,INDEX($A$16:$A$115,F78),""),"")</f>
        <v/>
      </c>
      <c r="H78"/>
      <c r="I78"/>
      <c r="J78"/>
      <c r="K78"/>
      <c r="L78"/>
      <c r="M78"/>
    </row>
    <row r="79" spans="1:13" ht="15.75" x14ac:dyDescent="0.5">
      <c r="A79" s="30">
        <v>65.324348675225806</v>
      </c>
      <c r="B79" s="32">
        <f t="shared" ca="1" si="5"/>
        <v>0.24962114154679615</v>
      </c>
      <c r="C79" s="33">
        <f t="shared" ca="1" si="6"/>
        <v>78</v>
      </c>
      <c r="D79"/>
      <c r="E79" s="36">
        <v>64</v>
      </c>
      <c r="F79" s="38">
        <f t="shared" ca="1" si="7"/>
        <v>77</v>
      </c>
      <c r="G79" s="40" t="str" cm="1">
        <f t="array" ref="G79">IFERROR(IF(E79&lt;=$H$5,INDEX($A$16:$A$115,F79),""),"")</f>
        <v/>
      </c>
      <c r="H79"/>
      <c r="I79"/>
      <c r="J79"/>
      <c r="K79"/>
      <c r="L79"/>
      <c r="M79"/>
    </row>
    <row r="80" spans="1:13" ht="15.75" x14ac:dyDescent="0.5">
      <c r="A80" s="30">
        <v>106.19519591759401</v>
      </c>
      <c r="B80" s="32">
        <f t="shared" ref="B80:B115" ca="1" si="8">RAND()</f>
        <v>0.98762581449514708</v>
      </c>
      <c r="C80" s="33">
        <f t="shared" ref="C80:C111" ca="1" si="9">RANK(B80,$B$16:$B$115,0)</f>
        <v>2</v>
      </c>
      <c r="D80"/>
      <c r="E80" s="36">
        <v>65</v>
      </c>
      <c r="F80" s="38">
        <f t="shared" ref="F80:F111" ca="1" si="10">IFERROR(MATCH(LARGE($C$16:$C$115,E80),$C$16:$C$115,0),"")</f>
        <v>89</v>
      </c>
      <c r="G80" s="40" t="str" cm="1">
        <f t="array" ref="G80">IFERROR(IF(E80&lt;=$H$5,INDEX($A$16:$A$115,F80),""),"")</f>
        <v/>
      </c>
      <c r="H80"/>
      <c r="I80"/>
      <c r="J80"/>
      <c r="K80"/>
      <c r="L80"/>
      <c r="M80"/>
    </row>
    <row r="81" spans="1:13" ht="15.75" x14ac:dyDescent="0.5">
      <c r="A81" s="30">
        <v>106.785749961683</v>
      </c>
      <c r="B81" s="32">
        <f t="shared" ca="1" si="8"/>
        <v>0.73332387233177831</v>
      </c>
      <c r="C81" s="33">
        <f t="shared" ca="1" si="9"/>
        <v>29</v>
      </c>
      <c r="D81"/>
      <c r="E81" s="36">
        <v>66</v>
      </c>
      <c r="F81" s="38">
        <f t="shared" ca="1" si="10"/>
        <v>81</v>
      </c>
      <c r="G81" s="40" t="str" cm="1">
        <f t="array" ref="G81">IFERROR(IF(E81&lt;=$H$5,INDEX($A$16:$A$115,F81),""),"")</f>
        <v/>
      </c>
      <c r="H81"/>
      <c r="I81"/>
      <c r="J81"/>
      <c r="K81"/>
      <c r="L81"/>
      <c r="M81"/>
    </row>
    <row r="82" spans="1:13" ht="15.75" x14ac:dyDescent="0.5">
      <c r="A82" s="30">
        <v>89.360196870823899</v>
      </c>
      <c r="B82" s="32">
        <f t="shared" ca="1" si="8"/>
        <v>0.87320967215878653</v>
      </c>
      <c r="C82" s="33">
        <f t="shared" ca="1" si="9"/>
        <v>12</v>
      </c>
      <c r="D82"/>
      <c r="E82" s="36">
        <v>67</v>
      </c>
      <c r="F82" s="38">
        <f t="shared" ca="1" si="10"/>
        <v>43</v>
      </c>
      <c r="G82" s="40" t="str" cm="1">
        <f t="array" ref="G82">IFERROR(IF(E82&lt;=$H$5,INDEX($A$16:$A$115,F82),""),"")</f>
        <v/>
      </c>
      <c r="H82"/>
      <c r="I82"/>
      <c r="J82"/>
      <c r="K82"/>
      <c r="L82"/>
      <c r="M82"/>
    </row>
    <row r="83" spans="1:13" ht="15.75" x14ac:dyDescent="0.5">
      <c r="A83" s="30">
        <v>109.18540314182501</v>
      </c>
      <c r="B83" s="32">
        <f t="shared" ca="1" si="8"/>
        <v>0.23594546148034001</v>
      </c>
      <c r="C83" s="33">
        <f t="shared" ca="1" si="9"/>
        <v>79</v>
      </c>
      <c r="D83"/>
      <c r="E83" s="36">
        <v>68</v>
      </c>
      <c r="F83" s="38">
        <f t="shared" ca="1" si="10"/>
        <v>27</v>
      </c>
      <c r="G83" s="40" t="str" cm="1">
        <f t="array" ref="G83">IFERROR(IF(E83&lt;=$H$5,INDEX($A$16:$A$115,F83),""),"")</f>
        <v/>
      </c>
      <c r="H83"/>
      <c r="I83"/>
      <c r="J83"/>
      <c r="K83"/>
      <c r="L83"/>
      <c r="M83"/>
    </row>
    <row r="84" spans="1:13" ht="15.75" x14ac:dyDescent="0.5">
      <c r="A84" s="30">
        <v>99.621775049417295</v>
      </c>
      <c r="B84" s="32">
        <f t="shared" ca="1" si="8"/>
        <v>0.80435409365247901</v>
      </c>
      <c r="C84" s="33">
        <f t="shared" ca="1" si="9"/>
        <v>22</v>
      </c>
      <c r="D84"/>
      <c r="E84" s="36">
        <v>69</v>
      </c>
      <c r="F84" s="38">
        <f t="shared" ca="1" si="10"/>
        <v>29</v>
      </c>
      <c r="G84" s="40" t="str" cm="1">
        <f t="array" ref="G84">IFERROR(IF(E84&lt;=$H$5,INDEX($A$16:$A$115,F84),""),"")</f>
        <v/>
      </c>
      <c r="H84"/>
      <c r="I84"/>
      <c r="J84"/>
      <c r="K84"/>
      <c r="L84"/>
      <c r="M84"/>
    </row>
    <row r="85" spans="1:13" ht="15.75" x14ac:dyDescent="0.5">
      <c r="A85" s="30">
        <v>121.874919640646</v>
      </c>
      <c r="B85" s="32">
        <f t="shared" ca="1" si="8"/>
        <v>0.21838420325747554</v>
      </c>
      <c r="C85" s="33">
        <f t="shared" ca="1" si="9"/>
        <v>86</v>
      </c>
      <c r="D85"/>
      <c r="E85" s="36">
        <v>70</v>
      </c>
      <c r="F85" s="38">
        <f t="shared" ca="1" si="10"/>
        <v>53</v>
      </c>
      <c r="G85" s="40" t="str" cm="1">
        <f t="array" ref="G85">IFERROR(IF(E85&lt;=$H$5,INDEX($A$16:$A$115,F85),""),"")</f>
        <v/>
      </c>
      <c r="H85"/>
      <c r="I85"/>
      <c r="J85"/>
      <c r="K85"/>
      <c r="L85"/>
      <c r="M85"/>
    </row>
    <row r="86" spans="1:13" ht="15.75" x14ac:dyDescent="0.5">
      <c r="A86" s="30">
        <v>124.218470007307</v>
      </c>
      <c r="B86" s="32">
        <f t="shared" ca="1" si="8"/>
        <v>0.2248206150766755</v>
      </c>
      <c r="C86" s="33">
        <f t="shared" ca="1" si="9"/>
        <v>85</v>
      </c>
      <c r="D86"/>
      <c r="E86" s="36">
        <v>71</v>
      </c>
      <c r="F86" s="38">
        <f t="shared" ca="1" si="10"/>
        <v>33</v>
      </c>
      <c r="G86" s="40" t="str" cm="1">
        <f t="array" ref="G86">IFERROR(IF(E86&lt;=$H$5,INDEX($A$16:$A$115,F86),""),"")</f>
        <v/>
      </c>
      <c r="H86"/>
      <c r="I86"/>
      <c r="J86"/>
      <c r="K86"/>
      <c r="L86"/>
      <c r="M86"/>
    </row>
    <row r="87" spans="1:13" ht="15.75" x14ac:dyDescent="0.5">
      <c r="A87" s="30">
        <v>108.243888096093</v>
      </c>
      <c r="B87" s="32">
        <f t="shared" ca="1" si="8"/>
        <v>0.51565097830651951</v>
      </c>
      <c r="C87" s="33">
        <f t="shared" ca="1" si="9"/>
        <v>53</v>
      </c>
      <c r="D87"/>
      <c r="E87" s="36">
        <v>72</v>
      </c>
      <c r="F87" s="38">
        <f t="shared" ca="1" si="10"/>
        <v>66</v>
      </c>
      <c r="G87" s="40" t="str" cm="1">
        <f t="array" ref="G87">IFERROR(IF(E87&lt;=$H$5,INDEX($A$16:$A$115,F87),""),"")</f>
        <v/>
      </c>
      <c r="H87"/>
      <c r="I87"/>
      <c r="J87"/>
      <c r="K87"/>
      <c r="L87"/>
      <c r="M87"/>
    </row>
    <row r="88" spans="1:13" ht="15.75" x14ac:dyDescent="0.5">
      <c r="A88" s="30">
        <v>91.786957663196304</v>
      </c>
      <c r="B88" s="32">
        <f t="shared" ca="1" si="8"/>
        <v>0.80779324625032312</v>
      </c>
      <c r="C88" s="33">
        <f t="shared" ca="1" si="9"/>
        <v>21</v>
      </c>
      <c r="D88"/>
      <c r="E88" s="36">
        <v>73</v>
      </c>
      <c r="F88" s="38">
        <f t="shared" ca="1" si="10"/>
        <v>47</v>
      </c>
      <c r="G88" s="40" t="str" cm="1">
        <f t="array" ref="G88">IFERROR(IF(E88&lt;=$H$5,INDEX($A$16:$A$115,F88),""),"")</f>
        <v/>
      </c>
      <c r="H88"/>
      <c r="I88"/>
      <c r="J88"/>
      <c r="K88"/>
      <c r="L88"/>
      <c r="M88"/>
    </row>
    <row r="89" spans="1:13" ht="15.75" x14ac:dyDescent="0.5">
      <c r="A89" s="30">
        <v>80.899005337957007</v>
      </c>
      <c r="B89" s="32">
        <f t="shared" ca="1" si="8"/>
        <v>0.23154720367408921</v>
      </c>
      <c r="C89" s="33">
        <f t="shared" ca="1" si="9"/>
        <v>82</v>
      </c>
      <c r="D89"/>
      <c r="E89" s="36">
        <v>74</v>
      </c>
      <c r="F89" s="38">
        <f t="shared" ca="1" si="10"/>
        <v>25</v>
      </c>
      <c r="G89" s="40" t="str" cm="1">
        <f t="array" ref="G89">IFERROR(IF(E89&lt;=$H$5,INDEX($A$16:$A$115,F89),""),"")</f>
        <v/>
      </c>
      <c r="H89"/>
      <c r="I89"/>
      <c r="J89"/>
      <c r="K89"/>
      <c r="L89"/>
      <c r="M89"/>
    </row>
    <row r="90" spans="1:13" ht="15.75" x14ac:dyDescent="0.5">
      <c r="A90" s="30">
        <v>120.032008218979</v>
      </c>
      <c r="B90" s="32">
        <f t="shared" ca="1" si="8"/>
        <v>9.6399104472791319E-2</v>
      </c>
      <c r="C90" s="33">
        <f t="shared" ca="1" si="9"/>
        <v>94</v>
      </c>
      <c r="D90"/>
      <c r="E90" s="36">
        <v>75</v>
      </c>
      <c r="F90" s="38">
        <f t="shared" ca="1" si="10"/>
        <v>9</v>
      </c>
      <c r="G90" s="40" t="str" cm="1">
        <f t="array" ref="G90">IFERROR(IF(E90&lt;=$H$5,INDEX($A$16:$A$115,F90),""),"")</f>
        <v/>
      </c>
      <c r="H90"/>
      <c r="I90"/>
      <c r="J90"/>
      <c r="K90"/>
      <c r="L90"/>
      <c r="M90"/>
    </row>
    <row r="91" spans="1:13" ht="15.75" x14ac:dyDescent="0.5">
      <c r="A91" s="30">
        <v>96.077653470848006</v>
      </c>
      <c r="B91" s="32">
        <f t="shared" ca="1" si="8"/>
        <v>0.99512009113984334</v>
      </c>
      <c r="C91" s="33">
        <f t="shared" ca="1" si="9"/>
        <v>1</v>
      </c>
      <c r="D91"/>
      <c r="E91" s="36">
        <v>76</v>
      </c>
      <c r="F91" s="38">
        <f t="shared" ca="1" si="10"/>
        <v>82</v>
      </c>
      <c r="G91" s="40" t="str" cm="1">
        <f t="array" ref="G91">IFERROR(IF(E91&lt;=$H$5,INDEX($A$16:$A$115,F91),""),"")</f>
        <v/>
      </c>
      <c r="H91"/>
      <c r="I91"/>
      <c r="J91"/>
      <c r="K91"/>
      <c r="L91"/>
      <c r="M91"/>
    </row>
    <row r="92" spans="1:13" ht="15.75" x14ac:dyDescent="0.5">
      <c r="A92" s="30">
        <v>99.588409511466693</v>
      </c>
      <c r="B92" s="32">
        <f t="shared" ca="1" si="8"/>
        <v>0.66239312760951941</v>
      </c>
      <c r="C92" s="33">
        <f t="shared" ca="1" si="9"/>
        <v>37</v>
      </c>
      <c r="D92"/>
      <c r="E92" s="36">
        <v>77</v>
      </c>
      <c r="F92" s="38">
        <f t="shared" ca="1" si="10"/>
        <v>96</v>
      </c>
      <c r="G92" s="40" t="str" cm="1">
        <f t="array" ref="G92">IFERROR(IF(E92&lt;=$H$5,INDEX($A$16:$A$115,F92),""),"")</f>
        <v/>
      </c>
      <c r="H92"/>
      <c r="I92"/>
      <c r="J92"/>
      <c r="K92"/>
      <c r="L92"/>
      <c r="M92"/>
    </row>
    <row r="93" spans="1:13" ht="15.75" x14ac:dyDescent="0.5">
      <c r="A93" s="30">
        <v>85.730792163561304</v>
      </c>
      <c r="B93" s="32">
        <f t="shared" ca="1" si="8"/>
        <v>0.52321477860216481</v>
      </c>
      <c r="C93" s="33">
        <f t="shared" ca="1" si="9"/>
        <v>51</v>
      </c>
      <c r="D93"/>
      <c r="E93" s="36">
        <v>78</v>
      </c>
      <c r="F93" s="38">
        <f t="shared" ca="1" si="10"/>
        <v>99</v>
      </c>
      <c r="G93" s="40" t="str" cm="1">
        <f t="array" ref="G93">IFERROR(IF(E93&lt;=$H$5,INDEX($A$16:$A$115,F93),""),"")</f>
        <v/>
      </c>
      <c r="H93"/>
      <c r="I93"/>
      <c r="J93"/>
      <c r="K93"/>
      <c r="L93"/>
      <c r="M93"/>
    </row>
    <row r="94" spans="1:13" ht="15.75" x14ac:dyDescent="0.5">
      <c r="A94" s="30">
        <v>88.346772507844406</v>
      </c>
      <c r="B94" s="32">
        <f t="shared" ca="1" si="8"/>
        <v>0.55876449162981667</v>
      </c>
      <c r="C94" s="33">
        <f t="shared" ca="1" si="9"/>
        <v>48</v>
      </c>
      <c r="D94"/>
      <c r="E94" s="36">
        <v>79</v>
      </c>
      <c r="F94" s="38">
        <f t="shared" ca="1" si="10"/>
        <v>69</v>
      </c>
      <c r="G94" s="40" t="str" cm="1">
        <f t="array" ref="G94">IFERROR(IF(E94&lt;=$H$5,INDEX($A$16:$A$115,F94),""),"")</f>
        <v/>
      </c>
      <c r="H94"/>
      <c r="I94"/>
      <c r="J94"/>
      <c r="K94"/>
      <c r="L94"/>
      <c r="M94"/>
    </row>
    <row r="95" spans="1:13" ht="15.75" x14ac:dyDescent="0.5">
      <c r="A95" s="30">
        <v>98.849004981171305</v>
      </c>
      <c r="B95" s="32">
        <f t="shared" ca="1" si="8"/>
        <v>0.56876089341480485</v>
      </c>
      <c r="C95" s="33">
        <f t="shared" ca="1" si="9"/>
        <v>47</v>
      </c>
      <c r="D95"/>
      <c r="E95" s="36">
        <v>80</v>
      </c>
      <c r="F95" s="38">
        <f t="shared" ca="1" si="10"/>
        <v>73</v>
      </c>
      <c r="G95" s="40" t="str" cm="1">
        <f t="array" ref="G95">IFERROR(IF(E95&lt;=$H$5,INDEX($A$16:$A$115,F95),""),"")</f>
        <v/>
      </c>
      <c r="H95"/>
      <c r="I95"/>
      <c r="J95"/>
      <c r="K95"/>
      <c r="L95"/>
      <c r="M95"/>
    </row>
    <row r="96" spans="1:13" ht="15.75" x14ac:dyDescent="0.5">
      <c r="A96" s="30">
        <v>121.374551709198</v>
      </c>
      <c r="B96" s="32">
        <f t="shared" ca="1" si="8"/>
        <v>0.68226157183748093</v>
      </c>
      <c r="C96" s="33">
        <f t="shared" ca="1" si="9"/>
        <v>35</v>
      </c>
      <c r="D96"/>
      <c r="E96" s="36">
        <v>81</v>
      </c>
      <c r="F96" s="38">
        <f t="shared" ca="1" si="10"/>
        <v>48</v>
      </c>
      <c r="G96" s="40" t="str" cm="1">
        <f t="array" ref="G96">IFERROR(IF(E96&lt;=$H$5,INDEX($A$16:$A$115,F96),""),"")</f>
        <v/>
      </c>
      <c r="H96"/>
      <c r="I96"/>
      <c r="J96"/>
      <c r="K96"/>
      <c r="L96"/>
      <c r="M96"/>
    </row>
    <row r="97" spans="1:13" ht="15.75" x14ac:dyDescent="0.5">
      <c r="A97" s="30">
        <v>74.358835956030205</v>
      </c>
      <c r="B97" s="32">
        <f t="shared" ca="1" si="8"/>
        <v>0.75743726515012677</v>
      </c>
      <c r="C97" s="33">
        <f t="shared" ca="1" si="9"/>
        <v>25</v>
      </c>
      <c r="D97"/>
      <c r="E97" s="36">
        <v>82</v>
      </c>
      <c r="F97" s="38">
        <f t="shared" ca="1" si="10"/>
        <v>46</v>
      </c>
      <c r="G97" s="40" t="str" cm="1">
        <f t="array" ref="G97">IFERROR(IF(E97&lt;=$H$5,INDEX($A$16:$A$115,F97),""),"")</f>
        <v/>
      </c>
      <c r="H97"/>
      <c r="I97"/>
      <c r="J97"/>
      <c r="K97"/>
      <c r="L97"/>
      <c r="M97"/>
    </row>
    <row r="98" spans="1:13" ht="15.75" x14ac:dyDescent="0.5">
      <c r="A98" s="30">
        <v>88.795000771808304</v>
      </c>
      <c r="B98" s="32">
        <f t="shared" ca="1" si="8"/>
        <v>0.86580869718685682</v>
      </c>
      <c r="C98" s="33">
        <f t="shared" ca="1" si="9"/>
        <v>14</v>
      </c>
      <c r="D98"/>
      <c r="E98" s="36">
        <v>83</v>
      </c>
      <c r="F98" s="38">
        <f t="shared" ca="1" si="10"/>
        <v>2</v>
      </c>
      <c r="G98" s="40" t="str" cm="1">
        <f t="array" ref="G98">IFERROR(IF(E98&lt;=$H$5,INDEX($A$16:$A$115,F98),""),"")</f>
        <v/>
      </c>
      <c r="H98"/>
      <c r="I98"/>
      <c r="J98"/>
      <c r="K98"/>
      <c r="L98"/>
      <c r="M98"/>
    </row>
    <row r="99" spans="1:13" ht="15.75" x14ac:dyDescent="0.5">
      <c r="A99" s="30">
        <v>98.679985197854805</v>
      </c>
      <c r="B99" s="32">
        <f t="shared" ca="1" si="8"/>
        <v>0.26920197348204666</v>
      </c>
      <c r="C99" s="33">
        <f t="shared" ca="1" si="9"/>
        <v>76</v>
      </c>
      <c r="D99"/>
      <c r="E99" s="36">
        <v>84</v>
      </c>
      <c r="F99" s="38">
        <f t="shared" ca="1" si="10"/>
        <v>51</v>
      </c>
      <c r="G99" s="40" t="str" cm="1">
        <f t="array" ref="G99">IFERROR(IF(E99&lt;=$H$5,INDEX($A$16:$A$115,F99),""),"")</f>
        <v/>
      </c>
      <c r="H99"/>
      <c r="I99"/>
      <c r="J99"/>
      <c r="K99"/>
      <c r="L99"/>
      <c r="M99"/>
    </row>
    <row r="100" spans="1:13" ht="15.75" x14ac:dyDescent="0.5">
      <c r="A100" s="30">
        <v>87.433496428652404</v>
      </c>
      <c r="B100" s="32">
        <f t="shared" ca="1" si="8"/>
        <v>0.92334583007242421</v>
      </c>
      <c r="C100" s="33">
        <f t="shared" ca="1" si="9"/>
        <v>7</v>
      </c>
      <c r="D100"/>
      <c r="E100" s="36">
        <v>85</v>
      </c>
      <c r="F100" s="38">
        <f t="shared" ca="1" si="10"/>
        <v>4</v>
      </c>
      <c r="G100" s="40" t="str" cm="1">
        <f t="array" ref="G100">IFERROR(IF(E100&lt;=$H$5,INDEX($A$16:$A$115,F100),""),"")</f>
        <v/>
      </c>
      <c r="H100"/>
      <c r="I100"/>
      <c r="J100"/>
      <c r="K100"/>
      <c r="L100"/>
      <c r="M100"/>
    </row>
    <row r="101" spans="1:13" ht="15.75" x14ac:dyDescent="0.5">
      <c r="A101" s="30">
        <v>95.890054792043102</v>
      </c>
      <c r="B101" s="32">
        <f t="shared" ca="1" si="8"/>
        <v>0.63652235590108841</v>
      </c>
      <c r="C101" s="33">
        <f t="shared" ca="1" si="9"/>
        <v>42</v>
      </c>
      <c r="D101"/>
      <c r="E101" s="36">
        <v>86</v>
      </c>
      <c r="F101" s="38">
        <f t="shared" ca="1" si="10"/>
        <v>26</v>
      </c>
      <c r="G101" s="40" t="str" cm="1">
        <f t="array" ref="G101">IFERROR(IF(E101&lt;=$H$5,INDEX($A$16:$A$115,F101),""),"")</f>
        <v/>
      </c>
      <c r="H101"/>
      <c r="I101"/>
      <c r="J101"/>
      <c r="K101"/>
      <c r="L101"/>
      <c r="M101"/>
    </row>
    <row r="102" spans="1:13" ht="15.75" x14ac:dyDescent="0.5">
      <c r="A102" s="30">
        <v>85.246792738407706</v>
      </c>
      <c r="B102" s="32">
        <f t="shared" ca="1" si="8"/>
        <v>0.63957276931094909</v>
      </c>
      <c r="C102" s="33">
        <f t="shared" ca="1" si="9"/>
        <v>40</v>
      </c>
      <c r="D102"/>
      <c r="E102" s="36">
        <v>87</v>
      </c>
      <c r="F102" s="38">
        <f t="shared" ca="1" si="10"/>
        <v>83</v>
      </c>
      <c r="G102" s="40" t="str" cm="1">
        <f t="array" ref="G102">IFERROR(IF(E102&lt;=$H$5,INDEX($A$16:$A$115,F102),""),"")</f>
        <v/>
      </c>
      <c r="H102"/>
      <c r="I102"/>
      <c r="J102"/>
      <c r="K102"/>
      <c r="L102"/>
      <c r="M102"/>
    </row>
    <row r="103" spans="1:13" x14ac:dyDescent="0.45">
      <c r="A103" s="31">
        <v>98.211650593022298</v>
      </c>
      <c r="B103" s="34">
        <f t="shared" ca="1" si="8"/>
        <v>0.49907779922108597</v>
      </c>
      <c r="C103" s="35">
        <f t="shared" ca="1" si="9"/>
        <v>55</v>
      </c>
      <c r="E103" s="37">
        <v>88</v>
      </c>
      <c r="F103" s="39">
        <f t="shared" ca="1" si="10"/>
        <v>91</v>
      </c>
      <c r="G103" s="41" t="str" cm="1">
        <f t="array" ref="G103">IFERROR(IF(E103&lt;=$H$5,INDEX($A$16:$A$115,F103),""),"")</f>
        <v/>
      </c>
    </row>
    <row r="104" spans="1:13" x14ac:dyDescent="0.45">
      <c r="A104" s="31">
        <v>90.975568245111702</v>
      </c>
      <c r="B104" s="34">
        <f t="shared" ca="1" si="8"/>
        <v>0.68045493091038267</v>
      </c>
      <c r="C104" s="35">
        <f t="shared" ca="1" si="9"/>
        <v>36</v>
      </c>
      <c r="E104" s="37">
        <v>89</v>
      </c>
      <c r="F104" s="39">
        <f t="shared" ca="1" si="10"/>
        <v>67</v>
      </c>
      <c r="G104" s="41" t="str" cm="1">
        <f t="array" ref="G104">IFERROR(IF(E104&lt;=$H$5,INDEX($A$16:$A$115,F104),""),"")</f>
        <v/>
      </c>
    </row>
    <row r="105" spans="1:13" x14ac:dyDescent="0.45">
      <c r="A105" s="31">
        <v>79.883739869717004</v>
      </c>
      <c r="B105" s="34">
        <f t="shared" ca="1" si="8"/>
        <v>0.885226269049742</v>
      </c>
      <c r="C105" s="35">
        <f t="shared" ca="1" si="9"/>
        <v>10</v>
      </c>
      <c r="E105" s="37">
        <v>90</v>
      </c>
      <c r="F105" s="39">
        <f t="shared" ca="1" si="10"/>
        <v>31</v>
      </c>
      <c r="G105" s="41" t="str" cm="1">
        <f t="array" ref="G105">IFERROR(IF(E105&lt;=$H$5,INDEX($A$16:$A$115,F105),""),"")</f>
        <v/>
      </c>
    </row>
    <row r="106" spans="1:13" x14ac:dyDescent="0.45">
      <c r="A106" s="31">
        <v>76.124700871627297</v>
      </c>
      <c r="B106" s="34">
        <f t="shared" ca="1" si="8"/>
        <v>0.86926765137521689</v>
      </c>
      <c r="C106" s="35">
        <f t="shared" ca="1" si="9"/>
        <v>13</v>
      </c>
      <c r="E106" s="37">
        <v>91</v>
      </c>
      <c r="F106" s="39">
        <f t="shared" ca="1" si="10"/>
        <v>90</v>
      </c>
      <c r="G106" s="41" t="str" cm="1">
        <f t="array" ref="G106">IFERROR(IF(E106&lt;=$H$5,INDEX($A$16:$A$115,F106),""),"")</f>
        <v/>
      </c>
    </row>
    <row r="107" spans="1:13" x14ac:dyDescent="0.45">
      <c r="A107" s="31">
        <v>118.480629513624</v>
      </c>
      <c r="B107" s="34">
        <f t="shared" ca="1" si="8"/>
        <v>0.52220743836925865</v>
      </c>
      <c r="C107" s="35">
        <f t="shared" ca="1" si="9"/>
        <v>52</v>
      </c>
      <c r="E107" s="37">
        <v>92</v>
      </c>
      <c r="F107" s="39">
        <f t="shared" ca="1" si="10"/>
        <v>15</v>
      </c>
      <c r="G107" s="41" t="str" cm="1">
        <f t="array" ref="G107">IFERROR(IF(E107&lt;=$H$5,INDEX($A$16:$A$115,F107),""),"")</f>
        <v/>
      </c>
    </row>
    <row r="108" spans="1:13" x14ac:dyDescent="0.45">
      <c r="A108" s="31">
        <v>94.089844408876701</v>
      </c>
      <c r="B108" s="34">
        <f t="shared" ca="1" si="8"/>
        <v>0.38451368361723992</v>
      </c>
      <c r="C108" s="35">
        <f t="shared" ca="1" si="9"/>
        <v>67</v>
      </c>
      <c r="E108" s="37">
        <v>93</v>
      </c>
      <c r="F108" s="39">
        <f t="shared" ca="1" si="10"/>
        <v>42</v>
      </c>
      <c r="G108" s="41" t="str" cm="1">
        <f t="array" ref="G108">IFERROR(IF(E108&lt;=$H$5,INDEX($A$16:$A$115,F108),""),"")</f>
        <v/>
      </c>
    </row>
    <row r="109" spans="1:13" x14ac:dyDescent="0.45">
      <c r="A109" s="31">
        <v>107.90239205781199</v>
      </c>
      <c r="B109" s="34">
        <f t="shared" ca="1" si="8"/>
        <v>0.98447644776868704</v>
      </c>
      <c r="C109" s="35">
        <f t="shared" ca="1" si="9"/>
        <v>3</v>
      </c>
      <c r="E109" s="37">
        <v>94</v>
      </c>
      <c r="F109" s="39">
        <f t="shared" ca="1" si="10"/>
        <v>85</v>
      </c>
      <c r="G109" s="41" t="str" cm="1">
        <f t="array" ref="G109">IFERROR(IF(E109&lt;=$H$5,INDEX($A$16:$A$115,F109),""),"")</f>
        <v/>
      </c>
    </row>
    <row r="110" spans="1:13" x14ac:dyDescent="0.45">
      <c r="A110" s="31">
        <v>92.645115970026893</v>
      </c>
      <c r="B110" s="34">
        <f t="shared" ca="1" si="8"/>
        <v>0.25771272312543447</v>
      </c>
      <c r="C110" s="35">
        <f t="shared" ca="1" si="9"/>
        <v>77</v>
      </c>
      <c r="E110" s="37">
        <v>95</v>
      </c>
      <c r="F110" s="39">
        <f t="shared" ca="1" si="10"/>
        <v>19</v>
      </c>
      <c r="G110" s="41" t="str" cm="1">
        <f t="array" ref="G110">IFERROR(IF(E110&lt;=$H$5,INDEX($A$16:$A$115,F110),""),"")</f>
        <v/>
      </c>
    </row>
    <row r="111" spans="1:13" x14ac:dyDescent="0.45">
      <c r="A111" s="31">
        <v>87.422385832990201</v>
      </c>
      <c r="B111" s="34">
        <f t="shared" ca="1" si="8"/>
        <v>0.76225374635742393</v>
      </c>
      <c r="C111" s="35">
        <f t="shared" ca="1" si="9"/>
        <v>24</v>
      </c>
      <c r="E111" s="37">
        <v>96</v>
      </c>
      <c r="F111" s="39">
        <f t="shared" ca="1" si="10"/>
        <v>37</v>
      </c>
      <c r="G111" s="41" t="str" cm="1">
        <f t="array" ref="G111">IFERROR(IF(E111&lt;=$H$5,INDEX($A$16:$A$115,F111),""),"")</f>
        <v/>
      </c>
    </row>
    <row r="112" spans="1:13" x14ac:dyDescent="0.45">
      <c r="A112" s="31">
        <v>59.714314861466796</v>
      </c>
      <c r="B112" s="34">
        <f t="shared" ca="1" si="8"/>
        <v>0.33410638110729862</v>
      </c>
      <c r="C112" s="35">
        <f t="shared" ref="C112:C143" ca="1" si="11">RANK(B112,$B$16:$B$115,0)</f>
        <v>71</v>
      </c>
      <c r="E112" s="37">
        <v>97</v>
      </c>
      <c r="F112" s="39">
        <f t="shared" ref="F112:F143" ca="1" si="12">IFERROR(MATCH(LARGE($C$16:$C$115,E112),$C$16:$C$115,0),"")</f>
        <v>44</v>
      </c>
      <c r="G112" s="41" t="str" cm="1">
        <f t="array" ref="G112">IFERROR(IF(E112&lt;=$H$5,INDEX($A$16:$A$115,F112),""),"")</f>
        <v/>
      </c>
    </row>
    <row r="113" spans="1:7" x14ac:dyDescent="0.45">
      <c r="A113" s="31">
        <v>97.605048958130993</v>
      </c>
      <c r="B113" s="34">
        <f t="shared" ca="1" si="8"/>
        <v>0.45447602749880422</v>
      </c>
      <c r="C113" s="35">
        <f t="shared" ca="1" si="11"/>
        <v>61</v>
      </c>
      <c r="E113" s="37">
        <v>98</v>
      </c>
      <c r="F113" s="39">
        <f t="shared" ca="1" si="12"/>
        <v>94</v>
      </c>
      <c r="G113" s="41" t="str" cm="1">
        <f t="array" ref="G113">IFERROR(IF(E113&lt;=$H$5,INDEX($A$16:$A$115,F113),""),"")</f>
        <v/>
      </c>
    </row>
    <row r="114" spans="1:7" x14ac:dyDescent="0.45">
      <c r="A114" s="31">
        <v>77.304746788336601</v>
      </c>
      <c r="B114" s="34">
        <f t="shared" ca="1" si="8"/>
        <v>0.76267220464546148</v>
      </c>
      <c r="C114" s="35">
        <f t="shared" ca="1" si="11"/>
        <v>23</v>
      </c>
      <c r="E114" s="37">
        <v>99</v>
      </c>
      <c r="F114" s="39">
        <f t="shared" ca="1" si="12"/>
        <v>65</v>
      </c>
      <c r="G114" s="41" t="str" cm="1">
        <f t="array" ref="G114">IFERROR(IF(E114&lt;=$H$5,INDEX($A$16:$A$115,F114),""),"")</f>
        <v/>
      </c>
    </row>
    <row r="115" spans="1:7" x14ac:dyDescent="0.45">
      <c r="A115" s="31">
        <v>85.458729848974002</v>
      </c>
      <c r="B115" s="34">
        <f t="shared" ca="1" si="8"/>
        <v>0.6578723939699348</v>
      </c>
      <c r="C115" s="35">
        <f t="shared" ca="1" si="11"/>
        <v>38</v>
      </c>
      <c r="E115" s="37">
        <v>100</v>
      </c>
      <c r="F115" s="39">
        <f t="shared" ca="1" si="12"/>
        <v>76</v>
      </c>
      <c r="G115" s="41" t="str" cm="1">
        <f t="array" ref="G115">IFERROR(IF(E115&lt;=$H$5,INDEX($A$16:$A$115,F115),""),"")</f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F20E2-4A75-5242-8117-C11672468DE8}">
  <sheetPr codeName="Sheet2"/>
  <dimension ref="A1:J21"/>
  <sheetViews>
    <sheetView topLeftCell="A4" zoomScale="130" zoomScaleNormal="130" workbookViewId="0">
      <selection activeCell="A8" sqref="A8"/>
    </sheetView>
  </sheetViews>
  <sheetFormatPr defaultColWidth="11" defaultRowHeight="15.75" x14ac:dyDescent="0.5"/>
  <cols>
    <col min="1" max="1" width="9.125" customWidth="1"/>
    <col min="2" max="2" width="10.875" customWidth="1"/>
    <col min="3" max="3" width="2.5" customWidth="1"/>
    <col min="4" max="5" width="12.5" customWidth="1"/>
    <col min="6" max="6" width="2.5" customWidth="1"/>
    <col min="7" max="7" width="24.125" customWidth="1"/>
    <col min="8" max="9" width="15" customWidth="1"/>
    <col min="10" max="10" width="9.125" customWidth="1"/>
  </cols>
  <sheetData>
    <row r="1" spans="1:10" ht="30" customHeight="1" x14ac:dyDescent="0.55000000000000004">
      <c r="A1" s="4" t="s">
        <v>50</v>
      </c>
      <c r="B1" s="5"/>
      <c r="C1" s="5"/>
      <c r="D1" s="5"/>
      <c r="E1" s="5"/>
      <c r="F1" s="5"/>
      <c r="G1" s="5"/>
      <c r="H1" s="5"/>
      <c r="I1" s="5"/>
      <c r="J1" s="5"/>
    </row>
    <row r="2" spans="1:10" x14ac:dyDescent="0.5">
      <c r="A2" s="7" t="s">
        <v>51</v>
      </c>
    </row>
    <row r="4" spans="1:10" x14ac:dyDescent="0.5">
      <c r="A4" s="9" t="s">
        <v>52</v>
      </c>
      <c r="B4" s="10"/>
      <c r="C4" s="10"/>
      <c r="D4" s="9" t="s">
        <v>53</v>
      </c>
      <c r="E4" s="10"/>
      <c r="G4" s="9" t="s">
        <v>58</v>
      </c>
      <c r="H4" s="10"/>
      <c r="I4" s="9" t="s">
        <v>59</v>
      </c>
      <c r="J4" s="10"/>
    </row>
    <row r="5" spans="1:10" x14ac:dyDescent="0.5">
      <c r="A5" s="14" t="s">
        <v>2</v>
      </c>
      <c r="B5" s="14" t="s">
        <v>3</v>
      </c>
      <c r="D5" s="14" t="s">
        <v>54</v>
      </c>
      <c r="E5" s="14" t="s">
        <v>55</v>
      </c>
      <c r="G5" s="14" t="s">
        <v>60</v>
      </c>
      <c r="H5" s="14" t="s">
        <v>61</v>
      </c>
      <c r="I5" s="14" t="s">
        <v>62</v>
      </c>
      <c r="J5" s="14" t="s">
        <v>63</v>
      </c>
    </row>
    <row r="6" spans="1:10" x14ac:dyDescent="0.5">
      <c r="A6" s="42">
        <v>1</v>
      </c>
      <c r="B6" s="43">
        <v>120</v>
      </c>
      <c r="D6" s="44">
        <f t="shared" ref="D6:D17" si="0">B6-$B$20</f>
        <v>11.666666666666671</v>
      </c>
      <c r="E6" s="44">
        <f t="shared" ref="E6:E17" si="1">D6^2</f>
        <v>136.11111111111123</v>
      </c>
      <c r="G6" s="16" t="s">
        <v>64</v>
      </c>
      <c r="H6" s="113" t="s">
        <v>198</v>
      </c>
      <c r="I6" s="21">
        <f>_xlfn.VAR.S(B6:B17)</f>
        <v>321.33333333333246</v>
      </c>
      <c r="J6" s="49" t="e">
        <f>ROUND(H6,2)=ROUND(I6,2)</f>
        <v>#VALUE!</v>
      </c>
    </row>
    <row r="7" spans="1:10" x14ac:dyDescent="0.5">
      <c r="A7" s="42">
        <v>2</v>
      </c>
      <c r="B7" s="43">
        <v>100</v>
      </c>
      <c r="D7" s="44">
        <f t="shared" si="0"/>
        <v>-8.3333333333333286</v>
      </c>
      <c r="E7" s="44">
        <f t="shared" si="1"/>
        <v>69.444444444444372</v>
      </c>
      <c r="G7" s="25" t="s">
        <v>65</v>
      </c>
      <c r="H7" s="48" t="s">
        <v>66</v>
      </c>
      <c r="I7" s="48" t="s">
        <v>67</v>
      </c>
    </row>
    <row r="8" spans="1:10" x14ac:dyDescent="0.5">
      <c r="A8" s="42">
        <v>3</v>
      </c>
      <c r="B8" s="43">
        <v>130</v>
      </c>
      <c r="D8" s="44">
        <f t="shared" si="0"/>
        <v>21.666666666666671</v>
      </c>
      <c r="E8" s="44">
        <f t="shared" si="1"/>
        <v>469.44444444444463</v>
      </c>
    </row>
    <row r="9" spans="1:10" x14ac:dyDescent="0.5">
      <c r="A9" s="42">
        <v>4</v>
      </c>
      <c r="B9" s="43">
        <v>122</v>
      </c>
      <c r="D9" s="44">
        <f t="shared" si="0"/>
        <v>13.666666666666671</v>
      </c>
      <c r="E9" s="44">
        <f t="shared" si="1"/>
        <v>186.77777777777791</v>
      </c>
      <c r="G9" s="16" t="s">
        <v>68</v>
      </c>
      <c r="H9" s="113" t="s">
        <v>198</v>
      </c>
      <c r="I9" s="21">
        <f>_xlfn.STDEV.S(B6:B17)</f>
        <v>17.925772879664979</v>
      </c>
      <c r="J9" s="49" t="e">
        <f>ROUND(H9,2)=ROUND(I9,2)</f>
        <v>#VALUE!</v>
      </c>
    </row>
    <row r="10" spans="1:10" x14ac:dyDescent="0.5">
      <c r="A10" s="42">
        <v>5</v>
      </c>
      <c r="B10" s="43">
        <v>120</v>
      </c>
      <c r="D10" s="44">
        <f t="shared" si="0"/>
        <v>11.666666666666671</v>
      </c>
      <c r="E10" s="44">
        <f t="shared" si="1"/>
        <v>136.11111111111123</v>
      </c>
      <c r="G10" s="25" t="s">
        <v>65</v>
      </c>
      <c r="H10" s="48" t="s">
        <v>69</v>
      </c>
      <c r="I10" s="48" t="s">
        <v>70</v>
      </c>
    </row>
    <row r="11" spans="1:10" x14ac:dyDescent="0.5">
      <c r="A11" s="42">
        <v>6</v>
      </c>
      <c r="B11" s="43">
        <v>78</v>
      </c>
      <c r="D11" s="44">
        <f t="shared" si="0"/>
        <v>-30.333333333333329</v>
      </c>
      <c r="E11" s="44">
        <f t="shared" si="1"/>
        <v>920.11111111111086</v>
      </c>
    </row>
    <row r="12" spans="1:10" x14ac:dyDescent="0.5">
      <c r="A12" s="42">
        <v>7</v>
      </c>
      <c r="B12" s="43">
        <v>100</v>
      </c>
      <c r="D12" s="44">
        <f t="shared" si="0"/>
        <v>-8.3333333333333286</v>
      </c>
      <c r="E12" s="44">
        <f t="shared" si="1"/>
        <v>69.444444444444372</v>
      </c>
      <c r="G12" s="16" t="s">
        <v>0</v>
      </c>
      <c r="H12" s="114" t="s">
        <v>198</v>
      </c>
    </row>
    <row r="13" spans="1:10" x14ac:dyDescent="0.5">
      <c r="A13" s="42">
        <v>8</v>
      </c>
      <c r="B13" s="43">
        <v>100</v>
      </c>
      <c r="D13" s="44">
        <f t="shared" si="0"/>
        <v>-8.3333333333333286</v>
      </c>
      <c r="E13" s="44">
        <f t="shared" si="1"/>
        <v>69.444444444444372</v>
      </c>
      <c r="G13" s="25" t="s">
        <v>65</v>
      </c>
      <c r="H13" s="48" t="s">
        <v>71</v>
      </c>
    </row>
    <row r="14" spans="1:10" x14ac:dyDescent="0.5">
      <c r="A14" s="42">
        <v>9</v>
      </c>
      <c r="B14" s="43">
        <v>130</v>
      </c>
      <c r="D14" s="44">
        <f t="shared" si="0"/>
        <v>21.666666666666671</v>
      </c>
      <c r="E14" s="44">
        <f t="shared" si="1"/>
        <v>469.44444444444463</v>
      </c>
    </row>
    <row r="15" spans="1:10" x14ac:dyDescent="0.5">
      <c r="A15" s="42">
        <v>10</v>
      </c>
      <c r="B15" s="43">
        <v>80</v>
      </c>
      <c r="D15" s="44">
        <f t="shared" si="0"/>
        <v>-28.333333333333329</v>
      </c>
      <c r="E15" s="44">
        <f t="shared" si="1"/>
        <v>802.77777777777749</v>
      </c>
    </row>
    <row r="16" spans="1:10" x14ac:dyDescent="0.5">
      <c r="A16" s="42">
        <v>11</v>
      </c>
      <c r="B16" s="43">
        <v>100</v>
      </c>
      <c r="D16" s="44">
        <f t="shared" si="0"/>
        <v>-8.3333333333333286</v>
      </c>
      <c r="E16" s="44">
        <f t="shared" si="1"/>
        <v>69.444444444444372</v>
      </c>
      <c r="G16" s="9" t="s">
        <v>72</v>
      </c>
      <c r="H16" s="10"/>
      <c r="I16" s="10"/>
      <c r="J16" s="10"/>
    </row>
    <row r="17" spans="1:9" x14ac:dyDescent="0.5">
      <c r="A17" s="42">
        <v>12</v>
      </c>
      <c r="B17" s="43">
        <v>120</v>
      </c>
      <c r="D17" s="44">
        <f t="shared" si="0"/>
        <v>11.666666666666671</v>
      </c>
      <c r="E17" s="44">
        <f t="shared" si="1"/>
        <v>136.11111111111123</v>
      </c>
      <c r="G17" s="12" t="s">
        <v>73</v>
      </c>
      <c r="H17" s="50">
        <v>1000</v>
      </c>
    </row>
    <row r="18" spans="1:9" x14ac:dyDescent="0.5">
      <c r="E18" s="45">
        <f>SUM(E6:E17)</f>
        <v>3534.666666666667</v>
      </c>
      <c r="G18" s="19" t="s">
        <v>74</v>
      </c>
      <c r="H18" s="23">
        <f>H17*B20/1000</f>
        <v>108.33333333333333</v>
      </c>
      <c r="I18" s="52" t="s">
        <v>4</v>
      </c>
    </row>
    <row r="19" spans="1:9" x14ac:dyDescent="0.5">
      <c r="A19" s="46" t="s">
        <v>8</v>
      </c>
      <c r="B19" s="47">
        <f>SUM(B6:B17)</f>
        <v>1300</v>
      </c>
      <c r="G19" s="19" t="s">
        <v>75</v>
      </c>
      <c r="H19" s="53">
        <v>4000</v>
      </c>
      <c r="I19" s="52" t="s">
        <v>76</v>
      </c>
    </row>
    <row r="20" spans="1:9" x14ac:dyDescent="0.5">
      <c r="A20" s="46" t="s">
        <v>56</v>
      </c>
      <c r="B20" s="28">
        <f>AVERAGE(B6:B17)</f>
        <v>108.33333333333333</v>
      </c>
      <c r="G20" s="17" t="s">
        <v>6</v>
      </c>
      <c r="H20" s="54">
        <f>H18*H19</f>
        <v>433333.33333333331</v>
      </c>
      <c r="I20" s="51" t="s">
        <v>5</v>
      </c>
    </row>
    <row r="21" spans="1:9" x14ac:dyDescent="0.5">
      <c r="A21" s="46" t="s">
        <v>57</v>
      </c>
      <c r="B21" s="13">
        <f>COUNT(B6:B17)</f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EFE5F-46EE-AD4F-9C72-24597E5932A3}">
  <sheetPr codeName="Sheet3"/>
  <dimension ref="A1:L41"/>
  <sheetViews>
    <sheetView topLeftCell="A10" zoomScaleNormal="100" workbookViewId="0">
      <selection activeCell="G18" sqref="G18"/>
    </sheetView>
  </sheetViews>
  <sheetFormatPr defaultColWidth="11" defaultRowHeight="15.75" x14ac:dyDescent="0.5"/>
  <cols>
    <col min="1" max="1" width="3.375" customWidth="1"/>
    <col min="2" max="2" width="30.875" customWidth="1"/>
    <col min="3" max="3" width="15.875" customWidth="1"/>
    <col min="4" max="8" width="14.125" customWidth="1"/>
    <col min="9" max="12" width="13.375" customWidth="1"/>
  </cols>
  <sheetData>
    <row r="1" spans="1:12" ht="30" customHeight="1" x14ac:dyDescent="0.55000000000000004">
      <c r="A1" s="4" t="s">
        <v>77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x14ac:dyDescent="0.5">
      <c r="A2" s="7" t="s">
        <v>78</v>
      </c>
    </row>
    <row r="4" spans="1:12" x14ac:dyDescent="0.5">
      <c r="A4" s="9" t="s">
        <v>79</v>
      </c>
      <c r="B4" s="10"/>
      <c r="C4" s="10"/>
      <c r="D4" s="10"/>
      <c r="E4" s="10"/>
      <c r="F4" s="10"/>
    </row>
    <row r="5" spans="1:12" x14ac:dyDescent="0.5">
      <c r="A5" s="12" t="s">
        <v>80</v>
      </c>
      <c r="D5" s="29" t="s">
        <v>81</v>
      </c>
    </row>
    <row r="6" spans="1:12" x14ac:dyDescent="0.5">
      <c r="A6" s="55" t="s">
        <v>82</v>
      </c>
      <c r="D6" s="6" t="s">
        <v>83</v>
      </c>
    </row>
    <row r="7" spans="1:12" x14ac:dyDescent="0.5">
      <c r="A7" s="56"/>
      <c r="D7" s="6" t="s">
        <v>84</v>
      </c>
    </row>
    <row r="8" spans="1:12" x14ac:dyDescent="0.5">
      <c r="A8" s="12" t="s">
        <v>85</v>
      </c>
      <c r="D8" s="6" t="s">
        <v>86</v>
      </c>
    </row>
    <row r="9" spans="1:12" x14ac:dyDescent="0.5">
      <c r="A9" s="55" t="s">
        <v>87</v>
      </c>
      <c r="D9" s="6" t="s">
        <v>88</v>
      </c>
    </row>
    <row r="10" spans="1:12" x14ac:dyDescent="0.5">
      <c r="D10" s="6" t="s">
        <v>89</v>
      </c>
    </row>
    <row r="11" spans="1:12" x14ac:dyDescent="0.5">
      <c r="D11" s="6" t="s">
        <v>90</v>
      </c>
    </row>
    <row r="13" spans="1:12" x14ac:dyDescent="0.5">
      <c r="A13" s="9" t="s">
        <v>91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2" x14ac:dyDescent="0.5">
      <c r="A14" s="55" t="s">
        <v>92</v>
      </c>
    </row>
    <row r="16" spans="1:12" x14ac:dyDescent="0.5">
      <c r="A16" s="5"/>
      <c r="B16" s="14" t="s">
        <v>93</v>
      </c>
      <c r="D16" s="14" t="s">
        <v>94</v>
      </c>
      <c r="E16" s="14" t="s">
        <v>95</v>
      </c>
      <c r="F16" s="14" t="s">
        <v>96</v>
      </c>
      <c r="G16" s="14" t="s">
        <v>97</v>
      </c>
      <c r="H16" s="14" t="s">
        <v>98</v>
      </c>
      <c r="I16" s="75" t="s">
        <v>119</v>
      </c>
      <c r="J16" s="10"/>
      <c r="K16" s="10"/>
      <c r="L16" s="10"/>
    </row>
    <row r="17" spans="1:12" x14ac:dyDescent="0.5">
      <c r="A17" s="57"/>
      <c r="B17" s="8" t="s">
        <v>99</v>
      </c>
      <c r="C17" s="25" t="s">
        <v>71</v>
      </c>
      <c r="D17" s="62">
        <v>0.2</v>
      </c>
      <c r="E17" s="62">
        <f>E34</f>
        <v>0.1795314903846944</v>
      </c>
      <c r="F17" s="62">
        <v>0.25</v>
      </c>
      <c r="G17" s="62">
        <v>0.5</v>
      </c>
      <c r="H17" s="62">
        <v>0.5</v>
      </c>
      <c r="I17" s="6" t="s">
        <v>120</v>
      </c>
    </row>
    <row r="18" spans="1:12" x14ac:dyDescent="0.5">
      <c r="A18" s="57"/>
      <c r="B18" s="8" t="s">
        <v>100</v>
      </c>
      <c r="D18" s="63">
        <v>0.9</v>
      </c>
      <c r="E18" s="63">
        <v>0.9</v>
      </c>
      <c r="F18" s="63">
        <v>0.95</v>
      </c>
      <c r="G18" s="63">
        <v>0.8</v>
      </c>
      <c r="H18" s="63">
        <v>0.8</v>
      </c>
      <c r="I18" s="6" t="s">
        <v>121</v>
      </c>
    </row>
    <row r="19" spans="1:12" x14ac:dyDescent="0.5">
      <c r="A19" s="57"/>
      <c r="B19" s="8" t="s">
        <v>101</v>
      </c>
      <c r="C19" s="25" t="s">
        <v>102</v>
      </c>
      <c r="D19" s="63">
        <v>0.1</v>
      </c>
      <c r="E19" s="63">
        <v>0.1</v>
      </c>
      <c r="F19" s="63">
        <v>0.05</v>
      </c>
      <c r="G19" s="63">
        <v>0.2</v>
      </c>
      <c r="H19" s="63">
        <v>0.1</v>
      </c>
      <c r="I19" s="6" t="s">
        <v>122</v>
      </c>
    </row>
    <row r="20" spans="1:12" x14ac:dyDescent="0.5">
      <c r="A20" s="57"/>
      <c r="B20" s="8" t="s">
        <v>103</v>
      </c>
      <c r="D20" s="64">
        <v>1000</v>
      </c>
      <c r="E20" s="64">
        <v>1000</v>
      </c>
      <c r="F20" s="64">
        <v>1000</v>
      </c>
      <c r="G20" s="64">
        <v>1000</v>
      </c>
      <c r="H20" s="64">
        <v>1000</v>
      </c>
      <c r="I20" s="6" t="s">
        <v>123</v>
      </c>
    </row>
    <row r="22" spans="1:12" x14ac:dyDescent="0.5">
      <c r="A22" s="57"/>
      <c r="B22" s="29" t="s">
        <v>104</v>
      </c>
      <c r="C22" s="76" t="e" cm="1">
        <f t="array" ref="C22">TINV(1-CL, ∞)</f>
        <v>#NAME?</v>
      </c>
      <c r="D22" s="58">
        <f>TINV(1-D18,10000000)</f>
        <v>1.6448537793794966</v>
      </c>
      <c r="E22" s="58">
        <f>TINV(1-E18,10000000)</f>
        <v>1.6448537793794966</v>
      </c>
      <c r="F22" s="58">
        <f>TINV(1-F18,10000000)</f>
        <v>1.9599642216881958</v>
      </c>
      <c r="G22" s="58">
        <f>TINV(1-G18,10000000)</f>
        <v>1.2815516500904143</v>
      </c>
      <c r="H22" s="115" t="s">
        <v>198</v>
      </c>
    </row>
    <row r="23" spans="1:12" ht="16.149999999999999" thickBot="1" x14ac:dyDescent="0.55000000000000004">
      <c r="A23" s="57"/>
      <c r="B23" s="29" t="s">
        <v>105</v>
      </c>
      <c r="C23" s="25" t="s">
        <v>106</v>
      </c>
      <c r="D23" s="59">
        <f>ROUNDUP((D22^2*D17^2)/D19^2,1)</f>
        <v>10.9</v>
      </c>
      <c r="E23" s="59">
        <f>ROUNDUP((E22^2*E17^2)/E19^2,1)</f>
        <v>8.7999999999999989</v>
      </c>
      <c r="F23" s="59">
        <f>ROUNDUP((F22^2*F17^2)/F19^2,1)</f>
        <v>96.1</v>
      </c>
      <c r="G23" s="59">
        <f>ROUNDUP((G22^2*G17^2)/G19^2,1)</f>
        <v>10.299999999999999</v>
      </c>
      <c r="H23" s="116" t="s">
        <v>198</v>
      </c>
    </row>
    <row r="24" spans="1:12" ht="18.399999999999999" thickBot="1" x14ac:dyDescent="0.6">
      <c r="A24" s="57"/>
      <c r="B24" s="60" t="s">
        <v>107</v>
      </c>
      <c r="C24" s="25" t="s">
        <v>108</v>
      </c>
      <c r="D24" s="65">
        <f>ROUNDUP((D23*D20)/(D23+D20),0)</f>
        <v>11</v>
      </c>
      <c r="E24" s="65">
        <f>ROUNDUP((E23*E20)/(E23+E20),0)</f>
        <v>9</v>
      </c>
      <c r="F24" s="65">
        <f>ROUNDUP((F23*F20)/(F23+F20),0)</f>
        <v>88</v>
      </c>
      <c r="G24" s="65">
        <f>ROUNDUP((G23*G20)/(G23+G20),0)</f>
        <v>11</v>
      </c>
      <c r="H24" s="117" t="s">
        <v>198</v>
      </c>
    </row>
    <row r="26" spans="1:12" x14ac:dyDescent="0.5">
      <c r="A26" s="9" t="s">
        <v>109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5">
      <c r="A27" s="55" t="s">
        <v>110</v>
      </c>
    </row>
    <row r="29" spans="1:12" x14ac:dyDescent="0.5">
      <c r="A29" s="14" t="s">
        <v>47</v>
      </c>
      <c r="B29" s="14" t="s">
        <v>3</v>
      </c>
      <c r="D29" s="14" t="s">
        <v>111</v>
      </c>
    </row>
    <row r="30" spans="1:12" x14ac:dyDescent="0.5">
      <c r="A30" s="36">
        <v>1</v>
      </c>
      <c r="B30" s="61">
        <v>120.27847739411099</v>
      </c>
      <c r="D30" s="8" t="s">
        <v>1</v>
      </c>
      <c r="E30" s="22">
        <f>AVERAGE(B30:B41)</f>
        <v>104.38385091230447</v>
      </c>
    </row>
    <row r="31" spans="1:12" x14ac:dyDescent="0.5">
      <c r="A31" s="36">
        <v>2</v>
      </c>
      <c r="B31" s="61">
        <v>100.126174175082</v>
      </c>
      <c r="D31" s="68" t="s">
        <v>112</v>
      </c>
      <c r="E31" s="23">
        <f>_xlfn.STDEV.S(B30:B41)</f>
        <v>18.740188326379762</v>
      </c>
    </row>
    <row r="32" spans="1:12" x14ac:dyDescent="0.5">
      <c r="A32" s="36">
        <v>3</v>
      </c>
      <c r="B32" s="61">
        <v>124.76927573125</v>
      </c>
      <c r="D32" s="67" t="s">
        <v>57</v>
      </c>
      <c r="E32" s="24">
        <f>COUNT(B30:B41)</f>
        <v>12</v>
      </c>
    </row>
    <row r="33" spans="1:6" x14ac:dyDescent="0.5">
      <c r="A33" s="36">
        <v>4</v>
      </c>
      <c r="B33" s="61">
        <v>108.570530905607</v>
      </c>
    </row>
    <row r="34" spans="1:6" x14ac:dyDescent="0.5">
      <c r="A34" s="36">
        <v>5</v>
      </c>
      <c r="B34" s="61">
        <v>116.56652002156601</v>
      </c>
      <c r="D34" s="66" t="s">
        <v>113</v>
      </c>
      <c r="E34" s="69">
        <f>E31/E30</f>
        <v>0.1795314903846944</v>
      </c>
      <c r="F34" s="25" t="s">
        <v>114</v>
      </c>
    </row>
    <row r="35" spans="1:6" x14ac:dyDescent="0.5">
      <c r="A35" s="36">
        <v>6</v>
      </c>
      <c r="B35" s="61">
        <v>76.160680013019601</v>
      </c>
    </row>
    <row r="36" spans="1:6" x14ac:dyDescent="0.5">
      <c r="A36" s="36">
        <v>7</v>
      </c>
      <c r="B36" s="61">
        <v>119.935695455228</v>
      </c>
      <c r="D36" s="14" t="s">
        <v>115</v>
      </c>
      <c r="E36" s="5"/>
    </row>
    <row r="37" spans="1:6" x14ac:dyDescent="0.5">
      <c r="A37" s="36">
        <v>8</v>
      </c>
      <c r="B37" s="61">
        <v>100.031250179358</v>
      </c>
      <c r="D37" s="8" t="s">
        <v>116</v>
      </c>
      <c r="E37" s="70">
        <f>D20</f>
        <v>1000</v>
      </c>
    </row>
    <row r="38" spans="1:6" x14ac:dyDescent="0.5">
      <c r="A38" s="36">
        <v>9</v>
      </c>
      <c r="B38" s="61">
        <v>91.369712339992901</v>
      </c>
      <c r="D38" s="68" t="s">
        <v>117</v>
      </c>
      <c r="E38" s="72">
        <f>E37*E30/1000</f>
        <v>104.38385091230447</v>
      </c>
      <c r="F38" s="73" t="s">
        <v>4</v>
      </c>
    </row>
    <row r="39" spans="1:6" x14ac:dyDescent="0.5">
      <c r="A39" s="36">
        <v>10</v>
      </c>
      <c r="B39" s="61">
        <v>80.083171321171605</v>
      </c>
      <c r="D39" s="68" t="s">
        <v>118</v>
      </c>
      <c r="E39" s="74">
        <v>6000</v>
      </c>
      <c r="F39" s="73" t="s">
        <v>76</v>
      </c>
    </row>
    <row r="40" spans="1:6" x14ac:dyDescent="0.5">
      <c r="A40" s="36">
        <v>11</v>
      </c>
      <c r="B40" s="61">
        <v>131.60541604685801</v>
      </c>
      <c r="D40" s="17" t="s">
        <v>6</v>
      </c>
      <c r="E40" s="54">
        <f>E38*E39</f>
        <v>626303.10547382676</v>
      </c>
      <c r="F40" s="71" t="s">
        <v>5</v>
      </c>
    </row>
    <row r="41" spans="1:6" x14ac:dyDescent="0.5">
      <c r="A41" s="36">
        <v>12</v>
      </c>
      <c r="B41" s="61">
        <v>83.109307364409403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Exercises</vt:lpstr>
      <vt:lpstr>1 - Population Simulation</vt:lpstr>
      <vt:lpstr>2 - Random Sampling</vt:lpstr>
      <vt:lpstr>3 - Descriptive Statistics</vt:lpstr>
      <vt:lpstr>4 - Sample Size 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Steve Kromer</dc:creator>
  <cp:keywords/>
  <dc:description/>
  <cp:lastModifiedBy>Steve Kromer</cp:lastModifiedBy>
  <cp:revision/>
  <dcterms:created xsi:type="dcterms:W3CDTF">2022-10-18T20:49:00Z</dcterms:created>
  <dcterms:modified xsi:type="dcterms:W3CDTF">2026-02-24T17:03:39Z</dcterms:modified>
  <cp:category/>
  <cp:contentStatus/>
</cp:coreProperties>
</file>