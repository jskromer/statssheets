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johnstephenkromer/Library/CloudStorage/Dropbox/2024CMVP_Dropbox/Class Materials/Excel Files/Statistics Spreadsheets/"/>
    </mc:Choice>
  </mc:AlternateContent>
  <xr:revisionPtr revIDLastSave="0" documentId="13_ncr:1_{B7436FD3-FD4A-A745-A801-1E1F16194C2C}" xr6:coauthVersionLast="47" xr6:coauthVersionMax="47" xr10:uidLastSave="{00000000-0000-0000-0000-000000000000}"/>
  <bookViews>
    <workbookView xWindow="1920" yWindow="1140" windowWidth="25440" windowHeight="22700" xr2:uid="{D2C6EC0C-7A1A-2E45-A7DB-01590DD176AD}"/>
  </bookViews>
  <sheets>
    <sheet name="Descriptive Stats on a Sample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3" l="1"/>
  <c r="G14" i="3"/>
  <c r="B23" i="3"/>
  <c r="G9" i="3" l="1"/>
  <c r="G11" i="3" s="1"/>
  <c r="F20" i="3" l="1"/>
  <c r="F21" i="3" s="1"/>
</calcChain>
</file>

<file path=xl/sharedStrings.xml><?xml version="1.0" encoding="utf-8"?>
<sst xmlns="http://schemas.openxmlformats.org/spreadsheetml/2006/main" count="26" uniqueCount="25">
  <si>
    <t>Coefficient of Variation</t>
  </si>
  <si>
    <t>Mean</t>
  </si>
  <si>
    <t>Fixture</t>
  </si>
  <si>
    <t>Watts</t>
  </si>
  <si>
    <t>Variance and Standard Deviation Calculation</t>
  </si>
  <si>
    <t>Baseline</t>
  </si>
  <si>
    <t>kW</t>
  </si>
  <si>
    <t>Total Number of Fixtures</t>
  </si>
  <si>
    <t>kWh</t>
  </si>
  <si>
    <t>Total Power</t>
  </si>
  <si>
    <t>Hours/ Year</t>
  </si>
  <si>
    <t>Total Energy</t>
  </si>
  <si>
    <t>(from sample)</t>
  </si>
  <si>
    <t>Std Dev</t>
  </si>
  <si>
    <t>Sum</t>
  </si>
  <si>
    <t>Variance (sample)</t>
  </si>
  <si>
    <t>Average</t>
  </si>
  <si>
    <t>Count</t>
  </si>
  <si>
    <t>Calculated Std Dev</t>
  </si>
  <si>
    <t>Excel stdev.s(  )</t>
  </si>
  <si>
    <t>Hours</t>
  </si>
  <si>
    <t>Excel var.S(  )</t>
  </si>
  <si>
    <t>Deviation from Mean</t>
  </si>
  <si>
    <t>Deviation Squared</t>
  </si>
  <si>
    <t>Sum or Squared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</si>
</sst>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_(* #,##0.0_);_(* \(#,##0.0\);_(* &quot;-&quot;??_);_(@_)"/>
    <numFmt numFmtId="166" formatCode="_(* #,##0_);_(* \(#,##0\);_(* &quot;-&quot;??_);_(@_)"/>
    <numFmt numFmtId="167" formatCode="0.0000%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2" tint="-0.499984740745262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</cellStyleXfs>
  <cellXfs count="22">
    <xf numFmtId="0" fontId="0" fillId="0" borderId="0" xfId="0"/>
    <xf numFmtId="2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  <xf numFmtId="164" fontId="0" fillId="0" borderId="0" xfId="0" applyNumberFormat="1"/>
    <xf numFmtId="0" fontId="2" fillId="0" borderId="1" xfId="0" applyFont="1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166" fontId="0" fillId="0" borderId="0" xfId="0" applyNumberFormat="1"/>
    <xf numFmtId="0" fontId="4" fillId="0" borderId="0" xfId="0" applyFont="1"/>
    <xf numFmtId="2" fontId="5" fillId="2" borderId="0" xfId="0" applyNumberFormat="1" applyFont="1" applyFill="1"/>
    <xf numFmtId="43" fontId="5" fillId="2" borderId="0" xfId="2" applyFont="1" applyFill="1"/>
    <xf numFmtId="0" fontId="2" fillId="0" borderId="4" xfId="0" applyFont="1" applyBorder="1" applyAlignment="1">
      <alignment horizontal="center"/>
    </xf>
    <xf numFmtId="165" fontId="0" fillId="0" borderId="5" xfId="2" applyNumberFormat="1" applyFont="1" applyBorder="1"/>
    <xf numFmtId="0" fontId="2" fillId="0" borderId="6" xfId="0" applyFont="1" applyBorder="1" applyAlignment="1">
      <alignment horizontal="center"/>
    </xf>
    <xf numFmtId="165" fontId="0" fillId="0" borderId="7" xfId="0" applyNumberFormat="1" applyBorder="1"/>
    <xf numFmtId="43" fontId="0" fillId="0" borderId="0" xfId="0" applyNumberFormat="1"/>
    <xf numFmtId="0" fontId="0" fillId="3" borderId="1" xfId="0" applyFill="1" applyBorder="1"/>
    <xf numFmtId="167" fontId="3" fillId="3" borderId="0" xfId="1" applyNumberFormat="1" applyFont="1" applyFill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5">
    <cellStyle name="Comma" xfId="2" builtinId="3"/>
    <cellStyle name="Normal" xfId="0" builtinId="0"/>
    <cellStyle name="Normal 2" xfId="3" xr:uid="{BD5C4F62-2772-6144-A6D4-EBA297124CC9}"/>
    <cellStyle name="Percent" xfId="1" builtinId="5"/>
    <cellStyle name="Percent 2" xfId="4" xr:uid="{5E247F1B-7561-5441-A570-50F9DFC0D0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F20E2-4A75-5242-8117-C11672468DE8}">
  <sheetPr codeName="Sheet2"/>
  <dimension ref="A5:H25"/>
  <sheetViews>
    <sheetView tabSelected="1" zoomScale="180" zoomScaleNormal="180" workbookViewId="0">
      <selection activeCell="C20" sqref="C20"/>
    </sheetView>
  </sheetViews>
  <sheetFormatPr baseColWidth="10" defaultColWidth="11" defaultRowHeight="16" x14ac:dyDescent="0.2"/>
  <cols>
    <col min="1" max="1" width="13.6640625" customWidth="1"/>
    <col min="2" max="2" width="11.83203125" customWidth="1"/>
    <col min="3" max="4" width="18.83203125" customWidth="1"/>
    <col min="5" max="5" width="5" customWidth="1"/>
    <col min="6" max="6" width="22.33203125" bestFit="1" customWidth="1"/>
    <col min="7" max="7" width="12.5" bestFit="1" customWidth="1"/>
    <col min="8" max="8" width="5.83203125" bestFit="1" customWidth="1"/>
    <col min="9" max="9" width="4.6640625" bestFit="1" customWidth="1"/>
    <col min="10" max="10" width="3.1640625" customWidth="1"/>
  </cols>
  <sheetData>
    <row r="5" spans="1:8" x14ac:dyDescent="0.2">
      <c r="B5" s="3" t="s">
        <v>1</v>
      </c>
    </row>
    <row r="6" spans="1:8" x14ac:dyDescent="0.2">
      <c r="C6" s="19" t="s">
        <v>4</v>
      </c>
      <c r="D6" s="20"/>
    </row>
    <row r="7" spans="1:8" x14ac:dyDescent="0.2">
      <c r="A7" s="3" t="s">
        <v>2</v>
      </c>
      <c r="B7" s="3" t="s">
        <v>3</v>
      </c>
      <c r="C7" t="s">
        <v>22</v>
      </c>
      <c r="D7" t="s">
        <v>23</v>
      </c>
      <c r="F7" s="3" t="s">
        <v>5</v>
      </c>
    </row>
    <row r="8" spans="1:8" x14ac:dyDescent="0.2">
      <c r="A8">
        <v>1</v>
      </c>
      <c r="B8" s="17">
        <v>120</v>
      </c>
      <c r="C8" s="10"/>
      <c r="D8" s="11"/>
      <c r="F8" s="2" t="s">
        <v>7</v>
      </c>
      <c r="G8">
        <v>1000</v>
      </c>
    </row>
    <row r="9" spans="1:8" x14ac:dyDescent="0.2">
      <c r="A9">
        <v>2</v>
      </c>
      <c r="B9" s="17">
        <v>100</v>
      </c>
      <c r="C9" s="10"/>
      <c r="D9" s="11"/>
      <c r="F9" s="2" t="s">
        <v>9</v>
      </c>
      <c r="G9" s="1">
        <f>G8*B22/1000</f>
        <v>0</v>
      </c>
      <c r="H9" s="2" t="s">
        <v>6</v>
      </c>
    </row>
    <row r="10" spans="1:8" x14ac:dyDescent="0.2">
      <c r="A10">
        <v>3</v>
      </c>
      <c r="B10" s="17">
        <v>130</v>
      </c>
      <c r="C10" s="10"/>
      <c r="D10" s="11"/>
      <c r="F10" s="2" t="s">
        <v>10</v>
      </c>
      <c r="G10">
        <v>4000</v>
      </c>
      <c r="H10" s="2" t="s">
        <v>20</v>
      </c>
    </row>
    <row r="11" spans="1:8" x14ac:dyDescent="0.2">
      <c r="A11">
        <v>4</v>
      </c>
      <c r="B11" s="17">
        <v>122</v>
      </c>
      <c r="C11" s="10"/>
      <c r="D11" s="11"/>
      <c r="F11" s="2" t="s">
        <v>11</v>
      </c>
      <c r="G11" s="8">
        <f>G9*G10</f>
        <v>0</v>
      </c>
      <c r="H11" s="2" t="s">
        <v>8</v>
      </c>
    </row>
    <row r="12" spans="1:8" x14ac:dyDescent="0.2">
      <c r="A12">
        <v>5</v>
      </c>
      <c r="B12" s="17">
        <v>120</v>
      </c>
      <c r="C12" s="10"/>
      <c r="D12" s="11"/>
      <c r="F12" s="9" t="s">
        <v>12</v>
      </c>
    </row>
    <row r="13" spans="1:8" x14ac:dyDescent="0.2">
      <c r="A13">
        <v>6</v>
      </c>
      <c r="B13" s="17">
        <v>78</v>
      </c>
      <c r="C13" s="10"/>
      <c r="D13" s="11"/>
      <c r="F13" s="2" t="s">
        <v>0</v>
      </c>
      <c r="G13" s="18"/>
    </row>
    <row r="14" spans="1:8" x14ac:dyDescent="0.2">
      <c r="A14">
        <v>7</v>
      </c>
      <c r="B14" s="17">
        <v>100</v>
      </c>
      <c r="C14" s="10"/>
      <c r="D14" s="11"/>
      <c r="F14" s="2" t="s">
        <v>13</v>
      </c>
      <c r="G14" s="4">
        <f>D24</f>
        <v>0</v>
      </c>
    </row>
    <row r="15" spans="1:8" x14ac:dyDescent="0.2">
      <c r="A15">
        <v>8</v>
      </c>
      <c r="B15" s="17">
        <v>100</v>
      </c>
      <c r="C15" s="10"/>
      <c r="D15" s="11"/>
      <c r="F15" s="2" t="s">
        <v>1</v>
      </c>
      <c r="G15" s="4">
        <f>B22</f>
        <v>0</v>
      </c>
    </row>
    <row r="16" spans="1:8" x14ac:dyDescent="0.2">
      <c r="A16">
        <v>9</v>
      </c>
      <c r="B16" s="17">
        <v>130</v>
      </c>
      <c r="C16" s="10"/>
      <c r="D16" s="11"/>
    </row>
    <row r="17" spans="1:6" x14ac:dyDescent="0.2">
      <c r="A17">
        <v>10</v>
      </c>
      <c r="B17" s="17">
        <v>80</v>
      </c>
      <c r="C17" s="10"/>
      <c r="D17" s="11"/>
    </row>
    <row r="18" spans="1:6" x14ac:dyDescent="0.2">
      <c r="A18">
        <v>11</v>
      </c>
      <c r="B18" s="17">
        <v>100</v>
      </c>
      <c r="C18" s="10"/>
      <c r="D18" s="11"/>
    </row>
    <row r="19" spans="1:6" x14ac:dyDescent="0.2">
      <c r="A19">
        <v>12</v>
      </c>
      <c r="B19" s="17">
        <v>120</v>
      </c>
      <c r="C19" s="10"/>
      <c r="D19" s="11"/>
    </row>
    <row r="20" spans="1:6" x14ac:dyDescent="0.2">
      <c r="C20" t="s">
        <v>24</v>
      </c>
      <c r="F20" s="16">
        <f>SUM(D8:D19)</f>
        <v>0</v>
      </c>
    </row>
    <row r="21" spans="1:6" x14ac:dyDescent="0.2">
      <c r="A21" s="5" t="s">
        <v>14</v>
      </c>
      <c r="B21" s="6"/>
      <c r="C21" s="12" t="s">
        <v>15</v>
      </c>
      <c r="D21" s="13"/>
      <c r="E21" s="4"/>
      <c r="F21" s="16">
        <f>F20/(B23-1)</f>
        <v>0</v>
      </c>
    </row>
    <row r="22" spans="1:6" x14ac:dyDescent="0.2">
      <c r="A22" s="21" t="s">
        <v>16</v>
      </c>
      <c r="B22" s="7"/>
      <c r="C22" s="14" t="s">
        <v>21</v>
      </c>
      <c r="D22" s="15"/>
    </row>
    <row r="23" spans="1:6" x14ac:dyDescent="0.2">
      <c r="A23" s="5" t="s">
        <v>17</v>
      </c>
      <c r="B23" s="6">
        <f>COUNT(A8:A19)</f>
        <v>12</v>
      </c>
      <c r="C23" s="5" t="s">
        <v>18</v>
      </c>
      <c r="D23" s="7"/>
    </row>
    <row r="24" spans="1:6" x14ac:dyDescent="0.2">
      <c r="A24" s="6"/>
      <c r="B24" s="6"/>
      <c r="C24" s="5" t="s">
        <v>19</v>
      </c>
      <c r="D24" s="7"/>
    </row>
    <row r="25" spans="1:6" x14ac:dyDescent="0.2">
      <c r="C25" s="3"/>
    </row>
  </sheetData>
  <mergeCells count="1">
    <mergeCell ref="C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Descriptive Stats on a Sample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Kromer</dc:creator>
  <cp:keywords/>
  <dc:description/>
  <cp:lastModifiedBy>Steve Kromer</cp:lastModifiedBy>
  <cp:revision/>
  <dcterms:created xsi:type="dcterms:W3CDTF">2022-10-18T20:49:00Z</dcterms:created>
  <dcterms:modified xsi:type="dcterms:W3CDTF">2025-08-01T18:45:29Z</dcterms:modified>
  <cp:category/>
  <cp:contentStatus/>
</cp:coreProperties>
</file>